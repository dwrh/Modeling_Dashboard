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ttachedToolbars.bin" ContentType="application/vnd.ms-excel.attachedToolbar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930" yWindow="-15" windowWidth="3930" windowHeight="3090" tabRatio="927" firstSheet="9" activeTab="12"/>
  </bookViews>
  <sheets>
    <sheet name="Input - RMSM" sheetId="13" r:id="rId1"/>
    <sheet name="Input - manual" sheetId="12" r:id="rId2"/>
    <sheet name="MACRO DATA" sheetId="1" r:id="rId3"/>
    <sheet name="E-views VAR impulse responses" sheetId="21" r:id="rId4"/>
    <sheet name="VAR-based GDP growth adjustment" sheetId="20" r:id="rId5"/>
    <sheet name="VAR-based TOT growth adjustment" sheetId="27" state="hidden" r:id="rId6"/>
    <sheet name="VAR-based GEXP growth adj" sheetId="28" state="hidden" r:id="rId7"/>
    <sheet name="GDP growth GET REAL + VAR" sheetId="24" r:id="rId8"/>
    <sheet name="SCENARIO" sheetId="2" r:id="rId9"/>
    <sheet name="1-2-3" sheetId="3" r:id="rId10"/>
    <sheet name="RESULTS" sheetId="4" r:id="rId11"/>
    <sheet name="MACRO TABLES" sheetId="5" r:id="rId12"/>
    <sheet name="%-Deviations from prev. results" sheetId="11" r:id="rId13"/>
    <sheet name="current res." sheetId="33" state="hidden" r:id="rId14"/>
    <sheet name="comparison base" sheetId="31" state="hidden" r:id="rId15"/>
    <sheet name="prev. run" sheetId="30" state="hidden" r:id="rId16"/>
    <sheet name="base case" sheetId="29" state="hidden" r:id="rId17"/>
    <sheet name="HOUSEHOLD DATA" sheetId="9" r:id="rId18"/>
    <sheet name="Impact on poverty" sheetId="26" r:id="rId19"/>
    <sheet name="CASLINK" sheetId="16" state="hidden" r:id="rId20"/>
    <sheet name="analyze results" sheetId="14" r:id="rId21"/>
    <sheet name="Options Last Selected" sheetId="10" r:id="rId22"/>
    <sheet name="Options for the Base Case" sheetId="17" r:id="rId23"/>
    <sheet name="RMSM_LINK" sheetId="15" state="hidden" r:id="rId24"/>
    <sheet name="internal parameters" sheetId="25" state="hidden" r:id="rId25"/>
    <sheet name="text" sheetId="18" state="hidden" r:id="rId26"/>
  </sheets>
  <externalReferences>
    <externalReference r:id="rId27"/>
  </externalReferences>
  <definedNames>
    <definedName name="_xlnm._FilterDatabase" localSheetId="10" hidden="1">RESULTS!$B$1:$E$30</definedName>
    <definedName name="_scenchg_count" localSheetId="9" hidden="1">14</definedName>
    <definedName name="_scenchg1" localSheetId="9" hidden="1">'1-2-3'!$F$13</definedName>
    <definedName name="_scenchg10" localSheetId="9" hidden="1">'1-2-3'!$F$62</definedName>
    <definedName name="_scenchg11" localSheetId="9" hidden="1">'1-2-3'!$F$55</definedName>
    <definedName name="_scenchg12" localSheetId="9" hidden="1">'1-2-3'!$F$57</definedName>
    <definedName name="_scenchg13" localSheetId="9" hidden="1">'1-2-3'!$F$15</definedName>
    <definedName name="_scenchg14" localSheetId="9" hidden="1">'1-2-3'!$F$68</definedName>
    <definedName name="_scenchg2" localSheetId="9" hidden="1">'1-2-3'!$F$49</definedName>
    <definedName name="_scenchg3" localSheetId="9" hidden="1">'1-2-3'!$F$51</definedName>
    <definedName name="_scenchg4" localSheetId="9" hidden="1">'1-2-3'!$F$50</definedName>
    <definedName name="_scenchg5" localSheetId="9" hidden="1">'1-2-3'!$F$53</definedName>
    <definedName name="_scenchg6" localSheetId="9" hidden="1">'1-2-3'!#REF!</definedName>
    <definedName name="_scenchg7" localSheetId="9" hidden="1">'1-2-3'!#REF!</definedName>
    <definedName name="_scenchg8" localSheetId="9" hidden="1">'1-2-3'!$F$14</definedName>
    <definedName name="_scenchg9" localSheetId="9" hidden="1">'1-2-3'!$F$61</definedName>
    <definedName name="a1_CET">'1-2-3'!$E$85</definedName>
    <definedName name="a2_ARMG">'1-2-3'!$E$86</definedName>
    <definedName name="a3_DEM">'1-2-3'!$E$87</definedName>
    <definedName name="a4_EDRAT">'1-2-3'!$E$88</definedName>
    <definedName name="a5_MDRAT">'1-2-3'!$E$89</definedName>
    <definedName name="a6_INC">'1-2-3'!$E$91</definedName>
    <definedName name="a7_SAV">'1-2-3'!$E$92</definedName>
    <definedName name="a8_CONS">'1-2-3'!$E$93</definedName>
    <definedName name="a9_PM">'1-2-3'!$E$95</definedName>
    <definedName name="acc">'1-2-3'!$F$83</definedName>
    <definedName name="alpha">'HOUSEHOLD DATA'!$C$20</definedName>
    <definedName name="aq">'1-2-3'!$D$127</definedName>
    <definedName name="at">'1-2-3'!$D$124</definedName>
    <definedName name="B">'1-2-3'!$F$41</definedName>
    <definedName name="B0">'1-2-3'!$D$41</definedName>
    <definedName name="b10_PE">'1-2-3'!$E$96</definedName>
    <definedName name="b11_PT">'1-2-3'!$E$97</definedName>
    <definedName name="b12_PX">'1-2-3'!$E$98</definedName>
    <definedName name="b13_PQ">'1-2-3'!$E$99</definedName>
    <definedName name="b14_DEQ">'1-2-3'!$E$101</definedName>
    <definedName name="b15_QEQ">'1-2-3'!$E$102</definedName>
    <definedName name="b16_BOP">'1-2-3'!$E$105</definedName>
    <definedName name="b16_CABAL">'1-2-3'!$E$104</definedName>
    <definedName name="b17_TAX">'1-2-3'!$E$107</definedName>
    <definedName name="b18_GBUD">'1-2-3'!$E$108</definedName>
    <definedName name="b19_GC">'1-2-3'!$E$109</definedName>
    <definedName name="b20_Trns">'1-2-3'!$E$110</definedName>
    <definedName name="b21_se">'1-2-3'!$E$111</definedName>
    <definedName name="b22_su">'1-2-3'!$E$112</definedName>
    <definedName name="b23_Fbal">'1-2-3'!$E$113</definedName>
    <definedName name="b24_Money">'1-2-3'!$E$115</definedName>
    <definedName name="b25_GDP">'1-2-3'!$E$116</definedName>
    <definedName name="b26_BOR">'1-2-3'!$E$117</definedName>
    <definedName name="b27_Py">'1-2-3'!$E$118</definedName>
    <definedName name="beta">'HOUSEHOLD DATA'!$C$21</definedName>
    <definedName name="bq">'1-2-3'!$D$128</definedName>
    <definedName name="brat">'1-2-3'!$F$42</definedName>
    <definedName name="brat0">'1-2-3'!$D$42</definedName>
    <definedName name="bt">'1-2-3'!$D$125</definedName>
    <definedName name="CLOSURE" localSheetId="17">#REF!</definedName>
    <definedName name="Cn">'1-2-3'!$F$57</definedName>
    <definedName name="Cn0">'1-2-3'!$D$57</definedName>
    <definedName name="crat">'1-2-3'!$F$30</definedName>
    <definedName name="crat0">'1-2-3'!$D$30</definedName>
    <definedName name="Dd">'1-2-3'!$F$52</definedName>
    <definedName name="Dd0">'1-2-3'!$D$52</definedName>
    <definedName name="Ds">'1-2-3'!$F$51</definedName>
    <definedName name="Ds0">'1-2-3'!$D$51</definedName>
    <definedName name="E">'1-2-3'!$F$49</definedName>
    <definedName name="E0">'1-2-3'!$D$49</definedName>
    <definedName name="elas" localSheetId="20">'1-2-3'!#REF!</definedName>
    <definedName name="elas">'1-2-3'!#REF!</definedName>
    <definedName name="elas0" localSheetId="20">'1-2-3'!#REF!</definedName>
    <definedName name="elas0">'1-2-3'!#REF!</definedName>
    <definedName name="Er">'1-2-3'!$F$34</definedName>
    <definedName name="Er0">'1-2-3'!$D$34</definedName>
    <definedName name="erat">'1-2-3'!$F$28</definedName>
    <definedName name="erat0">'1-2-3'!$D$28</definedName>
    <definedName name="fbal">'1-2-3'!$F$32</definedName>
    <definedName name="fbal0">'1-2-3'!$D$32</definedName>
    <definedName name="G">'1-2-3'!$F$22</definedName>
    <definedName name="G0">'1-2-3'!$D$22</definedName>
    <definedName name="gap">'1-2-3'!$F$44</definedName>
    <definedName name="gap0">'1-2-3'!$D$44</definedName>
    <definedName name="Gdd" localSheetId="20">'1-2-3'!#REF!</definedName>
    <definedName name="Gdd">'1-2-3'!#REF!</definedName>
    <definedName name="Gdd0" localSheetId="20">'1-2-3'!#REF!</definedName>
    <definedName name="Gdd0">'1-2-3'!#REF!</definedName>
    <definedName name="GDP">'1-2-3'!$F$10</definedName>
    <definedName name="GDP0">'1-2-3'!$D$10</definedName>
    <definedName name="Gfd">'1-2-3'!$F$46</definedName>
    <definedName name="Gfd0">'1-2-3'!$D$46</definedName>
    <definedName name="grat">'1-2-3'!$F$26</definedName>
    <definedName name="grat0">'1-2-3'!$D$26</definedName>
    <definedName name="kgr">'1-2-3'!$F$31</definedName>
    <definedName name="kgr0">'1-2-3'!$D$31</definedName>
    <definedName name="LCScaleDlgCancel" localSheetId="20">'analyze results'!LCScaleDlgCancel</definedName>
    <definedName name="LCScaleDlgCancel" localSheetId="17">'HOUSEHOLD DATA'!LCScaleDlgCancel</definedName>
    <definedName name="LCScaleDlgCancel" localSheetId="1">'Input - manual'!LCScaleDlgCancel</definedName>
    <definedName name="LCScaleDlgCancel" localSheetId="0">'Input - RMSM'!LCScaleDlgCancel</definedName>
    <definedName name="LCScaleDlgCancel" localSheetId="22">'Options for the Base Case'!LCScaleDlgCancel</definedName>
    <definedName name="LCScaleDlgCancel" localSheetId="10">RESULTS!LCScaleDlgCancel</definedName>
    <definedName name="LCScaleDlgCancel" localSheetId="5">'VAR-based TOT growth adjustment'!LCScaleDlgCancel</definedName>
    <definedName name="LCScaleDlgOK" localSheetId="20">'analyze results'!LCScaleDlgOK</definedName>
    <definedName name="LCScaleDlgOK" localSheetId="17">'HOUSEHOLD DATA'!LCScaleDlgOK</definedName>
    <definedName name="LCScaleDlgOK" localSheetId="1">'Input - manual'!LCScaleDlgOK</definedName>
    <definedName name="LCScaleDlgOK" localSheetId="0">'Input - RMSM'!LCScaleDlgOK</definedName>
    <definedName name="LCScaleDlgOK" localSheetId="22">'Options for the Base Case'!LCScaleDlgOK</definedName>
    <definedName name="LCScaleDlgOK" localSheetId="10">RESULTS!LCScaleDlgOK</definedName>
    <definedName name="LCScaleDlgOK" localSheetId="5">'VAR-based TOT growth adjustment'!LCScaleDlgOK</definedName>
    <definedName name="M">'1-2-3'!$F$50</definedName>
    <definedName name="M0">'1-2-3'!$D$50</definedName>
    <definedName name="MS">'1-2-3'!$F$66</definedName>
    <definedName name="MS0">'1-2-3'!$D$66</definedName>
    <definedName name="ncap">'1-2-3'!$F$43</definedName>
    <definedName name="ncap0">'1-2-3'!$D$43</definedName>
    <definedName name="nctg">'1-2-3'!$F$39</definedName>
    <definedName name="nctg0">'1-2-3'!$D$39</definedName>
    <definedName name="nctp">'1-2-3'!$F$40</definedName>
    <definedName name="nctp0">'1-2-3'!$D$40</definedName>
    <definedName name="nfyg">'1-2-3'!$F$37</definedName>
    <definedName name="nfyg0">'1-2-3'!$D$37</definedName>
    <definedName name="nfyp">'1-2-3'!$F$38</definedName>
    <definedName name="nfyp0">'1-2-3'!$D$38</definedName>
    <definedName name="ofin" localSheetId="20">'1-2-3'!#REF!</definedName>
    <definedName name="ofin">'1-2-3'!#REF!</definedName>
    <definedName name="ofin0" localSheetId="20">'1-2-3'!#REF!</definedName>
    <definedName name="ofin0">'1-2-3'!#REF!</definedName>
    <definedName name="OnShow" localSheetId="20">'analyze results'!OnShow</definedName>
    <definedName name="OnShow" localSheetId="17">'HOUSEHOLD DATA'!OnShow</definedName>
    <definedName name="OnShow" localSheetId="1">'Input - manual'!OnShow</definedName>
    <definedName name="OnShow" localSheetId="0">'Input - RMSM'!OnShow</definedName>
    <definedName name="OnShow" localSheetId="22">'Options for the Base Case'!OnShow</definedName>
    <definedName name="OnShow" localSheetId="10">RESULTS!OnShow</definedName>
    <definedName name="OnShow" localSheetId="5">'VAR-based TOT growth adjustment'!OnShow</definedName>
    <definedName name="Pd">'1-2-3'!$F$62</definedName>
    <definedName name="Pd0">'1-2-3'!$D$62</definedName>
    <definedName name="Pe">'1-2-3'!$F$59</definedName>
    <definedName name="Pe0">'1-2-3'!$D$59</definedName>
    <definedName name="Pm">'1-2-3'!$F$58</definedName>
    <definedName name="Pm0">'1-2-3'!$D$58</definedName>
    <definedName name="Pn" localSheetId="20">'1-2-3'!#REF!</definedName>
    <definedName name="Pn">'1-2-3'!#REF!</definedName>
    <definedName name="Pn0" localSheetId="20">'1-2-3'!#REF!</definedName>
    <definedName name="Pn0">'1-2-3'!#REF!</definedName>
    <definedName name="Pq">'1-2-3'!$F$61</definedName>
    <definedName name="Pq0">'1-2-3'!$D$61</definedName>
    <definedName name="_xlnm.Print_Area" localSheetId="12">'%-Deviations from prev. results'!$A$1:$H$55</definedName>
    <definedName name="_xlnm.Print_Area" localSheetId="9">'1-2-3'!$A$1:$K$167</definedName>
    <definedName name="_xlnm.Print_Area" localSheetId="1">'Input - manual'!$A$2:$H$118</definedName>
    <definedName name="_xlnm.Print_Area" localSheetId="0">'Input - RMSM'!$A$2:$H$119</definedName>
    <definedName name="_xlnm.Print_Area" localSheetId="2">'MACRO DATA'!$A$2:$H$119</definedName>
    <definedName name="_xlnm.Print_Area" localSheetId="10">RESULTS!$A$1:$F$106</definedName>
    <definedName name="_xlnm.Print_Area" localSheetId="8">SCENARIO!$A$1:$J$130</definedName>
    <definedName name="_xlnm.Print_Titles" localSheetId="11">'MACRO TABLES'!$A:$B,'MACRO TABLES'!$4:$4</definedName>
    <definedName name="Pt">'1-2-3'!$F$60</definedName>
    <definedName name="Pt0">'1-2-3'!$D$60</definedName>
    <definedName name="Px">'1-2-3'!$F$14</definedName>
    <definedName name="Px0">'1-2-3'!$D$14</definedName>
    <definedName name="Py">'1-2-3'!$F$63</definedName>
    <definedName name="Py0">'1-2-3'!$D$63</definedName>
    <definedName name="Qd">'1-2-3'!$F$54</definedName>
    <definedName name="Qd0">'1-2-3'!$D$54</definedName>
    <definedName name="Qs">'1-2-3'!$F$53</definedName>
    <definedName name="Qs0">'1-2-3'!$D$53</definedName>
    <definedName name="relief" localSheetId="20">'1-2-3'!#REF!</definedName>
    <definedName name="relief">'1-2-3'!#REF!</definedName>
    <definedName name="relief0" localSheetId="20">'1-2-3'!#REF!</definedName>
    <definedName name="relief0">'1-2-3'!#REF!</definedName>
    <definedName name="Rer">'1-2-3'!$F$64</definedName>
    <definedName name="Rer0">'1-2-3'!$D$64</definedName>
    <definedName name="reser0" localSheetId="20">'1-2-3'!#REF!</definedName>
    <definedName name="reser0">'1-2-3'!#REF!</definedName>
    <definedName name="reser1" localSheetId="20">'1-2-3'!#REF!</definedName>
    <definedName name="reser1">'1-2-3'!#REF!</definedName>
    <definedName name="rq">'1-2-3'!$D$129</definedName>
    <definedName name="rt">'1-2-3'!$D$126</definedName>
    <definedName name="rVar" localSheetId="20">'1-2-3'!#REF!</definedName>
    <definedName name="rVar">'1-2-3'!#REF!</definedName>
    <definedName name="rVAR0" localSheetId="20">'1-2-3'!#REF!</definedName>
    <definedName name="rVAR0">'1-2-3'!#REF!</definedName>
    <definedName name="S">'1-2-3'!$F$56</definedName>
    <definedName name="S0">'1-2-3'!$D$56</definedName>
    <definedName name="scale">'MACRO DATA'!$C$3</definedName>
    <definedName name="scen_change" localSheetId="9" hidden="1">'1-2-3'!$F$49:$F$53,'1-2-3'!$F$14:$F$77,'1-2-3'!$F$55:$F$65</definedName>
    <definedName name="scen_result" localSheetId="9" hidden="1">'1-2-3'!#REF!,'1-2-3'!#REF!,'1-2-3'!#REF!,'1-2-3'!$E$85,'1-2-3'!$E$88,'1-2-3'!$E$98,'1-2-3'!$E$86,'1-2-3'!$E$89,'1-2-3'!$E$99,'1-2-3'!$E$91,'1-2-3'!$E$93,'1-2-3'!$E$104,'1-2-3'!$E$87,'1-2-3'!$E$108</definedName>
    <definedName name="se">'1-2-3'!$F$24</definedName>
    <definedName name="se0">'1-2-3'!$D$24</definedName>
    <definedName name="Sg">'1-2-3'!$F$68</definedName>
    <definedName name="Sg0">'1-2-3'!$D$68</definedName>
    <definedName name="solver_adj" localSheetId="9" hidden="1">'1-2-3'!$F$49,'1-2-3'!$F$50,'1-2-3'!$F$51,'1-2-3'!$F$52,'1-2-3'!$F$53,'1-2-3'!$F$54,'1-2-3'!$F$55,'1-2-3'!$F$56,'1-2-3'!$F$57,'1-2-3'!$F$58,'1-2-3'!$F$59,'1-2-3'!$F$60,'1-2-3'!$F$61,'1-2-3'!$F$62,'1-2-3'!$F$69,'1-2-3'!$F$68,'1-2-3'!$F$14,'1-2-3'!$F$23,'1-2-3'!$F$24,'1-2-3'!$F$25,'1-2-3'!$F$66,'1-2-3'!$F$10,'1-2-3'!$F$44,'1-2-3'!$F$32,'1-2-3'!$F$42,'1-2-3'!$F$26,'1-2-3'!$F$15</definedName>
    <definedName name="solver_cvg" localSheetId="12" hidden="1">0.001</definedName>
    <definedName name="solver_cvg" localSheetId="9" hidden="1">0.001</definedName>
    <definedName name="solver_drv" localSheetId="12" hidden="1">1</definedName>
    <definedName name="solver_drv" localSheetId="9" hidden="1">1</definedName>
    <definedName name="solver_est" localSheetId="12" hidden="1">1</definedName>
    <definedName name="solver_est" localSheetId="9" hidden="1">1</definedName>
    <definedName name="solver_itr" localSheetId="12" hidden="1">100</definedName>
    <definedName name="solver_itr" localSheetId="9" hidden="1">100</definedName>
    <definedName name="solver_lhs1" localSheetId="9" hidden="1">'1-2-3'!$E$85</definedName>
    <definedName name="solver_lhs10" localSheetId="9" hidden="1">'1-2-3'!$E$108</definedName>
    <definedName name="solver_lhs11" localSheetId="9" hidden="1">'1-2-3'!$E$107</definedName>
    <definedName name="solver_lhs12" localSheetId="9" hidden="1">'1-2-3'!$E$92</definedName>
    <definedName name="solver_lhs13" localSheetId="9" hidden="1">'1-2-3'!$E$95</definedName>
    <definedName name="solver_lhs14" localSheetId="9" hidden="1">'1-2-3'!$E$96</definedName>
    <definedName name="solver_lhs15" localSheetId="9" hidden="1">'1-2-3'!$E$97</definedName>
    <definedName name="solver_lhs16" localSheetId="9" hidden="1">'1-2-3'!$E$102</definedName>
    <definedName name="solver_lhs17" localSheetId="9" hidden="1">'1-2-3'!$E$101</definedName>
    <definedName name="solver_lhs18" localSheetId="9" hidden="1">'1-2-3'!$E$98</definedName>
    <definedName name="solver_lhs19" localSheetId="9" hidden="1">'1-2-3'!$E$109</definedName>
    <definedName name="solver_lhs2" localSheetId="9" hidden="1">'1-2-3'!$E$88</definedName>
    <definedName name="solver_lhs20" localSheetId="9" hidden="1">'1-2-3'!$E$110</definedName>
    <definedName name="solver_lhs21" localSheetId="9" hidden="1">'1-2-3'!$E$111</definedName>
    <definedName name="solver_lhs22" localSheetId="9" hidden="1">'1-2-3'!$E$112</definedName>
    <definedName name="solver_lhs23" localSheetId="9" hidden="1">'1-2-3'!$E$116</definedName>
    <definedName name="solver_lhs24" localSheetId="9" hidden="1">'1-2-3'!$E$117</definedName>
    <definedName name="solver_lhs25" localSheetId="9" hidden="1">'1-2-3'!$E$115</definedName>
    <definedName name="solver_lhs26" localSheetId="9" hidden="1">'1-2-3'!$E$105</definedName>
    <definedName name="solver_lhs27" localSheetId="9" hidden="1">'1-2-3'!$E$89</definedName>
    <definedName name="solver_lhs3" localSheetId="9" hidden="1">'1-2-3'!$E$86</definedName>
    <definedName name="solver_lhs4" localSheetId="9" hidden="1">'1-2-3'!$E$104</definedName>
    <definedName name="solver_lhs5" localSheetId="9" hidden="1">'1-2-3'!$E$99</definedName>
    <definedName name="solver_lhs6" localSheetId="9" hidden="1">'1-2-3'!$E$91</definedName>
    <definedName name="solver_lhs7" localSheetId="9" hidden="1">'1-2-3'!$E$93</definedName>
    <definedName name="solver_lhs8" localSheetId="9" hidden="1">'1-2-3'!$E$113</definedName>
    <definedName name="solver_lhs9" localSheetId="9" hidden="1">'1-2-3'!$E$87</definedName>
    <definedName name="solver_lin" localSheetId="12" hidden="1">2</definedName>
    <definedName name="solver_lin" localSheetId="9" hidden="1">2</definedName>
    <definedName name="solver_neg" localSheetId="12" hidden="1">2</definedName>
    <definedName name="solver_neg" localSheetId="9" hidden="1">2</definedName>
    <definedName name="solver_num" localSheetId="12" hidden="1">0</definedName>
    <definedName name="solver_num" localSheetId="9" hidden="1">27</definedName>
    <definedName name="solver_nwt" localSheetId="12" hidden="1">1</definedName>
    <definedName name="solver_nwt" localSheetId="9" hidden="1">1</definedName>
    <definedName name="solver_opt" localSheetId="12" hidden="1">'%-Deviations from prev. results'!$A$6</definedName>
    <definedName name="solver_opt" localSheetId="9" hidden="1">'1-2-3'!$F$57</definedName>
    <definedName name="solver_pre" localSheetId="12" hidden="1">0.000001</definedName>
    <definedName name="solver_pre" localSheetId="9" hidden="1">0.000001</definedName>
    <definedName name="solver_rel1" localSheetId="9" hidden="1">2</definedName>
    <definedName name="solver_rel10" localSheetId="9" hidden="1">2</definedName>
    <definedName name="solver_rel11" localSheetId="9" hidden="1">2</definedName>
    <definedName name="solver_rel12" localSheetId="9" hidden="1">2</definedName>
    <definedName name="solver_rel13" localSheetId="9" hidden="1">2</definedName>
    <definedName name="solver_rel14" localSheetId="9" hidden="1">2</definedName>
    <definedName name="solver_rel15" localSheetId="9" hidden="1">2</definedName>
    <definedName name="solver_rel16" localSheetId="9" hidden="1">2</definedName>
    <definedName name="solver_rel17" localSheetId="9" hidden="1">2</definedName>
    <definedName name="solver_rel18" localSheetId="9" hidden="1">2</definedName>
    <definedName name="solver_rel19" localSheetId="9" hidden="1">2</definedName>
    <definedName name="solver_rel2" localSheetId="9" hidden="1">2</definedName>
    <definedName name="solver_rel20" localSheetId="9" hidden="1">2</definedName>
    <definedName name="solver_rel21" localSheetId="9" hidden="1">2</definedName>
    <definedName name="solver_rel22" localSheetId="9" hidden="1">2</definedName>
    <definedName name="solver_rel23" localSheetId="9" hidden="1">2</definedName>
    <definedName name="solver_rel24" localSheetId="9" hidden="1">2</definedName>
    <definedName name="solver_rel25" localSheetId="9" hidden="1">2</definedName>
    <definedName name="solver_rel26" localSheetId="9" hidden="1">2</definedName>
    <definedName name="solver_rel27" localSheetId="9" hidden="1">2</definedName>
    <definedName name="solver_rel3" localSheetId="9" hidden="1">2</definedName>
    <definedName name="solver_rel4" localSheetId="9" hidden="1">2</definedName>
    <definedName name="solver_rel5" localSheetId="9" hidden="1">2</definedName>
    <definedName name="solver_rel6" localSheetId="9" hidden="1">2</definedName>
    <definedName name="solver_rel7" localSheetId="9" hidden="1">2</definedName>
    <definedName name="solver_rel8" localSheetId="9" hidden="1">2</definedName>
    <definedName name="solver_rel9" localSheetId="9" hidden="1">2</definedName>
    <definedName name="solver_rhs1" localSheetId="9" hidden="1">'1-2-3'!$F$13</definedName>
    <definedName name="solver_rhs10" localSheetId="9" hidden="1">'1-2-3'!$F$68</definedName>
    <definedName name="solver_rhs11" localSheetId="9" hidden="1">'1-2-3'!$F$69</definedName>
    <definedName name="solver_rhs12" localSheetId="9" hidden="1">'1-2-3'!$F$56</definedName>
    <definedName name="solver_rhs13" localSheetId="9" hidden="1">'1-2-3'!$F$58</definedName>
    <definedName name="solver_rhs14" localSheetId="9" hidden="1">'1-2-3'!$F$59</definedName>
    <definedName name="solver_rhs15" localSheetId="9" hidden="1">'1-2-3'!$F$60</definedName>
    <definedName name="solver_rhs16" localSheetId="9" hidden="1">0</definedName>
    <definedName name="solver_rhs17" localSheetId="9" hidden="1">0</definedName>
    <definedName name="solver_rhs18" localSheetId="9" hidden="1">'1-2-3'!$F$14</definedName>
    <definedName name="solver_rhs19" localSheetId="9" hidden="1">'1-2-3'!$F$26</definedName>
    <definedName name="solver_rhs2" localSheetId="9" hidden="1">E/Ds</definedName>
    <definedName name="solver_rhs20" localSheetId="9" hidden="1">'1-2-3'!$F$27</definedName>
    <definedName name="solver_rhs21" localSheetId="9" hidden="1">'1-2-3'!$F$28</definedName>
    <definedName name="solver_rhs22" localSheetId="9" hidden="1">'1-2-3'!$F$29</definedName>
    <definedName name="solver_rhs23" localSheetId="9" hidden="1">'1-2-3'!$F$10</definedName>
    <definedName name="solver_rhs24" localSheetId="9" hidden="1">'1-2-3'!$F$42</definedName>
    <definedName name="solver_rhs25" localSheetId="9" hidden="1">'1-2-3'!$F$10</definedName>
    <definedName name="solver_rhs26" localSheetId="9" hidden="1">'1-2-3'!$F$44</definedName>
    <definedName name="solver_rhs27" localSheetId="9" hidden="1">M/Dd</definedName>
    <definedName name="solver_rhs3" localSheetId="9" hidden="1">'1-2-3'!$F$53</definedName>
    <definedName name="solver_rhs4" localSheetId="9" hidden="1">'1-2-3'!$F$41</definedName>
    <definedName name="solver_rhs5" localSheetId="9" hidden="1">'1-2-3'!$F$61</definedName>
    <definedName name="solver_rhs6" localSheetId="9" hidden="1">'1-2-3'!$F$55</definedName>
    <definedName name="solver_rhs7" localSheetId="9" hidden="1">'1-2-3'!$F$57</definedName>
    <definedName name="solver_rhs8" localSheetId="9" hidden="1">fbal*Px*X</definedName>
    <definedName name="solver_rhs9" localSheetId="9" hidden="1">'1-2-3'!$F$54</definedName>
    <definedName name="solver_scl" localSheetId="12" hidden="1">2</definedName>
    <definedName name="solver_scl" localSheetId="9" hidden="1">2</definedName>
    <definedName name="solver_sho" localSheetId="12" hidden="1">1</definedName>
    <definedName name="solver_sho" localSheetId="9" hidden="1">2</definedName>
    <definedName name="solver_tim" localSheetId="12" hidden="1">100</definedName>
    <definedName name="solver_tim" localSheetId="9" hidden="1">100</definedName>
    <definedName name="solver_tmp" localSheetId="9" hidden="1">'1-2-3'!$F$57</definedName>
    <definedName name="solver_tol" localSheetId="12" hidden="1">0.05</definedName>
    <definedName name="solver_tol" localSheetId="9" hidden="1">0.05</definedName>
    <definedName name="solver_typ" localSheetId="12" hidden="1">1</definedName>
    <definedName name="solver_typ" localSheetId="9" hidden="1">1</definedName>
    <definedName name="solver_val" localSheetId="12" hidden="1">0</definedName>
    <definedName name="solver_val" localSheetId="9" hidden="1">0</definedName>
    <definedName name="sq">'1-2-3'!$D$6</definedName>
    <definedName name="srat">'1-2-3'!$F$29</definedName>
    <definedName name="srat0">'1-2-3'!$D$29</definedName>
    <definedName name="st">'1-2-3'!$D$5</definedName>
    <definedName name="su">'1-2-3'!$F$25</definedName>
    <definedName name="su0">'1-2-3'!$D$25</definedName>
    <definedName name="sy">'1-2-3'!$F$16</definedName>
    <definedName name="sy0">'1-2-3'!$D$16</definedName>
    <definedName name="tad">'1-2-3'!$F$71</definedName>
    <definedName name="tad0">'1-2-3'!$D$71</definedName>
    <definedName name="taj">'1-2-3'!$F$70</definedName>
    <definedName name="taj0">'1-2-3'!$D$70</definedName>
    <definedName name="Tax">'1-2-3'!$F$69</definedName>
    <definedName name="Tax0">'1-2-3'!$D$69</definedName>
    <definedName name="te">'1-2-3'!$F$19</definedName>
    <definedName name="te0">'1-2-3'!$D$19</definedName>
    <definedName name="tm">'1-2-3'!$F$18</definedName>
    <definedName name="tm0">'1-2-3'!$D$18</definedName>
    <definedName name="tr">'1-2-3'!$F$23</definedName>
    <definedName name="tr0">'1-2-3'!$D$23</definedName>
    <definedName name="trat">'1-2-3'!$F$27</definedName>
    <definedName name="trat0">'1-2-3'!$D$27</definedName>
    <definedName name="ts">'1-2-3'!$F$20</definedName>
    <definedName name="ts0">'1-2-3'!$D$20</definedName>
    <definedName name="ty">'1-2-3'!$F$21</definedName>
    <definedName name="ty0">'1-2-3'!$D$21</definedName>
    <definedName name="ve">'1-2-3'!$F$67</definedName>
    <definedName name="ve0">'1-2-3'!$D$67</definedName>
    <definedName name="we">'1-2-3'!$F$36</definedName>
    <definedName name="we0">'1-2-3'!$D$36</definedName>
    <definedName name="wm">'1-2-3'!$F$35</definedName>
    <definedName name="wm0">'1-2-3'!$D$35</definedName>
    <definedName name="wrn.table1." localSheetId="9" hidden="1">{#N/A,#N/A,FALSE}</definedName>
    <definedName name="X">'1-2-3'!$F$13</definedName>
    <definedName name="X0">'1-2-3'!$D$13</definedName>
    <definedName name="Y">'1-2-3'!$F$55</definedName>
    <definedName name="Y0">'1-2-3'!$D$55</definedName>
    <definedName name="Z">'1-2-3'!$F$15</definedName>
    <definedName name="Z0">'1-2-3'!$D$15</definedName>
  </definedNames>
  <calcPr calcId="125725" fullCalcOnLoad="1" iterate="1" iterateCount="1" calcOnSave="0"/>
  <pivotCaches>
    <pivotCache cacheId="3" r:id="rId28"/>
  </pivotCaches>
  <fileRecoveryPr repairLoad="1"/>
</workbook>
</file>

<file path=xl/calcChain.xml><?xml version="1.0" encoding="utf-8"?>
<calcChain xmlns="http://schemas.openxmlformats.org/spreadsheetml/2006/main">
  <c r="E2" i="11"/>
  <c r="B6"/>
  <c r="C6"/>
  <c r="D6"/>
  <c r="E6"/>
  <c r="F6"/>
  <c r="G6"/>
  <c r="H6"/>
  <c r="I6"/>
  <c r="J6"/>
  <c r="K6"/>
  <c r="L6"/>
  <c r="M6"/>
  <c r="N6"/>
  <c r="A7"/>
  <c r="F7"/>
  <c r="G7"/>
  <c r="H7"/>
  <c r="I7"/>
  <c r="J7"/>
  <c r="K7"/>
  <c r="L7"/>
  <c r="M7"/>
  <c r="N7"/>
  <c r="O7"/>
  <c r="A8"/>
  <c r="F8"/>
  <c r="G8"/>
  <c r="H8"/>
  <c r="I8"/>
  <c r="J8"/>
  <c r="K8"/>
  <c r="L8"/>
  <c r="M8"/>
  <c r="N8"/>
  <c r="O8"/>
  <c r="A9"/>
  <c r="F9"/>
  <c r="G9"/>
  <c r="H9"/>
  <c r="I9"/>
  <c r="J9"/>
  <c r="K9"/>
  <c r="L9"/>
  <c r="M9"/>
  <c r="N9"/>
  <c r="O9"/>
  <c r="A10"/>
  <c r="F10"/>
  <c r="G10"/>
  <c r="H10"/>
  <c r="I10"/>
  <c r="J10"/>
  <c r="K10"/>
  <c r="L10"/>
  <c r="M10"/>
  <c r="N10"/>
  <c r="O10"/>
  <c r="A11"/>
  <c r="F11"/>
  <c r="G11"/>
  <c r="H11"/>
  <c r="I11"/>
  <c r="J11"/>
  <c r="K11"/>
  <c r="L11"/>
  <c r="M11"/>
  <c r="N11"/>
  <c r="O11"/>
  <c r="A12"/>
  <c r="F12"/>
  <c r="G12"/>
  <c r="H12"/>
  <c r="I12"/>
  <c r="J12"/>
  <c r="K12"/>
  <c r="L12"/>
  <c r="M12"/>
  <c r="N12"/>
  <c r="O12"/>
  <c r="A13"/>
  <c r="F13"/>
  <c r="G13"/>
  <c r="H13"/>
  <c r="I13"/>
  <c r="J13"/>
  <c r="K13"/>
  <c r="L13"/>
  <c r="M13"/>
  <c r="N13"/>
  <c r="O13"/>
  <c r="A14"/>
  <c r="F14"/>
  <c r="G14"/>
  <c r="H14"/>
  <c r="I14"/>
  <c r="J14"/>
  <c r="K14"/>
  <c r="L14"/>
  <c r="M14"/>
  <c r="N14"/>
  <c r="O14"/>
  <c r="A15"/>
  <c r="F15"/>
  <c r="G15"/>
  <c r="H15"/>
  <c r="I15"/>
  <c r="J15"/>
  <c r="K15"/>
  <c r="L15"/>
  <c r="M15"/>
  <c r="N15"/>
  <c r="O15"/>
  <c r="A16"/>
  <c r="F16"/>
  <c r="G16"/>
  <c r="H16"/>
  <c r="I16"/>
  <c r="J16"/>
  <c r="K16"/>
  <c r="L16"/>
  <c r="M16"/>
  <c r="N16"/>
  <c r="O16"/>
  <c r="A17"/>
  <c r="F17"/>
  <c r="G17"/>
  <c r="H17"/>
  <c r="I17"/>
  <c r="J17"/>
  <c r="K17"/>
  <c r="L17"/>
  <c r="M17"/>
  <c r="N17"/>
  <c r="O17"/>
  <c r="A18"/>
  <c r="F18"/>
  <c r="G18"/>
  <c r="H18"/>
  <c r="I18"/>
  <c r="J18"/>
  <c r="K18"/>
  <c r="L18"/>
  <c r="M18"/>
  <c r="N18"/>
  <c r="O18"/>
  <c r="A19"/>
  <c r="F19"/>
  <c r="G19"/>
  <c r="H19"/>
  <c r="I19"/>
  <c r="J19"/>
  <c r="K19"/>
  <c r="L19"/>
  <c r="M19"/>
  <c r="N19"/>
  <c r="O19"/>
  <c r="A20"/>
  <c r="F20"/>
  <c r="G20"/>
  <c r="H20"/>
  <c r="I20"/>
  <c r="J20"/>
  <c r="K20"/>
  <c r="L20"/>
  <c r="M20"/>
  <c r="N20"/>
  <c r="O20"/>
  <c r="A21"/>
  <c r="F21"/>
  <c r="G21"/>
  <c r="H21"/>
  <c r="I21"/>
  <c r="J21"/>
  <c r="K21"/>
  <c r="L21"/>
  <c r="M21"/>
  <c r="N21"/>
  <c r="O21"/>
  <c r="A22"/>
  <c r="F22"/>
  <c r="G22"/>
  <c r="H22"/>
  <c r="I22"/>
  <c r="J22"/>
  <c r="K22"/>
  <c r="L22"/>
  <c r="M22"/>
  <c r="N22"/>
  <c r="O22"/>
  <c r="A23"/>
  <c r="F23"/>
  <c r="G23"/>
  <c r="H23"/>
  <c r="I23"/>
  <c r="J23"/>
  <c r="K23"/>
  <c r="L23"/>
  <c r="M23"/>
  <c r="N23"/>
  <c r="O23"/>
  <c r="A24"/>
  <c r="F24"/>
  <c r="G24"/>
  <c r="H24"/>
  <c r="I24"/>
  <c r="J24"/>
  <c r="K24"/>
  <c r="L24"/>
  <c r="M24"/>
  <c r="N24"/>
  <c r="O24"/>
  <c r="A25"/>
  <c r="F25"/>
  <c r="G25"/>
  <c r="H25"/>
  <c r="I25"/>
  <c r="J25"/>
  <c r="K25"/>
  <c r="L25"/>
  <c r="M25"/>
  <c r="N25"/>
  <c r="O25"/>
  <c r="A26"/>
  <c r="F26"/>
  <c r="G26"/>
  <c r="H26"/>
  <c r="I26"/>
  <c r="J26"/>
  <c r="K26"/>
  <c r="L26"/>
  <c r="M26"/>
  <c r="N26"/>
  <c r="O26"/>
  <c r="A27"/>
  <c r="F27"/>
  <c r="G27"/>
  <c r="H27"/>
  <c r="I27"/>
  <c r="J27"/>
  <c r="K27"/>
  <c r="L27"/>
  <c r="M27"/>
  <c r="N27"/>
  <c r="O27"/>
  <c r="A28"/>
  <c r="F28"/>
  <c r="G28"/>
  <c r="H28"/>
  <c r="I28"/>
  <c r="J28"/>
  <c r="K28"/>
  <c r="L28"/>
  <c r="M28"/>
  <c r="N28"/>
  <c r="O28"/>
  <c r="A29"/>
  <c r="F29"/>
  <c r="G29"/>
  <c r="H29"/>
  <c r="I29"/>
  <c r="J29"/>
  <c r="K29"/>
  <c r="L29"/>
  <c r="M29"/>
  <c r="N29"/>
  <c r="O29"/>
  <c r="A30"/>
  <c r="F30"/>
  <c r="G30"/>
  <c r="H30"/>
  <c r="I30"/>
  <c r="J30"/>
  <c r="K30"/>
  <c r="L30"/>
  <c r="M30"/>
  <c r="N30"/>
  <c r="O30"/>
  <c r="A31"/>
  <c r="F31"/>
  <c r="G31"/>
  <c r="H31"/>
  <c r="I31"/>
  <c r="J31"/>
  <c r="K31"/>
  <c r="L31"/>
  <c r="M31"/>
  <c r="N31"/>
  <c r="O31"/>
  <c r="A32"/>
  <c r="F32"/>
  <c r="G32"/>
  <c r="H32"/>
  <c r="I32"/>
  <c r="J32"/>
  <c r="K32"/>
  <c r="L32"/>
  <c r="M32"/>
  <c r="N32"/>
  <c r="O32"/>
  <c r="A33"/>
  <c r="F33"/>
  <c r="G33"/>
  <c r="H33"/>
  <c r="I33"/>
  <c r="J33"/>
  <c r="K33"/>
  <c r="L33"/>
  <c r="M33"/>
  <c r="N33"/>
  <c r="O33"/>
  <c r="A34"/>
  <c r="F34"/>
  <c r="G34"/>
  <c r="H34"/>
  <c r="I34"/>
  <c r="J34"/>
  <c r="K34"/>
  <c r="L34"/>
  <c r="M34"/>
  <c r="N34"/>
  <c r="O34"/>
  <c r="A35"/>
  <c r="F35"/>
  <c r="G35"/>
  <c r="H35"/>
  <c r="I35"/>
  <c r="J35"/>
  <c r="K35"/>
  <c r="L35"/>
  <c r="M35"/>
  <c r="N35"/>
  <c r="O35"/>
  <c r="A36"/>
  <c r="F36"/>
  <c r="G36"/>
  <c r="H36"/>
  <c r="I36"/>
  <c r="J36"/>
  <c r="K36"/>
  <c r="L36"/>
  <c r="M36"/>
  <c r="N36"/>
  <c r="O36"/>
  <c r="A37"/>
  <c r="F37"/>
  <c r="G37"/>
  <c r="H37"/>
  <c r="I37"/>
  <c r="J37"/>
  <c r="K37"/>
  <c r="L37"/>
  <c r="M37"/>
  <c r="N37"/>
  <c r="O37"/>
  <c r="A38"/>
  <c r="F38"/>
  <c r="G38"/>
  <c r="H38"/>
  <c r="I38"/>
  <c r="J38"/>
  <c r="K38"/>
  <c r="L38"/>
  <c r="M38"/>
  <c r="N38"/>
  <c r="O38"/>
  <c r="A39"/>
  <c r="F39"/>
  <c r="G39"/>
  <c r="H39"/>
  <c r="I39"/>
  <c r="J39"/>
  <c r="K39"/>
  <c r="L39"/>
  <c r="M39"/>
  <c r="N39"/>
  <c r="O39"/>
  <c r="A42"/>
  <c r="F42"/>
  <c r="G42"/>
  <c r="H42"/>
  <c r="I42"/>
  <c r="J42"/>
  <c r="K42"/>
  <c r="L42"/>
  <c r="M42"/>
  <c r="N42"/>
  <c r="O42"/>
  <c r="A43"/>
  <c r="F43"/>
  <c r="G43"/>
  <c r="H43"/>
  <c r="I43"/>
  <c r="J43"/>
  <c r="K43"/>
  <c r="L43"/>
  <c r="M43"/>
  <c r="N43"/>
  <c r="O43"/>
  <c r="A44"/>
  <c r="F44"/>
  <c r="G44"/>
  <c r="H44"/>
  <c r="I44"/>
  <c r="J44"/>
  <c r="K44"/>
  <c r="L44"/>
  <c r="M44"/>
  <c r="N44"/>
  <c r="O44"/>
  <c r="A45"/>
  <c r="F45"/>
  <c r="G45"/>
  <c r="H45"/>
  <c r="I45"/>
  <c r="J45"/>
  <c r="K45"/>
  <c r="L45"/>
  <c r="M45"/>
  <c r="N45"/>
  <c r="O45"/>
  <c r="A46"/>
  <c r="F46"/>
  <c r="G46"/>
  <c r="H46"/>
  <c r="I46"/>
  <c r="J46"/>
  <c r="K46"/>
  <c r="L46"/>
  <c r="M46"/>
  <c r="N46"/>
  <c r="O46"/>
  <c r="A47"/>
  <c r="F47"/>
  <c r="G47"/>
  <c r="H47"/>
  <c r="I47"/>
  <c r="J47"/>
  <c r="K47"/>
  <c r="L47"/>
  <c r="M47"/>
  <c r="N47"/>
  <c r="O47"/>
  <c r="A48"/>
  <c r="F48"/>
  <c r="G48"/>
  <c r="H48"/>
  <c r="I48"/>
  <c r="J48"/>
  <c r="K48"/>
  <c r="L48"/>
  <c r="M48"/>
  <c r="N48"/>
  <c r="O48"/>
  <c r="A49"/>
  <c r="F49"/>
  <c r="G49"/>
  <c r="H49"/>
  <c r="I49"/>
  <c r="J49"/>
  <c r="K49"/>
  <c r="L49"/>
  <c r="M49"/>
  <c r="N49"/>
  <c r="O49"/>
  <c r="A50"/>
  <c r="F50"/>
  <c r="G50"/>
  <c r="H50"/>
  <c r="I50"/>
  <c r="J50"/>
  <c r="K50"/>
  <c r="L50"/>
  <c r="M50"/>
  <c r="N50"/>
  <c r="O50"/>
  <c r="A51"/>
  <c r="F51"/>
  <c r="G51"/>
  <c r="H51"/>
  <c r="I51"/>
  <c r="J51"/>
  <c r="K51"/>
  <c r="L51"/>
  <c r="M51"/>
  <c r="N51"/>
  <c r="O51"/>
  <c r="A53"/>
  <c r="F53"/>
  <c r="G53"/>
  <c r="H53"/>
  <c r="I53"/>
  <c r="J53"/>
  <c r="K53"/>
  <c r="L53"/>
  <c r="M53"/>
  <c r="N53"/>
  <c r="O53"/>
  <c r="A55"/>
  <c r="F55"/>
  <c r="G55"/>
  <c r="H55"/>
  <c r="I55"/>
  <c r="J55"/>
  <c r="K55"/>
  <c r="L55"/>
  <c r="M55"/>
  <c r="N55"/>
  <c r="O55"/>
  <c r="A59"/>
  <c r="A60"/>
  <c r="A61"/>
  <c r="A62"/>
  <c r="A63"/>
  <c r="A64"/>
  <c r="A65"/>
  <c r="A66"/>
  <c r="A67"/>
  <c r="A68"/>
  <c r="A70"/>
  <c r="A72"/>
  <c r="B1" i="3"/>
  <c r="C2"/>
  <c r="D5"/>
  <c r="D6"/>
  <c r="I10"/>
  <c r="D10" s="1"/>
  <c r="G10" s="1"/>
  <c r="D11"/>
  <c r="G11" s="1"/>
  <c r="G12"/>
  <c r="I13"/>
  <c r="D13" s="1"/>
  <c r="D14"/>
  <c r="G14"/>
  <c r="I14"/>
  <c r="D35"/>
  <c r="G35"/>
  <c r="I35"/>
  <c r="G36"/>
  <c r="I36"/>
  <c r="D49"/>
  <c r="G49" s="1"/>
  <c r="H49"/>
  <c r="D50"/>
  <c r="G50" s="1"/>
  <c r="H50"/>
  <c r="H51"/>
  <c r="H52"/>
  <c r="H53"/>
  <c r="H54"/>
  <c r="H55"/>
  <c r="H56"/>
  <c r="H57"/>
  <c r="H58"/>
  <c r="H59"/>
  <c r="H60"/>
  <c r="H61"/>
  <c r="G62"/>
  <c r="H62"/>
  <c r="D63"/>
  <c r="G63" s="1"/>
  <c r="H63"/>
  <c r="D64"/>
  <c r="G64" s="1"/>
  <c r="H64"/>
  <c r="F65"/>
  <c r="H65"/>
  <c r="D66"/>
  <c r="G66"/>
  <c r="H66"/>
  <c r="D67"/>
  <c r="G67" s="1"/>
  <c r="H67"/>
  <c r="H68"/>
  <c r="H69"/>
  <c r="G70"/>
  <c r="H70"/>
  <c r="G71"/>
  <c r="H71"/>
  <c r="F72"/>
  <c r="H72" s="1"/>
  <c r="F73"/>
  <c r="H73" s="1"/>
  <c r="F74"/>
  <c r="H74" s="1"/>
  <c r="F75"/>
  <c r="H75" s="1"/>
  <c r="F76"/>
  <c r="H76" s="1"/>
  <c r="F77"/>
  <c r="H77" s="1"/>
  <c r="F78"/>
  <c r="H78" s="1"/>
  <c r="F79"/>
  <c r="H79" s="1"/>
  <c r="F80"/>
  <c r="H80" s="1"/>
  <c r="D81"/>
  <c r="F81"/>
  <c r="H81" s="1"/>
  <c r="I82"/>
  <c r="G85"/>
  <c r="G86"/>
  <c r="E87"/>
  <c r="F87" s="1"/>
  <c r="G87"/>
  <c r="G88"/>
  <c r="G89"/>
  <c r="E91"/>
  <c r="F91" s="1"/>
  <c r="G91"/>
  <c r="E92"/>
  <c r="F92" s="1"/>
  <c r="G92"/>
  <c r="E93"/>
  <c r="F93" s="1"/>
  <c r="G93"/>
  <c r="E95"/>
  <c r="F95" s="1"/>
  <c r="G95"/>
  <c r="E96"/>
  <c r="F96" s="1"/>
  <c r="G96"/>
  <c r="E97"/>
  <c r="F97" s="1"/>
  <c r="G97"/>
  <c r="E98"/>
  <c r="F98" s="1"/>
  <c r="G98"/>
  <c r="E99"/>
  <c r="F99" s="1"/>
  <c r="G99"/>
  <c r="E101"/>
  <c r="F101" s="1"/>
  <c r="G101"/>
  <c r="H101" s="1"/>
  <c r="E102"/>
  <c r="F102" s="1"/>
  <c r="G102"/>
  <c r="H102" s="1"/>
  <c r="E104"/>
  <c r="F104" s="1"/>
  <c r="G104"/>
  <c r="E105"/>
  <c r="F105" s="1"/>
  <c r="G105"/>
  <c r="E107"/>
  <c r="F107" s="1"/>
  <c r="G107"/>
  <c r="E108"/>
  <c r="F108" s="1"/>
  <c r="G108"/>
  <c r="E109"/>
  <c r="F109" s="1"/>
  <c r="G109"/>
  <c r="E110"/>
  <c r="F110" s="1"/>
  <c r="G110"/>
  <c r="E111"/>
  <c r="F111" s="1"/>
  <c r="G111"/>
  <c r="H111" s="1"/>
  <c r="E112"/>
  <c r="F112" s="1"/>
  <c r="G112"/>
  <c r="E113"/>
  <c r="F113" s="1"/>
  <c r="G113"/>
  <c r="E115"/>
  <c r="F115" s="1"/>
  <c r="G115"/>
  <c r="E116"/>
  <c r="F116" s="1"/>
  <c r="G116"/>
  <c r="E117"/>
  <c r="F117" s="1"/>
  <c r="G117"/>
  <c r="E118"/>
  <c r="F118" s="1"/>
  <c r="G118"/>
  <c r="E119"/>
  <c r="E120"/>
  <c r="E121"/>
  <c r="E122"/>
  <c r="F122"/>
  <c r="G122"/>
  <c r="D126"/>
  <c r="D129"/>
  <c r="A130"/>
  <c r="B130"/>
  <c r="I130"/>
  <c r="J130" s="1"/>
  <c r="K130" s="1"/>
  <c r="L130" s="1"/>
  <c r="M130" s="1"/>
  <c r="N130" s="1"/>
  <c r="O130" s="1"/>
  <c r="P130" s="1"/>
  <c r="Q130" s="1"/>
  <c r="R130" s="1"/>
  <c r="S130" s="1"/>
  <c r="A131"/>
  <c r="B131"/>
  <c r="A132"/>
  <c r="B132"/>
  <c r="H132"/>
  <c r="I132"/>
  <c r="J132"/>
  <c r="K132"/>
  <c r="L132"/>
  <c r="M132"/>
  <c r="N132"/>
  <c r="O132"/>
  <c r="P132"/>
  <c r="Q132"/>
  <c r="R132"/>
  <c r="S132"/>
  <c r="A133"/>
  <c r="B133"/>
  <c r="H133"/>
  <c r="I133"/>
  <c r="J133"/>
  <c r="K133"/>
  <c r="L133"/>
  <c r="M133"/>
  <c r="N133"/>
  <c r="O133"/>
  <c r="P133"/>
  <c r="Q133"/>
  <c r="R133"/>
  <c r="S133"/>
  <c r="A134"/>
  <c r="B134"/>
  <c r="A135"/>
  <c r="B135"/>
  <c r="A136"/>
  <c r="B136"/>
  <c r="A137"/>
  <c r="B137"/>
  <c r="K137"/>
  <c r="O137"/>
  <c r="S137"/>
  <c r="A138"/>
  <c r="B138"/>
  <c r="K138"/>
  <c r="O138"/>
  <c r="S138"/>
  <c r="A139"/>
  <c r="B139"/>
  <c r="I139"/>
  <c r="K139"/>
  <c r="M139"/>
  <c r="O139"/>
  <c r="Q139"/>
  <c r="S139"/>
  <c r="A140"/>
  <c r="B140"/>
  <c r="I140"/>
  <c r="K140"/>
  <c r="M140"/>
  <c r="O140"/>
  <c r="Q140"/>
  <c r="S140"/>
  <c r="A141"/>
  <c r="B141"/>
  <c r="K141"/>
  <c r="O141"/>
  <c r="S141"/>
  <c r="A142"/>
  <c r="B142"/>
  <c r="I142"/>
  <c r="K142"/>
  <c r="M142"/>
  <c r="O142"/>
  <c r="Q142"/>
  <c r="S142"/>
  <c r="A143"/>
  <c r="B143"/>
  <c r="K143"/>
  <c r="O143"/>
  <c r="S143"/>
  <c r="A144"/>
  <c r="B144"/>
  <c r="K144"/>
  <c r="O144"/>
  <c r="S144"/>
  <c r="A145"/>
  <c r="B145"/>
  <c r="I145"/>
  <c r="K145"/>
  <c r="M145"/>
  <c r="O145"/>
  <c r="Q145"/>
  <c r="S145"/>
  <c r="A146"/>
  <c r="B146"/>
  <c r="I146"/>
  <c r="K146"/>
  <c r="M146"/>
  <c r="O146"/>
  <c r="Q146"/>
  <c r="S146"/>
  <c r="A147"/>
  <c r="B147"/>
  <c r="I147"/>
  <c r="K147"/>
  <c r="M147"/>
  <c r="O147"/>
  <c r="Q147"/>
  <c r="S147"/>
  <c r="A148"/>
  <c r="B148"/>
  <c r="I148"/>
  <c r="K148"/>
  <c r="M148"/>
  <c r="O148"/>
  <c r="Q148"/>
  <c r="S148"/>
  <c r="I149"/>
  <c r="K149"/>
  <c r="M149"/>
  <c r="O149"/>
  <c r="Q149"/>
  <c r="S149"/>
  <c r="I150"/>
  <c r="K150"/>
  <c r="M150"/>
  <c r="O150"/>
  <c r="Q150"/>
  <c r="S150"/>
  <c r="I151"/>
  <c r="K151"/>
  <c r="M151"/>
  <c r="O151"/>
  <c r="Q151"/>
  <c r="S151"/>
  <c r="I152"/>
  <c r="K152"/>
  <c r="M152"/>
  <c r="O152"/>
  <c r="Q152"/>
  <c r="S152"/>
  <c r="I153"/>
  <c r="K153"/>
  <c r="M153"/>
  <c r="O153"/>
  <c r="Q153"/>
  <c r="S153"/>
  <c r="I154"/>
  <c r="K154"/>
  <c r="M154"/>
  <c r="O154"/>
  <c r="Q154"/>
  <c r="S154"/>
  <c r="I155"/>
  <c r="K155"/>
  <c r="M155"/>
  <c r="O155"/>
  <c r="Q155"/>
  <c r="S155"/>
  <c r="K156"/>
  <c r="O156"/>
  <c r="S156"/>
  <c r="K157"/>
  <c r="O157"/>
  <c r="S157"/>
  <c r="I158"/>
  <c r="K158"/>
  <c r="M158"/>
  <c r="O158"/>
  <c r="Q158"/>
  <c r="S158"/>
  <c r="I159"/>
  <c r="K159"/>
  <c r="M159"/>
  <c r="O159"/>
  <c r="Q159"/>
  <c r="S159"/>
  <c r="H161"/>
  <c r="I161"/>
  <c r="J161"/>
  <c r="K161"/>
  <c r="L161"/>
  <c r="M161"/>
  <c r="N161"/>
  <c r="O161"/>
  <c r="P161"/>
  <c r="Q161"/>
  <c r="R161"/>
  <c r="S161"/>
  <c r="B6" i="14"/>
  <c r="B7"/>
  <c r="B8"/>
  <c r="C8"/>
  <c r="D8"/>
  <c r="E8"/>
  <c r="F8"/>
  <c r="G8"/>
  <c r="H8"/>
  <c r="B10"/>
  <c r="B11"/>
  <c r="B14"/>
  <c r="C15" s="1"/>
  <c r="C14"/>
  <c r="D14"/>
  <c r="E15" s="1"/>
  <c r="E14"/>
  <c r="F14"/>
  <c r="G15" s="1"/>
  <c r="G14"/>
  <c r="H14"/>
  <c r="H15" s="1"/>
  <c r="B16"/>
  <c r="C17" s="1"/>
  <c r="C16"/>
  <c r="D16"/>
  <c r="E17" s="1"/>
  <c r="E16"/>
  <c r="F16"/>
  <c r="G17" s="1"/>
  <c r="G16"/>
  <c r="H16"/>
  <c r="B18"/>
  <c r="B19"/>
  <c r="C19"/>
  <c r="D19"/>
  <c r="E19"/>
  <c r="F19"/>
  <c r="G19"/>
  <c r="H19"/>
  <c r="B20"/>
  <c r="B22"/>
  <c r="B23"/>
  <c r="C23"/>
  <c r="D23"/>
  <c r="E23"/>
  <c r="F23"/>
  <c r="G23"/>
  <c r="H23"/>
  <c r="B24"/>
  <c r="C24"/>
  <c r="D24"/>
  <c r="E24"/>
  <c r="F24"/>
  <c r="G24"/>
  <c r="H24"/>
  <c r="B25"/>
  <c r="C25"/>
  <c r="D25"/>
  <c r="E25"/>
  <c r="F25"/>
  <c r="G25"/>
  <c r="H25"/>
  <c r="A3" i="29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7"/>
  <c r="A38"/>
  <c r="A39"/>
  <c r="A40"/>
  <c r="A41"/>
  <c r="A42"/>
  <c r="A43"/>
  <c r="A44"/>
  <c r="A45"/>
  <c r="A46"/>
  <c r="A47"/>
  <c r="A49"/>
  <c r="A51"/>
  <c r="A54"/>
  <c r="A55"/>
  <c r="A56"/>
  <c r="A57"/>
  <c r="A58"/>
  <c r="A59"/>
  <c r="A60"/>
  <c r="A61"/>
  <c r="A62"/>
  <c r="A63"/>
  <c r="A64"/>
  <c r="A66"/>
  <c r="A68"/>
  <c r="B2" i="31"/>
  <c r="C2"/>
  <c r="D2"/>
  <c r="E2"/>
  <c r="F2"/>
  <c r="G2"/>
  <c r="H2"/>
  <c r="I2"/>
  <c r="J2"/>
  <c r="K2"/>
  <c r="L2"/>
  <c r="M2"/>
  <c r="N2"/>
  <c r="O2"/>
  <c r="A3"/>
  <c r="B3"/>
  <c r="C3"/>
  <c r="D3"/>
  <c r="E3"/>
  <c r="F3"/>
  <c r="G3"/>
  <c r="H3"/>
  <c r="I3"/>
  <c r="J3"/>
  <c r="K3"/>
  <c r="L3"/>
  <c r="M3"/>
  <c r="N3"/>
  <c r="O3"/>
  <c r="A4"/>
  <c r="B4"/>
  <c r="C4"/>
  <c r="D4"/>
  <c r="E4"/>
  <c r="F4"/>
  <c r="G4"/>
  <c r="H4"/>
  <c r="I4"/>
  <c r="J4"/>
  <c r="K4"/>
  <c r="L4"/>
  <c r="M4"/>
  <c r="N4"/>
  <c r="O4"/>
  <c r="A5"/>
  <c r="B5"/>
  <c r="C5"/>
  <c r="D5"/>
  <c r="E5"/>
  <c r="F5"/>
  <c r="G5"/>
  <c r="H5"/>
  <c r="I5"/>
  <c r="J5"/>
  <c r="K5"/>
  <c r="L5"/>
  <c r="M5"/>
  <c r="N5"/>
  <c r="O5"/>
  <c r="A6"/>
  <c r="B6"/>
  <c r="C6"/>
  <c r="D6"/>
  <c r="E6"/>
  <c r="F6"/>
  <c r="G6"/>
  <c r="H6"/>
  <c r="I6"/>
  <c r="J6"/>
  <c r="K6"/>
  <c r="L6"/>
  <c r="M6"/>
  <c r="N6"/>
  <c r="O6"/>
  <c r="A7"/>
  <c r="B7"/>
  <c r="C7"/>
  <c r="D7"/>
  <c r="E7"/>
  <c r="F7"/>
  <c r="G7"/>
  <c r="H7"/>
  <c r="I7"/>
  <c r="J7"/>
  <c r="K7"/>
  <c r="L7"/>
  <c r="M7"/>
  <c r="N7"/>
  <c r="O7"/>
  <c r="A8"/>
  <c r="B8"/>
  <c r="C8"/>
  <c r="D8"/>
  <c r="E8"/>
  <c r="F8"/>
  <c r="G8"/>
  <c r="H8"/>
  <c r="I8"/>
  <c r="J8"/>
  <c r="K8"/>
  <c r="L8"/>
  <c r="M8"/>
  <c r="N8"/>
  <c r="O8"/>
  <c r="A9"/>
  <c r="B9"/>
  <c r="C9"/>
  <c r="D9"/>
  <c r="E9"/>
  <c r="F9"/>
  <c r="G9"/>
  <c r="H9"/>
  <c r="I9"/>
  <c r="J9"/>
  <c r="K9"/>
  <c r="L9"/>
  <c r="M9"/>
  <c r="N9"/>
  <c r="O9"/>
  <c r="A10"/>
  <c r="B10"/>
  <c r="C10"/>
  <c r="D10"/>
  <c r="E10"/>
  <c r="F10"/>
  <c r="G10"/>
  <c r="H10"/>
  <c r="I10"/>
  <c r="J10"/>
  <c r="K10"/>
  <c r="L10"/>
  <c r="M10"/>
  <c r="N10"/>
  <c r="O10"/>
  <c r="A11"/>
  <c r="B11"/>
  <c r="C11"/>
  <c r="D11"/>
  <c r="E11"/>
  <c r="F11"/>
  <c r="G11"/>
  <c r="H11"/>
  <c r="I11"/>
  <c r="J11"/>
  <c r="K11"/>
  <c r="L11"/>
  <c r="M11"/>
  <c r="N11"/>
  <c r="O11"/>
  <c r="A12"/>
  <c r="B12"/>
  <c r="C12"/>
  <c r="D12"/>
  <c r="E12"/>
  <c r="F12"/>
  <c r="G12"/>
  <c r="H12"/>
  <c r="I12"/>
  <c r="J12"/>
  <c r="K12"/>
  <c r="L12"/>
  <c r="M12"/>
  <c r="N12"/>
  <c r="O12"/>
  <c r="A13"/>
  <c r="B13"/>
  <c r="C13"/>
  <c r="D13"/>
  <c r="E13"/>
  <c r="F13"/>
  <c r="G13"/>
  <c r="H13"/>
  <c r="I13"/>
  <c r="J13"/>
  <c r="K13"/>
  <c r="L13"/>
  <c r="M13"/>
  <c r="N13"/>
  <c r="O13"/>
  <c r="A14"/>
  <c r="B14"/>
  <c r="C14"/>
  <c r="D14"/>
  <c r="E14"/>
  <c r="F14"/>
  <c r="G14"/>
  <c r="H14"/>
  <c r="I14"/>
  <c r="J14"/>
  <c r="K14"/>
  <c r="L14"/>
  <c r="M14"/>
  <c r="N14"/>
  <c r="O14"/>
  <c r="A15"/>
  <c r="B15"/>
  <c r="C15"/>
  <c r="D15"/>
  <c r="E15"/>
  <c r="F15"/>
  <c r="G15"/>
  <c r="H15"/>
  <c r="I15"/>
  <c r="J15"/>
  <c r="K15"/>
  <c r="L15"/>
  <c r="M15"/>
  <c r="N15"/>
  <c r="O15"/>
  <c r="A16"/>
  <c r="B16"/>
  <c r="C16"/>
  <c r="D16"/>
  <c r="E16"/>
  <c r="F16"/>
  <c r="G16"/>
  <c r="H16"/>
  <c r="I16"/>
  <c r="J16"/>
  <c r="K16"/>
  <c r="L16"/>
  <c r="M16"/>
  <c r="N16"/>
  <c r="O16"/>
  <c r="A17"/>
  <c r="B17"/>
  <c r="C17"/>
  <c r="D17"/>
  <c r="E17"/>
  <c r="F17"/>
  <c r="G17"/>
  <c r="H17"/>
  <c r="I17"/>
  <c r="J17"/>
  <c r="K17"/>
  <c r="L17"/>
  <c r="M17"/>
  <c r="N17"/>
  <c r="O17"/>
  <c r="A18"/>
  <c r="B18"/>
  <c r="C18"/>
  <c r="D18"/>
  <c r="E18"/>
  <c r="F18"/>
  <c r="G18"/>
  <c r="H18"/>
  <c r="I18"/>
  <c r="J18"/>
  <c r="K18"/>
  <c r="L18"/>
  <c r="M18"/>
  <c r="N18"/>
  <c r="O18"/>
  <c r="A19"/>
  <c r="B19"/>
  <c r="C19"/>
  <c r="D19"/>
  <c r="E19"/>
  <c r="F19"/>
  <c r="G19"/>
  <c r="H19"/>
  <c r="I19"/>
  <c r="J19"/>
  <c r="K19"/>
  <c r="L19"/>
  <c r="M19"/>
  <c r="N19"/>
  <c r="O19"/>
  <c r="A20"/>
  <c r="B20"/>
  <c r="C20"/>
  <c r="D20"/>
  <c r="E20"/>
  <c r="F20"/>
  <c r="G20"/>
  <c r="H20"/>
  <c r="I20"/>
  <c r="J20"/>
  <c r="K20"/>
  <c r="L20"/>
  <c r="M20"/>
  <c r="N20"/>
  <c r="O20"/>
  <c r="A21"/>
  <c r="B21"/>
  <c r="C21"/>
  <c r="D21"/>
  <c r="E21"/>
  <c r="F21"/>
  <c r="G21"/>
  <c r="H21"/>
  <c r="I21"/>
  <c r="J21"/>
  <c r="K21"/>
  <c r="L21"/>
  <c r="M21"/>
  <c r="N21"/>
  <c r="O21"/>
  <c r="A22"/>
  <c r="B22"/>
  <c r="C22"/>
  <c r="D22"/>
  <c r="E22"/>
  <c r="F22"/>
  <c r="G22"/>
  <c r="H22"/>
  <c r="I22"/>
  <c r="J22"/>
  <c r="K22"/>
  <c r="L22"/>
  <c r="M22"/>
  <c r="N22"/>
  <c r="O22"/>
  <c r="A23"/>
  <c r="B23"/>
  <c r="C23"/>
  <c r="D23"/>
  <c r="E23"/>
  <c r="F23"/>
  <c r="G23"/>
  <c r="H23"/>
  <c r="I23"/>
  <c r="J23"/>
  <c r="K23"/>
  <c r="L23"/>
  <c r="M23"/>
  <c r="N23"/>
  <c r="O23"/>
  <c r="A24"/>
  <c r="B24"/>
  <c r="C24"/>
  <c r="D24"/>
  <c r="E24"/>
  <c r="F24"/>
  <c r="G24"/>
  <c r="H24"/>
  <c r="I24"/>
  <c r="J24"/>
  <c r="K24"/>
  <c r="L24"/>
  <c r="M24"/>
  <c r="N24"/>
  <c r="O24"/>
  <c r="A25"/>
  <c r="B25"/>
  <c r="C25"/>
  <c r="D25"/>
  <c r="E25"/>
  <c r="F25"/>
  <c r="G25"/>
  <c r="H25"/>
  <c r="I25"/>
  <c r="J25"/>
  <c r="K25"/>
  <c r="L25"/>
  <c r="M25"/>
  <c r="N25"/>
  <c r="O25"/>
  <c r="A26"/>
  <c r="B26"/>
  <c r="C26"/>
  <c r="D26"/>
  <c r="E26"/>
  <c r="F26"/>
  <c r="G26"/>
  <c r="H26"/>
  <c r="I26"/>
  <c r="J26"/>
  <c r="K26"/>
  <c r="L26"/>
  <c r="M26"/>
  <c r="N26"/>
  <c r="O26"/>
  <c r="A27"/>
  <c r="B27"/>
  <c r="C27"/>
  <c r="D27"/>
  <c r="E27"/>
  <c r="F27"/>
  <c r="G27"/>
  <c r="H27"/>
  <c r="I27"/>
  <c r="J27"/>
  <c r="K27"/>
  <c r="L27"/>
  <c r="M27"/>
  <c r="N27"/>
  <c r="O27"/>
  <c r="A28"/>
  <c r="B28"/>
  <c r="C28"/>
  <c r="D28"/>
  <c r="E28"/>
  <c r="F28"/>
  <c r="G28"/>
  <c r="H28"/>
  <c r="I28"/>
  <c r="J28"/>
  <c r="K28"/>
  <c r="L28"/>
  <c r="M28"/>
  <c r="N28"/>
  <c r="O28"/>
  <c r="A29"/>
  <c r="B29"/>
  <c r="C29"/>
  <c r="D29"/>
  <c r="E29"/>
  <c r="F29"/>
  <c r="G29"/>
  <c r="H29"/>
  <c r="I29"/>
  <c r="J29"/>
  <c r="K29"/>
  <c r="L29"/>
  <c r="M29"/>
  <c r="N29"/>
  <c r="O29"/>
  <c r="A30"/>
  <c r="B30"/>
  <c r="C30"/>
  <c r="D30"/>
  <c r="E30"/>
  <c r="F30"/>
  <c r="G30"/>
  <c r="H30"/>
  <c r="I30"/>
  <c r="J30"/>
  <c r="K30"/>
  <c r="L30"/>
  <c r="M30"/>
  <c r="N30"/>
  <c r="O30"/>
  <c r="A31"/>
  <c r="B31"/>
  <c r="C31"/>
  <c r="D31"/>
  <c r="E31"/>
  <c r="F31"/>
  <c r="G31"/>
  <c r="H31"/>
  <c r="I31"/>
  <c r="J31"/>
  <c r="K31"/>
  <c r="L31"/>
  <c r="M31"/>
  <c r="N31"/>
  <c r="O31"/>
  <c r="A32"/>
  <c r="B32"/>
  <c r="C32"/>
  <c r="D32"/>
  <c r="E32"/>
  <c r="F32"/>
  <c r="G32"/>
  <c r="H32"/>
  <c r="I32"/>
  <c r="J32"/>
  <c r="K32"/>
  <c r="L32"/>
  <c r="M32"/>
  <c r="N32"/>
  <c r="O32"/>
  <c r="A33"/>
  <c r="B33"/>
  <c r="C33"/>
  <c r="D33"/>
  <c r="E33"/>
  <c r="F33"/>
  <c r="G33"/>
  <c r="H33"/>
  <c r="I33"/>
  <c r="J33"/>
  <c r="K33"/>
  <c r="L33"/>
  <c r="M33"/>
  <c r="N33"/>
  <c r="O33"/>
  <c r="A34"/>
  <c r="B34"/>
  <c r="C34"/>
  <c r="D34"/>
  <c r="E34"/>
  <c r="F34"/>
  <c r="G34"/>
  <c r="H34"/>
  <c r="I34"/>
  <c r="J34"/>
  <c r="K34"/>
  <c r="L34"/>
  <c r="M34"/>
  <c r="N34"/>
  <c r="O34"/>
  <c r="A35"/>
  <c r="B35"/>
  <c r="C35"/>
  <c r="D35"/>
  <c r="E35"/>
  <c r="F35"/>
  <c r="G35"/>
  <c r="H35"/>
  <c r="I35"/>
  <c r="J35"/>
  <c r="K35"/>
  <c r="L35"/>
  <c r="M35"/>
  <c r="N35"/>
  <c r="O35"/>
  <c r="B36"/>
  <c r="C36"/>
  <c r="D36"/>
  <c r="E36"/>
  <c r="F36"/>
  <c r="G36"/>
  <c r="H36"/>
  <c r="I36"/>
  <c r="J36"/>
  <c r="K36"/>
  <c r="L36"/>
  <c r="M36"/>
  <c r="N36"/>
  <c r="O36"/>
  <c r="A37"/>
  <c r="B37"/>
  <c r="C37"/>
  <c r="D37"/>
  <c r="E37"/>
  <c r="F37"/>
  <c r="G37"/>
  <c r="H37"/>
  <c r="I37"/>
  <c r="J37"/>
  <c r="K37"/>
  <c r="L37"/>
  <c r="M37"/>
  <c r="N37"/>
  <c r="O37"/>
  <c r="A38"/>
  <c r="B38"/>
  <c r="C38"/>
  <c r="D38"/>
  <c r="E38"/>
  <c r="F38"/>
  <c r="G38"/>
  <c r="H38"/>
  <c r="I38"/>
  <c r="J38"/>
  <c r="K38"/>
  <c r="L38"/>
  <c r="M38"/>
  <c r="N38"/>
  <c r="O38"/>
  <c r="A39"/>
  <c r="B39"/>
  <c r="C39"/>
  <c r="D39"/>
  <c r="E39"/>
  <c r="F39"/>
  <c r="G39"/>
  <c r="H39"/>
  <c r="I39"/>
  <c r="J39"/>
  <c r="K39"/>
  <c r="L39"/>
  <c r="M39"/>
  <c r="N39"/>
  <c r="O39"/>
  <c r="A40"/>
  <c r="B40"/>
  <c r="C40"/>
  <c r="D40"/>
  <c r="E40"/>
  <c r="F40"/>
  <c r="G40"/>
  <c r="H40"/>
  <c r="I40"/>
  <c r="J40"/>
  <c r="K40"/>
  <c r="L40"/>
  <c r="M40"/>
  <c r="N40"/>
  <c r="O40"/>
  <c r="A41"/>
  <c r="B41"/>
  <c r="C41"/>
  <c r="D41"/>
  <c r="E41"/>
  <c r="F41"/>
  <c r="G41"/>
  <c r="H41"/>
  <c r="I41"/>
  <c r="J41"/>
  <c r="K41"/>
  <c r="L41"/>
  <c r="M41"/>
  <c r="N41"/>
  <c r="O41"/>
  <c r="A42"/>
  <c r="B42"/>
  <c r="C42"/>
  <c r="D42"/>
  <c r="E42"/>
  <c r="F42"/>
  <c r="G42"/>
  <c r="H42"/>
  <c r="I42"/>
  <c r="J42"/>
  <c r="K42"/>
  <c r="L42"/>
  <c r="M42"/>
  <c r="N42"/>
  <c r="O42"/>
  <c r="A43"/>
  <c r="B43"/>
  <c r="C43"/>
  <c r="D43"/>
  <c r="E43"/>
  <c r="F43"/>
  <c r="G43"/>
  <c r="H43"/>
  <c r="I43"/>
  <c r="J43"/>
  <c r="K43"/>
  <c r="L43"/>
  <c r="M43"/>
  <c r="N43"/>
  <c r="O43"/>
  <c r="A44"/>
  <c r="B44"/>
  <c r="C44"/>
  <c r="D44"/>
  <c r="E44"/>
  <c r="F44"/>
  <c r="G44"/>
  <c r="H44"/>
  <c r="I44"/>
  <c r="J44"/>
  <c r="K44"/>
  <c r="L44"/>
  <c r="M44"/>
  <c r="N44"/>
  <c r="O44"/>
  <c r="A45"/>
  <c r="B45"/>
  <c r="C45"/>
  <c r="D45"/>
  <c r="E45"/>
  <c r="F45"/>
  <c r="G45"/>
  <c r="H45"/>
  <c r="I45"/>
  <c r="J45"/>
  <c r="K45"/>
  <c r="L45"/>
  <c r="M45"/>
  <c r="N45"/>
  <c r="O45"/>
  <c r="A46"/>
  <c r="B46"/>
  <c r="C46"/>
  <c r="D46"/>
  <c r="E46"/>
  <c r="F46"/>
  <c r="G46"/>
  <c r="H46"/>
  <c r="I46"/>
  <c r="J46"/>
  <c r="K46"/>
  <c r="L46"/>
  <c r="M46"/>
  <c r="N46"/>
  <c r="O46"/>
  <c r="A47"/>
  <c r="B47"/>
  <c r="C47"/>
  <c r="D47"/>
  <c r="E47"/>
  <c r="F47"/>
  <c r="G47"/>
  <c r="H47"/>
  <c r="I47"/>
  <c r="J47"/>
  <c r="K47"/>
  <c r="L47"/>
  <c r="M47"/>
  <c r="N47"/>
  <c r="O47"/>
  <c r="B48"/>
  <c r="C48"/>
  <c r="D48"/>
  <c r="E48"/>
  <c r="F48"/>
  <c r="G48"/>
  <c r="H48"/>
  <c r="I48"/>
  <c r="J48"/>
  <c r="K48"/>
  <c r="L48"/>
  <c r="M48"/>
  <c r="N48"/>
  <c r="O48"/>
  <c r="A49"/>
  <c r="B49"/>
  <c r="C49"/>
  <c r="D49"/>
  <c r="E49"/>
  <c r="F49"/>
  <c r="G49"/>
  <c r="H49"/>
  <c r="I49"/>
  <c r="J49"/>
  <c r="K49"/>
  <c r="L49"/>
  <c r="M49"/>
  <c r="N49"/>
  <c r="O49"/>
  <c r="B50"/>
  <c r="C50"/>
  <c r="D50"/>
  <c r="E50"/>
  <c r="F50"/>
  <c r="G50"/>
  <c r="H50"/>
  <c r="I50"/>
  <c r="J50"/>
  <c r="K50"/>
  <c r="L50"/>
  <c r="M50"/>
  <c r="N50"/>
  <c r="O50"/>
  <c r="A51"/>
  <c r="B51"/>
  <c r="C51"/>
  <c r="D51"/>
  <c r="E51"/>
  <c r="F51"/>
  <c r="G51"/>
  <c r="H51"/>
  <c r="I51"/>
  <c r="J51"/>
  <c r="K51"/>
  <c r="L51"/>
  <c r="M51"/>
  <c r="N51"/>
  <c r="O51"/>
  <c r="B52"/>
  <c r="C52"/>
  <c r="D52"/>
  <c r="E52"/>
  <c r="F52"/>
  <c r="G52"/>
  <c r="H52"/>
  <c r="I52"/>
  <c r="J52"/>
  <c r="K52"/>
  <c r="L52"/>
  <c r="M52"/>
  <c r="N52"/>
  <c r="O52"/>
  <c r="B53"/>
  <c r="C53"/>
  <c r="D53"/>
  <c r="E53"/>
  <c r="F53"/>
  <c r="G53"/>
  <c r="H53"/>
  <c r="I53"/>
  <c r="J53"/>
  <c r="K53"/>
  <c r="L53"/>
  <c r="M53"/>
  <c r="N53"/>
  <c r="O53"/>
  <c r="A54"/>
  <c r="B54"/>
  <c r="C54"/>
  <c r="D54"/>
  <c r="E54"/>
  <c r="F54"/>
  <c r="G54"/>
  <c r="H54"/>
  <c r="I54"/>
  <c r="J54"/>
  <c r="K54"/>
  <c r="L54"/>
  <c r="M54"/>
  <c r="N54"/>
  <c r="O54"/>
  <c r="A55"/>
  <c r="B55"/>
  <c r="C55"/>
  <c r="D55"/>
  <c r="E55"/>
  <c r="F55"/>
  <c r="G55"/>
  <c r="H55"/>
  <c r="I55"/>
  <c r="J55"/>
  <c r="K55"/>
  <c r="L55"/>
  <c r="M55"/>
  <c r="N55"/>
  <c r="O55"/>
  <c r="A56"/>
  <c r="B56"/>
  <c r="C56"/>
  <c r="D56"/>
  <c r="E56"/>
  <c r="F56"/>
  <c r="G56"/>
  <c r="H56"/>
  <c r="I56"/>
  <c r="J56"/>
  <c r="K56"/>
  <c r="L56"/>
  <c r="M56"/>
  <c r="N56"/>
  <c r="O56"/>
  <c r="A57"/>
  <c r="B57"/>
  <c r="C57"/>
  <c r="D57"/>
  <c r="E57"/>
  <c r="F57"/>
  <c r="G57"/>
  <c r="H57"/>
  <c r="I57"/>
  <c r="J57"/>
  <c r="K57"/>
  <c r="L57"/>
  <c r="M57"/>
  <c r="N57"/>
  <c r="O57"/>
  <c r="A58"/>
  <c r="B58"/>
  <c r="C58"/>
  <c r="D58"/>
  <c r="E58"/>
  <c r="F58"/>
  <c r="G58"/>
  <c r="H58"/>
  <c r="I58"/>
  <c r="J58"/>
  <c r="K58"/>
  <c r="L58"/>
  <c r="M58"/>
  <c r="N58"/>
  <c r="O58"/>
  <c r="A59"/>
  <c r="B59"/>
  <c r="C59"/>
  <c r="D59"/>
  <c r="E59"/>
  <c r="F59"/>
  <c r="G59"/>
  <c r="H59"/>
  <c r="I59"/>
  <c r="J59"/>
  <c r="K59"/>
  <c r="L59"/>
  <c r="M59"/>
  <c r="N59"/>
  <c r="O59"/>
  <c r="A60"/>
  <c r="B60"/>
  <c r="C60"/>
  <c r="D60"/>
  <c r="E60"/>
  <c r="F60"/>
  <c r="G60"/>
  <c r="H60"/>
  <c r="I60"/>
  <c r="J60"/>
  <c r="K60"/>
  <c r="L60"/>
  <c r="M60"/>
  <c r="N60"/>
  <c r="O60"/>
  <c r="A61"/>
  <c r="B61"/>
  <c r="C61"/>
  <c r="D61"/>
  <c r="E61"/>
  <c r="F61"/>
  <c r="G61"/>
  <c r="H61"/>
  <c r="I61"/>
  <c r="J61"/>
  <c r="K61"/>
  <c r="L61"/>
  <c r="M61"/>
  <c r="N61"/>
  <c r="O61"/>
  <c r="A62"/>
  <c r="B62"/>
  <c r="C62"/>
  <c r="D62"/>
  <c r="E62"/>
  <c r="F62"/>
  <c r="G62"/>
  <c r="H62"/>
  <c r="I62"/>
  <c r="J62"/>
  <c r="K62"/>
  <c r="L62"/>
  <c r="M62"/>
  <c r="N62"/>
  <c r="O62"/>
  <c r="A63"/>
  <c r="B63"/>
  <c r="C63"/>
  <c r="D63"/>
  <c r="E63"/>
  <c r="F63"/>
  <c r="G63"/>
  <c r="H63"/>
  <c r="I63"/>
  <c r="J63"/>
  <c r="K63"/>
  <c r="L63"/>
  <c r="M63"/>
  <c r="N63"/>
  <c r="O63"/>
  <c r="A64"/>
  <c r="B64"/>
  <c r="C64"/>
  <c r="D64"/>
  <c r="E64"/>
  <c r="F64"/>
  <c r="G64"/>
  <c r="H64"/>
  <c r="I64"/>
  <c r="J64"/>
  <c r="K64"/>
  <c r="L64"/>
  <c r="M64"/>
  <c r="N64"/>
  <c r="O64"/>
  <c r="B65"/>
  <c r="C65"/>
  <c r="D65"/>
  <c r="E65"/>
  <c r="F65"/>
  <c r="G65"/>
  <c r="H65"/>
  <c r="I65"/>
  <c r="J65"/>
  <c r="K65"/>
  <c r="L65"/>
  <c r="M65"/>
  <c r="N65"/>
  <c r="O65"/>
  <c r="A66"/>
  <c r="B66"/>
  <c r="C66"/>
  <c r="D66"/>
  <c r="E66"/>
  <c r="F66"/>
  <c r="G66"/>
  <c r="H66"/>
  <c r="I66"/>
  <c r="J66"/>
  <c r="K66"/>
  <c r="L66"/>
  <c r="M66"/>
  <c r="N66"/>
  <c r="O66"/>
  <c r="B67"/>
  <c r="C67"/>
  <c r="D67"/>
  <c r="E67"/>
  <c r="F67"/>
  <c r="G67"/>
  <c r="H67"/>
  <c r="I67"/>
  <c r="J67"/>
  <c r="K67"/>
  <c r="L67"/>
  <c r="M67"/>
  <c r="N67"/>
  <c r="O67"/>
  <c r="A68"/>
  <c r="B68"/>
  <c r="C68"/>
  <c r="D68"/>
  <c r="E68"/>
  <c r="F68"/>
  <c r="G68"/>
  <c r="H68"/>
  <c r="I68"/>
  <c r="J68"/>
  <c r="K68"/>
  <c r="L68"/>
  <c r="M68"/>
  <c r="N68"/>
  <c r="O68"/>
  <c r="B2" i="33"/>
  <c r="C2"/>
  <c r="D2"/>
  <c r="E2"/>
  <c r="F2"/>
  <c r="G2"/>
  <c r="H2"/>
  <c r="I2"/>
  <c r="J2"/>
  <c r="K2"/>
  <c r="L2"/>
  <c r="M2"/>
  <c r="N2"/>
  <c r="O2"/>
  <c r="A3"/>
  <c r="B3"/>
  <c r="B7" i="11" s="1"/>
  <c r="C3" i="33"/>
  <c r="C7" i="11" s="1"/>
  <c r="D3" i="33"/>
  <c r="D7" i="11" s="1"/>
  <c r="E3" i="33"/>
  <c r="E7" i="11" s="1"/>
  <c r="F3" i="33"/>
  <c r="G3"/>
  <c r="H3"/>
  <c r="I3"/>
  <c r="J3"/>
  <c r="K3"/>
  <c r="L3"/>
  <c r="M3"/>
  <c r="N3"/>
  <c r="O3"/>
  <c r="A4"/>
  <c r="B4"/>
  <c r="B8" i="11" s="1"/>
  <c r="C4" i="33"/>
  <c r="C8" i="11" s="1"/>
  <c r="D4" i="33"/>
  <c r="D8" i="11" s="1"/>
  <c r="E4" i="33"/>
  <c r="E8" i="11" s="1"/>
  <c r="F4" i="33"/>
  <c r="G4"/>
  <c r="H4"/>
  <c r="I4"/>
  <c r="J4"/>
  <c r="K4"/>
  <c r="L4"/>
  <c r="M4"/>
  <c r="N4"/>
  <c r="O4"/>
  <c r="A5"/>
  <c r="B5"/>
  <c r="B9" i="11" s="1"/>
  <c r="C5" i="33"/>
  <c r="C9" i="11" s="1"/>
  <c r="D5" i="33"/>
  <c r="D9" i="11" s="1"/>
  <c r="E5" i="33"/>
  <c r="E9" i="11" s="1"/>
  <c r="F5" i="33"/>
  <c r="G5"/>
  <c r="H5"/>
  <c r="I5"/>
  <c r="J5"/>
  <c r="K5"/>
  <c r="L5"/>
  <c r="M5"/>
  <c r="N5"/>
  <c r="O5"/>
  <c r="A6"/>
  <c r="B6"/>
  <c r="B10" i="11" s="1"/>
  <c r="C6" i="33"/>
  <c r="C10" i="11" s="1"/>
  <c r="D6" i="33"/>
  <c r="D10" i="11" s="1"/>
  <c r="E6" i="33"/>
  <c r="E10" i="11" s="1"/>
  <c r="F6" i="33"/>
  <c r="G6"/>
  <c r="H6"/>
  <c r="I6"/>
  <c r="J6"/>
  <c r="K6"/>
  <c r="L6"/>
  <c r="M6"/>
  <c r="N6"/>
  <c r="O6"/>
  <c r="A7"/>
  <c r="B7"/>
  <c r="B11" i="11" s="1"/>
  <c r="C7" i="33"/>
  <c r="C11" i="11" s="1"/>
  <c r="D7" i="33"/>
  <c r="D11" i="11" s="1"/>
  <c r="E7" i="33"/>
  <c r="E11" i="11" s="1"/>
  <c r="F7" i="33"/>
  <c r="G7"/>
  <c r="H7"/>
  <c r="I7"/>
  <c r="J7"/>
  <c r="K7"/>
  <c r="L7"/>
  <c r="M7"/>
  <c r="N7"/>
  <c r="O7"/>
  <c r="A8"/>
  <c r="B8"/>
  <c r="B12" i="11" s="1"/>
  <c r="C8" i="33"/>
  <c r="C12" i="11" s="1"/>
  <c r="D8" i="33"/>
  <c r="D12" i="11" s="1"/>
  <c r="E8" i="33"/>
  <c r="E12" i="11" s="1"/>
  <c r="F8" i="33"/>
  <c r="G8"/>
  <c r="H8"/>
  <c r="I8"/>
  <c r="J8"/>
  <c r="K8"/>
  <c r="L8"/>
  <c r="M8"/>
  <c r="N8"/>
  <c r="O8"/>
  <c r="A9"/>
  <c r="B9"/>
  <c r="B13" i="11" s="1"/>
  <c r="C9" i="33"/>
  <c r="C13" i="11" s="1"/>
  <c r="D9" i="33"/>
  <c r="D13" i="11" s="1"/>
  <c r="E9" i="33"/>
  <c r="E13" i="11" s="1"/>
  <c r="F9" i="33"/>
  <c r="G9"/>
  <c r="H9"/>
  <c r="I9"/>
  <c r="J9"/>
  <c r="K9"/>
  <c r="L9"/>
  <c r="M9"/>
  <c r="N9"/>
  <c r="O9"/>
  <c r="A10"/>
  <c r="B10"/>
  <c r="B14" i="11" s="1"/>
  <c r="C10" i="33"/>
  <c r="C14" i="11" s="1"/>
  <c r="D10" i="33"/>
  <c r="D14" i="11" s="1"/>
  <c r="E10" i="33"/>
  <c r="E14" i="11" s="1"/>
  <c r="F10" i="33"/>
  <c r="G10"/>
  <c r="H10"/>
  <c r="I10"/>
  <c r="J10"/>
  <c r="K10"/>
  <c r="L10"/>
  <c r="M10"/>
  <c r="N10"/>
  <c r="O10"/>
  <c r="A11"/>
  <c r="B11"/>
  <c r="B15" i="11" s="1"/>
  <c r="C11" i="33"/>
  <c r="C15" i="11" s="1"/>
  <c r="D11" i="33"/>
  <c r="D15" i="11" s="1"/>
  <c r="E11" i="33"/>
  <c r="E15" i="11" s="1"/>
  <c r="F11" i="33"/>
  <c r="G11"/>
  <c r="H11"/>
  <c r="I11"/>
  <c r="J11"/>
  <c r="K11"/>
  <c r="L11"/>
  <c r="M11"/>
  <c r="N11"/>
  <c r="O11"/>
  <c r="A12"/>
  <c r="B12"/>
  <c r="B16" i="11" s="1"/>
  <c r="C12" i="33"/>
  <c r="C16" i="11" s="1"/>
  <c r="D12" i="33"/>
  <c r="D16" i="11" s="1"/>
  <c r="E12" i="33"/>
  <c r="E16" i="11" s="1"/>
  <c r="F12" i="33"/>
  <c r="G12"/>
  <c r="H12"/>
  <c r="I12"/>
  <c r="J12"/>
  <c r="K12"/>
  <c r="L12"/>
  <c r="M12"/>
  <c r="N12"/>
  <c r="O12"/>
  <c r="A13"/>
  <c r="B13"/>
  <c r="B17" i="11" s="1"/>
  <c r="C13" i="33"/>
  <c r="C17" i="11" s="1"/>
  <c r="D13" i="33"/>
  <c r="D17" i="11" s="1"/>
  <c r="E13" i="33"/>
  <c r="E17" i="11" s="1"/>
  <c r="F13" i="33"/>
  <c r="G13"/>
  <c r="H13"/>
  <c r="I13"/>
  <c r="J13"/>
  <c r="K13"/>
  <c r="L13"/>
  <c r="M13"/>
  <c r="N13"/>
  <c r="O13"/>
  <c r="A14"/>
  <c r="B14"/>
  <c r="B18" i="11" s="1"/>
  <c r="C14" i="33"/>
  <c r="C18" i="11" s="1"/>
  <c r="D14" i="33"/>
  <c r="D18" i="11" s="1"/>
  <c r="E14" i="33"/>
  <c r="E18" i="11" s="1"/>
  <c r="F14" i="33"/>
  <c r="G14"/>
  <c r="H14"/>
  <c r="I14"/>
  <c r="J14"/>
  <c r="K14"/>
  <c r="L14"/>
  <c r="M14"/>
  <c r="N14"/>
  <c r="O14"/>
  <c r="A15"/>
  <c r="B15"/>
  <c r="B19" i="11" s="1"/>
  <c r="C15" i="33"/>
  <c r="C19" i="11" s="1"/>
  <c r="D15" i="33"/>
  <c r="D19" i="11" s="1"/>
  <c r="E15" i="33"/>
  <c r="E19" i="11" s="1"/>
  <c r="F15" i="33"/>
  <c r="G15"/>
  <c r="H15"/>
  <c r="I15"/>
  <c r="J15"/>
  <c r="K15"/>
  <c r="L15"/>
  <c r="M15"/>
  <c r="N15"/>
  <c r="O15"/>
  <c r="A16"/>
  <c r="B16"/>
  <c r="B20" i="11" s="1"/>
  <c r="C16" i="33"/>
  <c r="C20" i="11" s="1"/>
  <c r="D16" i="33"/>
  <c r="D20" i="11" s="1"/>
  <c r="E16" i="33"/>
  <c r="E20" i="11" s="1"/>
  <c r="F16" i="33"/>
  <c r="G16"/>
  <c r="H16"/>
  <c r="I16"/>
  <c r="J16"/>
  <c r="K16"/>
  <c r="L16"/>
  <c r="M16"/>
  <c r="N16"/>
  <c r="O16"/>
  <c r="A17"/>
  <c r="B17"/>
  <c r="B21" i="11" s="1"/>
  <c r="C17" i="33"/>
  <c r="C21" i="11" s="1"/>
  <c r="D17" i="33"/>
  <c r="D21" i="11" s="1"/>
  <c r="E17" i="33"/>
  <c r="E21" i="11" s="1"/>
  <c r="F17" i="33"/>
  <c r="G17"/>
  <c r="H17"/>
  <c r="I17"/>
  <c r="J17"/>
  <c r="K17"/>
  <c r="L17"/>
  <c r="M17"/>
  <c r="N17"/>
  <c r="O17"/>
  <c r="A18"/>
  <c r="B18"/>
  <c r="B22" i="11" s="1"/>
  <c r="C18" i="33"/>
  <c r="C22" i="11" s="1"/>
  <c r="D18" i="33"/>
  <c r="D22" i="11" s="1"/>
  <c r="E18" i="33"/>
  <c r="E22" i="11" s="1"/>
  <c r="F18" i="33"/>
  <c r="G18"/>
  <c r="H18"/>
  <c r="I18"/>
  <c r="J18"/>
  <c r="K18"/>
  <c r="L18"/>
  <c r="M18"/>
  <c r="N18"/>
  <c r="O18"/>
  <c r="A19"/>
  <c r="B19"/>
  <c r="B23" i="11" s="1"/>
  <c r="C19" i="33"/>
  <c r="C23" i="11" s="1"/>
  <c r="D19" i="33"/>
  <c r="D23" i="11" s="1"/>
  <c r="E19" i="33"/>
  <c r="E23" i="11" s="1"/>
  <c r="F19" i="33"/>
  <c r="G19"/>
  <c r="H19"/>
  <c r="I19"/>
  <c r="J19"/>
  <c r="K19"/>
  <c r="L19"/>
  <c r="M19"/>
  <c r="N19"/>
  <c r="O19"/>
  <c r="A20"/>
  <c r="B20"/>
  <c r="B24" i="11" s="1"/>
  <c r="C20" i="33"/>
  <c r="C24" i="11" s="1"/>
  <c r="D20" i="33"/>
  <c r="D24" i="11" s="1"/>
  <c r="E20" i="33"/>
  <c r="E24" i="11" s="1"/>
  <c r="F20" i="33"/>
  <c r="G20"/>
  <c r="H20"/>
  <c r="I20"/>
  <c r="J20"/>
  <c r="K20"/>
  <c r="L20"/>
  <c r="M20"/>
  <c r="N20"/>
  <c r="O20"/>
  <c r="A21"/>
  <c r="B21"/>
  <c r="B25" i="11" s="1"/>
  <c r="C21" i="33"/>
  <c r="C25" i="11" s="1"/>
  <c r="D21" i="33"/>
  <c r="D25" i="11" s="1"/>
  <c r="E21" i="33"/>
  <c r="E25" i="11" s="1"/>
  <c r="F21" i="33"/>
  <c r="G21"/>
  <c r="H21"/>
  <c r="I21"/>
  <c r="J21"/>
  <c r="K21"/>
  <c r="L21"/>
  <c r="M21"/>
  <c r="N21"/>
  <c r="O21"/>
  <c r="A22"/>
  <c r="B22"/>
  <c r="B26" i="11" s="1"/>
  <c r="C22" i="33"/>
  <c r="C26" i="11" s="1"/>
  <c r="D22" i="33"/>
  <c r="D26" i="11" s="1"/>
  <c r="E22" i="33"/>
  <c r="E26" i="11" s="1"/>
  <c r="F22" i="33"/>
  <c r="G22"/>
  <c r="H22"/>
  <c r="I22"/>
  <c r="J22"/>
  <c r="K22"/>
  <c r="L22"/>
  <c r="M22"/>
  <c r="N22"/>
  <c r="O22"/>
  <c r="A23"/>
  <c r="B23"/>
  <c r="B27" i="11" s="1"/>
  <c r="C23" i="33"/>
  <c r="C27" i="11" s="1"/>
  <c r="D23" i="33"/>
  <c r="D27" i="11" s="1"/>
  <c r="E23" i="33"/>
  <c r="E27" i="11" s="1"/>
  <c r="F23" i="33"/>
  <c r="G23"/>
  <c r="H23"/>
  <c r="I23"/>
  <c r="J23"/>
  <c r="K23"/>
  <c r="L23"/>
  <c r="M23"/>
  <c r="N23"/>
  <c r="O23"/>
  <c r="A24"/>
  <c r="B24"/>
  <c r="B28" i="11" s="1"/>
  <c r="C24" i="33"/>
  <c r="C28" i="11" s="1"/>
  <c r="D24" i="33"/>
  <c r="D28" i="11" s="1"/>
  <c r="E24" i="33"/>
  <c r="E28" i="11" s="1"/>
  <c r="F24" i="33"/>
  <c r="G24"/>
  <c r="H24"/>
  <c r="I24"/>
  <c r="J24"/>
  <c r="K24"/>
  <c r="L24"/>
  <c r="M24"/>
  <c r="N24"/>
  <c r="O24"/>
  <c r="A25"/>
  <c r="B25"/>
  <c r="B29" i="11" s="1"/>
  <c r="C25" i="33"/>
  <c r="C29" i="11" s="1"/>
  <c r="D25" i="33"/>
  <c r="D29" i="11" s="1"/>
  <c r="E25" i="33"/>
  <c r="E29" i="11" s="1"/>
  <c r="F25" i="33"/>
  <c r="G25"/>
  <c r="H25"/>
  <c r="I25"/>
  <c r="J25"/>
  <c r="K25"/>
  <c r="L25"/>
  <c r="M25"/>
  <c r="N25"/>
  <c r="O25"/>
  <c r="A26"/>
  <c r="B26"/>
  <c r="B30" i="11" s="1"/>
  <c r="C26" i="33"/>
  <c r="C30" i="11" s="1"/>
  <c r="D26" i="33"/>
  <c r="D30" i="11" s="1"/>
  <c r="E26" i="33"/>
  <c r="E30" i="11" s="1"/>
  <c r="F26" i="33"/>
  <c r="G26"/>
  <c r="H26"/>
  <c r="I26"/>
  <c r="J26"/>
  <c r="K26"/>
  <c r="L26"/>
  <c r="M26"/>
  <c r="N26"/>
  <c r="O26"/>
  <c r="A27"/>
  <c r="B27"/>
  <c r="B31" i="11" s="1"/>
  <c r="C27" i="33"/>
  <c r="C31" i="11" s="1"/>
  <c r="D27" i="33"/>
  <c r="D31" i="11" s="1"/>
  <c r="E27" i="33"/>
  <c r="E31" i="11" s="1"/>
  <c r="F27" i="33"/>
  <c r="G27"/>
  <c r="H27"/>
  <c r="I27"/>
  <c r="J27"/>
  <c r="K27"/>
  <c r="L27"/>
  <c r="M27"/>
  <c r="N27"/>
  <c r="O27"/>
  <c r="A28"/>
  <c r="B28"/>
  <c r="B32" i="11" s="1"/>
  <c r="C28" i="33"/>
  <c r="C32" i="11" s="1"/>
  <c r="D28" i="33"/>
  <c r="D32" i="11" s="1"/>
  <c r="E28" i="33"/>
  <c r="E32" i="11" s="1"/>
  <c r="F28" i="33"/>
  <c r="G28"/>
  <c r="H28"/>
  <c r="I28"/>
  <c r="J28"/>
  <c r="K28"/>
  <c r="L28"/>
  <c r="M28"/>
  <c r="N28"/>
  <c r="O28"/>
  <c r="A29"/>
  <c r="B29"/>
  <c r="B33" i="11" s="1"/>
  <c r="C29" i="33"/>
  <c r="C33" i="11" s="1"/>
  <c r="D29" i="33"/>
  <c r="D33" i="11" s="1"/>
  <c r="E29" i="33"/>
  <c r="E33" i="11" s="1"/>
  <c r="F29" i="33"/>
  <c r="G29"/>
  <c r="H29"/>
  <c r="I29"/>
  <c r="J29"/>
  <c r="K29"/>
  <c r="L29"/>
  <c r="M29"/>
  <c r="N29"/>
  <c r="O29"/>
  <c r="A30"/>
  <c r="B30"/>
  <c r="B34" i="11" s="1"/>
  <c r="C30" i="33"/>
  <c r="C34" i="11" s="1"/>
  <c r="D30" i="33"/>
  <c r="D34" i="11" s="1"/>
  <c r="E30" i="33"/>
  <c r="E34" i="11" s="1"/>
  <c r="F30" i="33"/>
  <c r="G30"/>
  <c r="H30"/>
  <c r="I30"/>
  <c r="J30"/>
  <c r="K30"/>
  <c r="L30"/>
  <c r="M30"/>
  <c r="N30"/>
  <c r="O30"/>
  <c r="A31"/>
  <c r="B31"/>
  <c r="B35" i="11" s="1"/>
  <c r="C31" i="33"/>
  <c r="C35" i="11" s="1"/>
  <c r="D31" i="33"/>
  <c r="D35" i="11" s="1"/>
  <c r="E31" i="33"/>
  <c r="E35" i="11" s="1"/>
  <c r="F31" i="33"/>
  <c r="G31"/>
  <c r="H31"/>
  <c r="I31"/>
  <c r="J31"/>
  <c r="K31"/>
  <c r="L31"/>
  <c r="M31"/>
  <c r="N31"/>
  <c r="O31"/>
  <c r="A32"/>
  <c r="B32"/>
  <c r="B36" i="11" s="1"/>
  <c r="C32" i="33"/>
  <c r="C36" i="11" s="1"/>
  <c r="D32" i="33"/>
  <c r="D36" i="11" s="1"/>
  <c r="E32" i="33"/>
  <c r="E36" i="11" s="1"/>
  <c r="F32" i="33"/>
  <c r="G32"/>
  <c r="H32"/>
  <c r="I32"/>
  <c r="J32"/>
  <c r="K32"/>
  <c r="L32"/>
  <c r="M32"/>
  <c r="N32"/>
  <c r="O32"/>
  <c r="A33"/>
  <c r="B33"/>
  <c r="B37" i="11" s="1"/>
  <c r="C33" i="33"/>
  <c r="C37" i="11" s="1"/>
  <c r="D33" i="33"/>
  <c r="D37" i="11" s="1"/>
  <c r="E33" i="33"/>
  <c r="E37" i="11" s="1"/>
  <c r="F33" i="33"/>
  <c r="G33"/>
  <c r="H33"/>
  <c r="I33"/>
  <c r="J33"/>
  <c r="K33"/>
  <c r="L33"/>
  <c r="M33"/>
  <c r="N33"/>
  <c r="O33"/>
  <c r="A34"/>
  <c r="B34"/>
  <c r="B38" i="11" s="1"/>
  <c r="C34" i="33"/>
  <c r="C38" i="11" s="1"/>
  <c r="D34" i="33"/>
  <c r="D38" i="11" s="1"/>
  <c r="E34" i="33"/>
  <c r="E38" i="11" s="1"/>
  <c r="F34" i="33"/>
  <c r="G34"/>
  <c r="H34"/>
  <c r="I34"/>
  <c r="J34"/>
  <c r="K34"/>
  <c r="L34"/>
  <c r="M34"/>
  <c r="N34"/>
  <c r="O34"/>
  <c r="A35"/>
  <c r="B35"/>
  <c r="B39" i="11" s="1"/>
  <c r="C35" i="33"/>
  <c r="C39" i="11" s="1"/>
  <c r="D35" i="33"/>
  <c r="D39" i="11" s="1"/>
  <c r="E35" i="33"/>
  <c r="E39" i="11" s="1"/>
  <c r="F35" i="33"/>
  <c r="G35"/>
  <c r="H35"/>
  <c r="I35"/>
  <c r="J35"/>
  <c r="K35"/>
  <c r="L35"/>
  <c r="M35"/>
  <c r="N35"/>
  <c r="O35"/>
  <c r="A37"/>
  <c r="A38"/>
  <c r="I38"/>
  <c r="J38"/>
  <c r="K38"/>
  <c r="L38"/>
  <c r="M38"/>
  <c r="N38"/>
  <c r="O38"/>
  <c r="A39"/>
  <c r="I39"/>
  <c r="J39"/>
  <c r="K39"/>
  <c r="L39"/>
  <c r="M39"/>
  <c r="N39"/>
  <c r="O39"/>
  <c r="A40"/>
  <c r="I40"/>
  <c r="J40"/>
  <c r="K40"/>
  <c r="L40"/>
  <c r="M40"/>
  <c r="N40"/>
  <c r="O40"/>
  <c r="A41"/>
  <c r="I41"/>
  <c r="J41"/>
  <c r="K41"/>
  <c r="L41"/>
  <c r="M41"/>
  <c r="N41"/>
  <c r="O41"/>
  <c r="A42"/>
  <c r="I42"/>
  <c r="J42"/>
  <c r="K42"/>
  <c r="L42"/>
  <c r="M42"/>
  <c r="N42"/>
  <c r="O42"/>
  <c r="A43"/>
  <c r="I43"/>
  <c r="J43"/>
  <c r="K43"/>
  <c r="L43"/>
  <c r="M43"/>
  <c r="N43"/>
  <c r="O43"/>
  <c r="A44"/>
  <c r="I44"/>
  <c r="J44"/>
  <c r="K44"/>
  <c r="L44"/>
  <c r="M44"/>
  <c r="N44"/>
  <c r="O44"/>
  <c r="A45"/>
  <c r="I45"/>
  <c r="J45"/>
  <c r="K45"/>
  <c r="L45"/>
  <c r="M45"/>
  <c r="N45"/>
  <c r="O45"/>
  <c r="A46"/>
  <c r="I46"/>
  <c r="J46"/>
  <c r="K46"/>
  <c r="L46"/>
  <c r="M46"/>
  <c r="N46"/>
  <c r="O46"/>
  <c r="A47"/>
  <c r="I47"/>
  <c r="J47"/>
  <c r="K47"/>
  <c r="L47"/>
  <c r="M47"/>
  <c r="N47"/>
  <c r="O47"/>
  <c r="A49"/>
  <c r="I49"/>
  <c r="J49"/>
  <c r="K49"/>
  <c r="L49"/>
  <c r="M49"/>
  <c r="N49"/>
  <c r="O49"/>
  <c r="A51"/>
  <c r="I51"/>
  <c r="J51"/>
  <c r="K51"/>
  <c r="L51"/>
  <c r="M51"/>
  <c r="N51"/>
  <c r="O51"/>
  <c r="A54"/>
  <c r="A55"/>
  <c r="I55"/>
  <c r="J55"/>
  <c r="K55"/>
  <c r="L55"/>
  <c r="M55"/>
  <c r="N55"/>
  <c r="O55"/>
  <c r="A56"/>
  <c r="I56"/>
  <c r="J56"/>
  <c r="K56"/>
  <c r="L56"/>
  <c r="M56"/>
  <c r="N56"/>
  <c r="O56"/>
  <c r="A57"/>
  <c r="I57"/>
  <c r="J57"/>
  <c r="K57"/>
  <c r="L57"/>
  <c r="M57"/>
  <c r="N57"/>
  <c r="O57"/>
  <c r="A58"/>
  <c r="I58"/>
  <c r="J58"/>
  <c r="K58"/>
  <c r="L58"/>
  <c r="M58"/>
  <c r="N58"/>
  <c r="O58"/>
  <c r="A59"/>
  <c r="I59"/>
  <c r="J59"/>
  <c r="K59"/>
  <c r="L59"/>
  <c r="M59"/>
  <c r="N59"/>
  <c r="O59"/>
  <c r="A60"/>
  <c r="I60"/>
  <c r="J60"/>
  <c r="K60"/>
  <c r="L60"/>
  <c r="M60"/>
  <c r="N60"/>
  <c r="O60"/>
  <c r="A61"/>
  <c r="I61"/>
  <c r="J61"/>
  <c r="K61"/>
  <c r="L61"/>
  <c r="M61"/>
  <c r="N61"/>
  <c r="O61"/>
  <c r="A62"/>
  <c r="I62"/>
  <c r="J62"/>
  <c r="K62"/>
  <c r="L62"/>
  <c r="M62"/>
  <c r="N62"/>
  <c r="O62"/>
  <c r="A63"/>
  <c r="I63"/>
  <c r="J63"/>
  <c r="K63"/>
  <c r="L63"/>
  <c r="M63"/>
  <c r="N63"/>
  <c r="O63"/>
  <c r="A64"/>
  <c r="I64"/>
  <c r="J64"/>
  <c r="K64"/>
  <c r="L64"/>
  <c r="M64"/>
  <c r="N64"/>
  <c r="O64"/>
  <c r="A66"/>
  <c r="I66"/>
  <c r="J66"/>
  <c r="K66"/>
  <c r="L66"/>
  <c r="M66"/>
  <c r="N66"/>
  <c r="O66"/>
  <c r="A68"/>
  <c r="I68"/>
  <c r="J68"/>
  <c r="K68"/>
  <c r="L68"/>
  <c r="M68"/>
  <c r="N68"/>
  <c r="O68"/>
  <c r="C3" i="24"/>
  <c r="I3" s="1"/>
  <c r="C5"/>
  <c r="I5" s="1"/>
  <c r="C7"/>
  <c r="I7" s="1"/>
  <c r="C9"/>
  <c r="I9" s="1"/>
  <c r="C11"/>
  <c r="I11" s="1"/>
  <c r="I12"/>
  <c r="I13" s="1"/>
  <c r="B17"/>
  <c r="F19"/>
  <c r="F20"/>
  <c r="C4" s="1"/>
  <c r="I4" s="1"/>
  <c r="F21"/>
  <c r="F22"/>
  <c r="C6" s="1"/>
  <c r="I6" s="1"/>
  <c r="F23"/>
  <c r="F24"/>
  <c r="C8" s="1"/>
  <c r="I8" s="1"/>
  <c r="F25"/>
  <c r="F26"/>
  <c r="C10" s="1"/>
  <c r="I10" s="1"/>
  <c r="F27"/>
  <c r="C32"/>
  <c r="D32"/>
  <c r="E32"/>
  <c r="F32"/>
  <c r="F33" s="1"/>
  <c r="G32"/>
  <c r="H32"/>
  <c r="H33" s="1"/>
  <c r="I32"/>
  <c r="J32"/>
  <c r="J33" s="1"/>
  <c r="K32"/>
  <c r="L32"/>
  <c r="L33" s="1"/>
  <c r="M32"/>
  <c r="N32"/>
  <c r="N33" s="1"/>
  <c r="O32"/>
  <c r="P32"/>
  <c r="P33" s="1"/>
  <c r="Q32"/>
  <c r="G33"/>
  <c r="I33"/>
  <c r="K33"/>
  <c r="M33"/>
  <c r="O33"/>
  <c r="Q33"/>
  <c r="F6" i="9"/>
  <c r="G6"/>
  <c r="J6" s="1"/>
  <c r="H6"/>
  <c r="I6"/>
  <c r="M6"/>
  <c r="N6" s="1"/>
  <c r="O6"/>
  <c r="F7"/>
  <c r="G7"/>
  <c r="J7" s="1"/>
  <c r="H7"/>
  <c r="I7"/>
  <c r="M7"/>
  <c r="N7" s="1"/>
  <c r="O7"/>
  <c r="F8"/>
  <c r="G8"/>
  <c r="J8" s="1"/>
  <c r="H8"/>
  <c r="I8"/>
  <c r="M8"/>
  <c r="N8" s="1"/>
  <c r="O8"/>
  <c r="F9"/>
  <c r="G9"/>
  <c r="J9" s="1"/>
  <c r="H9"/>
  <c r="I9"/>
  <c r="M9"/>
  <c r="N9" s="1"/>
  <c r="O9"/>
  <c r="R9"/>
  <c r="F10"/>
  <c r="G10"/>
  <c r="J10" s="1"/>
  <c r="H10"/>
  <c r="I10"/>
  <c r="M10"/>
  <c r="N10" s="1"/>
  <c r="O10"/>
  <c r="R10"/>
  <c r="F11"/>
  <c r="G11"/>
  <c r="J11" s="1"/>
  <c r="H11"/>
  <c r="I11"/>
  <c r="M11"/>
  <c r="N11" s="1"/>
  <c r="O11"/>
  <c r="R11"/>
  <c r="F12"/>
  <c r="G12"/>
  <c r="J12" s="1"/>
  <c r="H12"/>
  <c r="I12"/>
  <c r="M12"/>
  <c r="N12" s="1"/>
  <c r="O12"/>
  <c r="R12"/>
  <c r="F13"/>
  <c r="G13"/>
  <c r="J13" s="1"/>
  <c r="H13"/>
  <c r="I13"/>
  <c r="M13"/>
  <c r="N13" s="1"/>
  <c r="O13"/>
  <c r="R13"/>
  <c r="F14"/>
  <c r="G14"/>
  <c r="J14" s="1"/>
  <c r="H14"/>
  <c r="I14"/>
  <c r="M14"/>
  <c r="N14" s="1"/>
  <c r="O14"/>
  <c r="R14"/>
  <c r="F15"/>
  <c r="G15"/>
  <c r="J15" s="1"/>
  <c r="H15"/>
  <c r="I15"/>
  <c r="M15"/>
  <c r="N15" s="1"/>
  <c r="O15"/>
  <c r="R15"/>
  <c r="C17"/>
  <c r="D17"/>
  <c r="E17"/>
  <c r="F17"/>
  <c r="G17" s="1"/>
  <c r="H17"/>
  <c r="K17"/>
  <c r="L17"/>
  <c r="M17" s="1"/>
  <c r="N17" s="1"/>
  <c r="Q17"/>
  <c r="R6" s="1"/>
  <c r="C3" i="26"/>
  <c r="D3"/>
  <c r="E3"/>
  <c r="F3"/>
  <c r="G3"/>
  <c r="H3"/>
  <c r="B4"/>
  <c r="C4"/>
  <c r="D4"/>
  <c r="E4"/>
  <c r="F4"/>
  <c r="G4"/>
  <c r="H4"/>
  <c r="C5"/>
  <c r="D5"/>
  <c r="E5"/>
  <c r="F5"/>
  <c r="G5"/>
  <c r="H5"/>
  <c r="B6"/>
  <c r="C6"/>
  <c r="D6"/>
  <c r="E6"/>
  <c r="F6"/>
  <c r="G6"/>
  <c r="H6"/>
  <c r="B7"/>
  <c r="C7"/>
  <c r="D7"/>
  <c r="E7"/>
  <c r="F7"/>
  <c r="G7"/>
  <c r="H7"/>
  <c r="C8"/>
  <c r="D8"/>
  <c r="E8"/>
  <c r="F8"/>
  <c r="G8"/>
  <c r="H8"/>
  <c r="B9"/>
  <c r="C9"/>
  <c r="D9"/>
  <c r="E9"/>
  <c r="F9"/>
  <c r="G9"/>
  <c r="H9"/>
  <c r="B10"/>
  <c r="C11"/>
  <c r="D11"/>
  <c r="E11"/>
  <c r="F11"/>
  <c r="G11"/>
  <c r="H11"/>
  <c r="B51"/>
  <c r="B52"/>
  <c r="B39" i="33" s="1"/>
  <c r="B43" i="11" s="1"/>
  <c r="B53" i="26"/>
  <c r="B54"/>
  <c r="B41" i="33" s="1"/>
  <c r="B45" i="11" s="1"/>
  <c r="B55" i="26"/>
  <c r="B56"/>
  <c r="B43" i="33" s="1"/>
  <c r="B47" i="11" s="1"/>
  <c r="B57" i="26"/>
  <c r="B58"/>
  <c r="B45" i="33" s="1"/>
  <c r="B49" i="11" s="1"/>
  <c r="B59" i="26"/>
  <c r="B60"/>
  <c r="B47" i="33" s="1"/>
  <c r="B51" i="11" s="1"/>
  <c r="B95" i="26"/>
  <c r="B55" i="33" s="1"/>
  <c r="B59" i="11" s="1"/>
  <c r="B96" i="26"/>
  <c r="B97"/>
  <c r="B57" i="33" s="1"/>
  <c r="B61" i="11" s="1"/>
  <c r="B98" i="26"/>
  <c r="B99"/>
  <c r="B59" i="33" s="1"/>
  <c r="B63" i="11" s="1"/>
  <c r="B100" i="26"/>
  <c r="B101"/>
  <c r="B61" i="33" s="1"/>
  <c r="B65" i="11" s="1"/>
  <c r="B102" i="26"/>
  <c r="B103"/>
  <c r="B63" i="33" s="1"/>
  <c r="B67" i="11" s="1"/>
  <c r="B104" i="26"/>
  <c r="E7" i="12"/>
  <c r="F7" s="1"/>
  <c r="G7" s="1"/>
  <c r="A10"/>
  <c r="A11"/>
  <c r="A12" s="1"/>
  <c r="A13" s="1"/>
  <c r="A14" s="1"/>
  <c r="A15" s="1"/>
  <c r="A16" s="1"/>
  <c r="A17" s="1"/>
  <c r="A18" s="1"/>
  <c r="A19" s="1"/>
  <c r="A20" s="1"/>
  <c r="A22" s="1"/>
  <c r="A23" s="1"/>
  <c r="A24" s="1"/>
  <c r="E13"/>
  <c r="F13"/>
  <c r="G13" s="1"/>
  <c r="F16"/>
  <c r="H16"/>
  <c r="E16" s="1"/>
  <c r="D17"/>
  <c r="E17"/>
  <c r="F17"/>
  <c r="G17"/>
  <c r="D18"/>
  <c r="E18"/>
  <c r="F18"/>
  <c r="G18"/>
  <c r="D19"/>
  <c r="E19"/>
  <c r="F19"/>
  <c r="G19"/>
  <c r="E20"/>
  <c r="F20"/>
  <c r="D31"/>
  <c r="D28" s="1"/>
  <c r="E31"/>
  <c r="E23" s="1"/>
  <c r="F31"/>
  <c r="F28" s="1"/>
  <c r="G31"/>
  <c r="G23" s="1"/>
  <c r="D37"/>
  <c r="E37"/>
  <c r="F37"/>
  <c r="G37"/>
  <c r="D40"/>
  <c r="D15" s="1"/>
  <c r="D14" s="1"/>
  <c r="F40"/>
  <c r="F15" s="1"/>
  <c r="D42"/>
  <c r="F42"/>
  <c r="D43"/>
  <c r="E43"/>
  <c r="E40" s="1"/>
  <c r="F43"/>
  <c r="G43"/>
  <c r="G40" s="1"/>
  <c r="D47"/>
  <c r="E47"/>
  <c r="F47"/>
  <c r="G47"/>
  <c r="D50"/>
  <c r="D23" s="1"/>
  <c r="E50"/>
  <c r="E38" s="1"/>
  <c r="F50"/>
  <c r="F23" s="1"/>
  <c r="G50"/>
  <c r="G38" s="1"/>
  <c r="D60"/>
  <c r="E60"/>
  <c r="F60"/>
  <c r="G60"/>
  <c r="E63"/>
  <c r="F63"/>
  <c r="G63"/>
  <c r="E76"/>
  <c r="F76"/>
  <c r="G76"/>
  <c r="D77"/>
  <c r="D86" s="1"/>
  <c r="E77"/>
  <c r="F77"/>
  <c r="F86" s="1"/>
  <c r="G77"/>
  <c r="D82"/>
  <c r="E82"/>
  <c r="F82"/>
  <c r="G82"/>
  <c r="D84"/>
  <c r="E84"/>
  <c r="E85" s="1"/>
  <c r="F84"/>
  <c r="G84"/>
  <c r="G85" s="1"/>
  <c r="D85"/>
  <c r="F85"/>
  <c r="E86"/>
  <c r="E87" s="1"/>
  <c r="G86"/>
  <c r="G87" s="1"/>
  <c r="F88"/>
  <c r="D89"/>
  <c r="E89"/>
  <c r="E88" s="1"/>
  <c r="E97" s="1"/>
  <c r="F89"/>
  <c r="G89"/>
  <c r="G88" s="1"/>
  <c r="G97" s="1"/>
  <c r="D90"/>
  <c r="E90"/>
  <c r="F90"/>
  <c r="G90"/>
  <c r="D93"/>
  <c r="E93"/>
  <c r="F93"/>
  <c r="G93"/>
  <c r="D99"/>
  <c r="E99"/>
  <c r="F99"/>
  <c r="G99"/>
  <c r="D103"/>
  <c r="D98" s="1"/>
  <c r="E103"/>
  <c r="E98" s="1"/>
  <c r="F103"/>
  <c r="F98" s="1"/>
  <c r="G103"/>
  <c r="G98" s="1"/>
  <c r="D108"/>
  <c r="E108"/>
  <c r="F108"/>
  <c r="G108"/>
  <c r="D121"/>
  <c r="E121"/>
  <c r="C4" i="13"/>
  <c r="D7"/>
  <c r="E7" s="1"/>
  <c r="F7" s="1"/>
  <c r="G7" s="1"/>
  <c r="E9"/>
  <c r="F9"/>
  <c r="G9"/>
  <c r="A10"/>
  <c r="D10"/>
  <c r="E10"/>
  <c r="F10"/>
  <c r="G10"/>
  <c r="A11"/>
  <c r="A12" s="1"/>
  <c r="A13" s="1"/>
  <c r="A14" s="1"/>
  <c r="A15" s="1"/>
  <c r="A16" s="1"/>
  <c r="A17" s="1"/>
  <c r="A18" s="1"/>
  <c r="A19" s="1"/>
  <c r="A20" s="1"/>
  <c r="A22" s="1"/>
  <c r="A23" s="1"/>
  <c r="A24" s="1"/>
  <c r="E12"/>
  <c r="F12"/>
  <c r="G12"/>
  <c r="D13"/>
  <c r="E13"/>
  <c r="F13"/>
  <c r="G13"/>
  <c r="D16"/>
  <c r="E16"/>
  <c r="F16"/>
  <c r="G16"/>
  <c r="D20"/>
  <c r="E20"/>
  <c r="F20"/>
  <c r="G20"/>
  <c r="D29"/>
  <c r="E29"/>
  <c r="F29"/>
  <c r="G29"/>
  <c r="D32"/>
  <c r="E32"/>
  <c r="E31" s="1"/>
  <c r="F32"/>
  <c r="G32"/>
  <c r="G31" s="1"/>
  <c r="D33"/>
  <c r="D31" s="1"/>
  <c r="E33"/>
  <c r="F33"/>
  <c r="F31" s="1"/>
  <c r="G33"/>
  <c r="D34"/>
  <c r="E34"/>
  <c r="E19" s="1"/>
  <c r="F34"/>
  <c r="G34"/>
  <c r="G19" s="1"/>
  <c r="D35"/>
  <c r="D19" s="1"/>
  <c r="E35"/>
  <c r="F35"/>
  <c r="F19" s="1"/>
  <c r="G35"/>
  <c r="D37"/>
  <c r="F37"/>
  <c r="D39"/>
  <c r="E39"/>
  <c r="F39"/>
  <c r="G39"/>
  <c r="D41"/>
  <c r="E41"/>
  <c r="F41"/>
  <c r="G41"/>
  <c r="D44"/>
  <c r="E44"/>
  <c r="E43" s="1"/>
  <c r="F44"/>
  <c r="G44"/>
  <c r="G43" s="1"/>
  <c r="D45"/>
  <c r="D43" s="1"/>
  <c r="E45"/>
  <c r="F45"/>
  <c r="F43" s="1"/>
  <c r="G45"/>
  <c r="D46"/>
  <c r="E46"/>
  <c r="F46"/>
  <c r="G46"/>
  <c r="D48"/>
  <c r="E48"/>
  <c r="E47" s="1"/>
  <c r="F48"/>
  <c r="G48"/>
  <c r="G47" s="1"/>
  <c r="D49"/>
  <c r="D47" s="1"/>
  <c r="E49"/>
  <c r="F49"/>
  <c r="F47" s="1"/>
  <c r="G49"/>
  <c r="D51"/>
  <c r="D50" s="1"/>
  <c r="E51"/>
  <c r="F51"/>
  <c r="F50" s="1"/>
  <c r="G51"/>
  <c r="D52"/>
  <c r="D53"/>
  <c r="E53"/>
  <c r="E50" s="1"/>
  <c r="E38" s="1"/>
  <c r="F53"/>
  <c r="G53"/>
  <c r="G50" s="1"/>
  <c r="G38" s="1"/>
  <c r="D61"/>
  <c r="E61"/>
  <c r="F61"/>
  <c r="G61"/>
  <c r="D62"/>
  <c r="D60" s="1"/>
  <c r="E62"/>
  <c r="E60" s="1"/>
  <c r="F62"/>
  <c r="F60" s="1"/>
  <c r="G62"/>
  <c r="G60" s="1"/>
  <c r="D63"/>
  <c r="E63"/>
  <c r="F63"/>
  <c r="G63"/>
  <c r="D73"/>
  <c r="D84" s="1"/>
  <c r="D85" s="1"/>
  <c r="E73"/>
  <c r="E17" s="1"/>
  <c r="F73"/>
  <c r="F18" s="1"/>
  <c r="G73"/>
  <c r="G17" s="1"/>
  <c r="E74"/>
  <c r="F74"/>
  <c r="G74" s="1"/>
  <c r="D75"/>
  <c r="E75"/>
  <c r="F75"/>
  <c r="G75"/>
  <c r="D76"/>
  <c r="E76"/>
  <c r="F76"/>
  <c r="G76"/>
  <c r="E77"/>
  <c r="F77"/>
  <c r="G77"/>
  <c r="D78"/>
  <c r="D77" s="1"/>
  <c r="D86" s="1"/>
  <c r="D79"/>
  <c r="D18" s="1"/>
  <c r="D80"/>
  <c r="D81"/>
  <c r="D82"/>
  <c r="E82"/>
  <c r="F82"/>
  <c r="G82"/>
  <c r="D83"/>
  <c r="E84"/>
  <c r="E85" s="1"/>
  <c r="G84"/>
  <c r="G85" s="1"/>
  <c r="E86"/>
  <c r="F86"/>
  <c r="G86"/>
  <c r="D88"/>
  <c r="E88"/>
  <c r="E89" s="1"/>
  <c r="F88"/>
  <c r="G88"/>
  <c r="G89" s="1"/>
  <c r="D89"/>
  <c r="F89"/>
  <c r="F87" s="1"/>
  <c r="D93"/>
  <c r="E93"/>
  <c r="F93"/>
  <c r="G93"/>
  <c r="D94"/>
  <c r="E94"/>
  <c r="F94"/>
  <c r="G94"/>
  <c r="D95"/>
  <c r="E95"/>
  <c r="F95"/>
  <c r="G95"/>
  <c r="D96"/>
  <c r="E96"/>
  <c r="F96"/>
  <c r="G96"/>
  <c r="D99"/>
  <c r="E99"/>
  <c r="F99"/>
  <c r="G99"/>
  <c r="D100"/>
  <c r="D98" s="1"/>
  <c r="E100"/>
  <c r="F100"/>
  <c r="F98" s="1"/>
  <c r="G100"/>
  <c r="D102"/>
  <c r="E102"/>
  <c r="F102"/>
  <c r="G102"/>
  <c r="D103"/>
  <c r="E103"/>
  <c r="F103"/>
  <c r="G103"/>
  <c r="D105"/>
  <c r="E105"/>
  <c r="E98" s="1"/>
  <c r="F105"/>
  <c r="G105"/>
  <c r="G98" s="1"/>
  <c r="D107"/>
  <c r="D92" s="1"/>
  <c r="D91" s="1"/>
  <c r="D90" s="1"/>
  <c r="E107"/>
  <c r="E92" s="1"/>
  <c r="E91" s="1"/>
  <c r="E90" s="1"/>
  <c r="F107"/>
  <c r="F92" s="1"/>
  <c r="F91" s="1"/>
  <c r="F90" s="1"/>
  <c r="F97" s="1"/>
  <c r="F114" s="1"/>
  <c r="G107"/>
  <c r="G92" s="1"/>
  <c r="G91" s="1"/>
  <c r="G90" s="1"/>
  <c r="D110"/>
  <c r="E110"/>
  <c r="F110"/>
  <c r="G110"/>
  <c r="D115"/>
  <c r="E115"/>
  <c r="F115"/>
  <c r="G115"/>
  <c r="D120"/>
  <c r="D121" s="1"/>
  <c r="E120"/>
  <c r="F120"/>
  <c r="F121" s="1"/>
  <c r="G120"/>
  <c r="E121"/>
  <c r="G121"/>
  <c r="D30" i="25"/>
  <c r="E30"/>
  <c r="F30"/>
  <c r="G30"/>
  <c r="H30"/>
  <c r="I30"/>
  <c r="J30"/>
  <c r="K30"/>
  <c r="L30"/>
  <c r="M30"/>
  <c r="E31"/>
  <c r="F31"/>
  <c r="G31"/>
  <c r="H31"/>
  <c r="I31"/>
  <c r="J31"/>
  <c r="K31"/>
  <c r="L31"/>
  <c r="M31"/>
  <c r="D1" i="10"/>
  <c r="E1"/>
  <c r="B2"/>
  <c r="C2"/>
  <c r="D2"/>
  <c r="E2"/>
  <c r="B3"/>
  <c r="C3"/>
  <c r="D3"/>
  <c r="E3"/>
  <c r="B4"/>
  <c r="C4"/>
  <c r="D4"/>
  <c r="E4"/>
  <c r="B5"/>
  <c r="C5"/>
  <c r="D5"/>
  <c r="E5"/>
  <c r="D6"/>
  <c r="C6" s="1"/>
  <c r="E6"/>
  <c r="D7"/>
  <c r="C7" s="1"/>
  <c r="E7"/>
  <c r="D8"/>
  <c r="C8" s="1"/>
  <c r="E8"/>
  <c r="D9"/>
  <c r="C9" s="1"/>
  <c r="E9"/>
  <c r="D10"/>
  <c r="C10" s="1"/>
  <c r="E10"/>
  <c r="D11"/>
  <c r="C11" s="1"/>
  <c r="E11"/>
  <c r="D12"/>
  <c r="C12" s="1"/>
  <c r="E12"/>
  <c r="C13"/>
  <c r="D13"/>
  <c r="E13"/>
  <c r="D14"/>
  <c r="C14" s="1"/>
  <c r="E14"/>
  <c r="D15"/>
  <c r="C15" s="1"/>
  <c r="E15"/>
  <c r="D16"/>
  <c r="C16" s="1"/>
  <c r="E16"/>
  <c r="D17"/>
  <c r="C17" s="1"/>
  <c r="E17"/>
  <c r="D18"/>
  <c r="C18" s="1"/>
  <c r="E18"/>
  <c r="D19"/>
  <c r="C19" s="1"/>
  <c r="E19"/>
  <c r="D20"/>
  <c r="C20" s="1"/>
  <c r="E20"/>
  <c r="C21"/>
  <c r="D21"/>
  <c r="E21"/>
  <c r="D22"/>
  <c r="C22" s="1"/>
  <c r="E22"/>
  <c r="D23"/>
  <c r="E23"/>
  <c r="F23"/>
  <c r="G23"/>
  <c r="H23"/>
  <c r="I23"/>
  <c r="J23"/>
  <c r="K23"/>
  <c r="L23"/>
  <c r="M23"/>
  <c r="D24"/>
  <c r="E24"/>
  <c r="F24"/>
  <c r="G24"/>
  <c r="H24"/>
  <c r="I24"/>
  <c r="J24"/>
  <c r="K24"/>
  <c r="L24"/>
  <c r="M24"/>
  <c r="D25"/>
  <c r="E25"/>
  <c r="F25"/>
  <c r="G25"/>
  <c r="H25"/>
  <c r="I25"/>
  <c r="J25"/>
  <c r="K25"/>
  <c r="L25"/>
  <c r="M25"/>
  <c r="A3" i="30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7"/>
  <c r="A38"/>
  <c r="A39"/>
  <c r="A40"/>
  <c r="A41"/>
  <c r="A42"/>
  <c r="A43"/>
  <c r="A44"/>
  <c r="A45"/>
  <c r="A46"/>
  <c r="A47"/>
  <c r="A49"/>
  <c r="A51"/>
  <c r="A54"/>
  <c r="A55"/>
  <c r="A56"/>
  <c r="A57"/>
  <c r="A58"/>
  <c r="A59"/>
  <c r="A60"/>
  <c r="A61"/>
  <c r="A62"/>
  <c r="A63"/>
  <c r="A64"/>
  <c r="A66"/>
  <c r="A68"/>
  <c r="D1" i="4"/>
  <c r="B2" i="14" s="1"/>
  <c r="D9" i="4"/>
  <c r="E9"/>
  <c r="F9"/>
  <c r="G9"/>
  <c r="H9"/>
  <c r="I9"/>
  <c r="J9"/>
  <c r="K9"/>
  <c r="L9"/>
  <c r="M9"/>
  <c r="N9"/>
  <c r="O9"/>
  <c r="P9"/>
  <c r="Q9"/>
  <c r="D11"/>
  <c r="E11"/>
  <c r="F11"/>
  <c r="G11"/>
  <c r="H11"/>
  <c r="I11"/>
  <c r="J11"/>
  <c r="K11"/>
  <c r="L11"/>
  <c r="M11"/>
  <c r="N11"/>
  <c r="O11"/>
  <c r="P11"/>
  <c r="Q11"/>
  <c r="D12"/>
  <c r="E12"/>
  <c r="F12"/>
  <c r="G12"/>
  <c r="H12"/>
  <c r="I12"/>
  <c r="J12"/>
  <c r="K12"/>
  <c r="L12"/>
  <c r="M12"/>
  <c r="N12"/>
  <c r="O12"/>
  <c r="P12"/>
  <c r="Q12"/>
  <c r="D14"/>
  <c r="E14"/>
  <c r="F14"/>
  <c r="G14"/>
  <c r="H14"/>
  <c r="I14"/>
  <c r="J14"/>
  <c r="K14"/>
  <c r="L14"/>
  <c r="M14"/>
  <c r="N14"/>
  <c r="O14"/>
  <c r="P14"/>
  <c r="Q14"/>
  <c r="D18"/>
  <c r="E18"/>
  <c r="F18"/>
  <c r="G18"/>
  <c r="H18"/>
  <c r="I18"/>
  <c r="J18"/>
  <c r="K18"/>
  <c r="L18"/>
  <c r="M18"/>
  <c r="N18"/>
  <c r="O18"/>
  <c r="P18"/>
  <c r="Q18"/>
  <c r="D19"/>
  <c r="E19"/>
  <c r="F19"/>
  <c r="G19"/>
  <c r="H19"/>
  <c r="I19"/>
  <c r="J19"/>
  <c r="K19"/>
  <c r="L19"/>
  <c r="M19"/>
  <c r="N19"/>
  <c r="O19"/>
  <c r="P19"/>
  <c r="Q19"/>
  <c r="C35"/>
  <c r="C36"/>
  <c r="C37"/>
  <c r="C38"/>
  <c r="C39"/>
  <c r="C40"/>
  <c r="C41"/>
  <c r="C42"/>
  <c r="C43"/>
  <c r="C44"/>
  <c r="C45"/>
  <c r="C46"/>
  <c r="C47"/>
  <c r="C48"/>
  <c r="C49"/>
  <c r="C50"/>
  <c r="C51"/>
  <c r="D51"/>
  <c r="D53"/>
  <c r="B5" i="14" s="1"/>
  <c r="E53" i="4"/>
  <c r="C5" i="14" s="1"/>
  <c r="F53" i="4"/>
  <c r="D5" i="14" s="1"/>
  <c r="G53" i="4"/>
  <c r="E5" i="14" s="1"/>
  <c r="H53" i="4"/>
  <c r="F5" i="14" s="1"/>
  <c r="I53" i="4"/>
  <c r="G5" i="14" s="1"/>
  <c r="J53" i="4"/>
  <c r="H5" i="14" s="1"/>
  <c r="K53" i="4"/>
  <c r="L53"/>
  <c r="M53"/>
  <c r="N53"/>
  <c r="O53"/>
  <c r="P53"/>
  <c r="Q53"/>
  <c r="D54"/>
  <c r="D59"/>
  <c r="E59"/>
  <c r="F59"/>
  <c r="G59"/>
  <c r="H59"/>
  <c r="I59"/>
  <c r="J59"/>
  <c r="K59"/>
  <c r="L59"/>
  <c r="M59"/>
  <c r="N59"/>
  <c r="O59"/>
  <c r="P59"/>
  <c r="Q59"/>
  <c r="D65"/>
  <c r="D76"/>
  <c r="E76"/>
  <c r="F76"/>
  <c r="F77" s="1"/>
  <c r="G76"/>
  <c r="H76"/>
  <c r="I76"/>
  <c r="J76"/>
  <c r="J77" s="1"/>
  <c r="K76"/>
  <c r="L76"/>
  <c r="M76"/>
  <c r="N76"/>
  <c r="N77" s="1"/>
  <c r="O76"/>
  <c r="P76"/>
  <c r="P77" s="1"/>
  <c r="Q76"/>
  <c r="D77"/>
  <c r="H77"/>
  <c r="L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D1" i="15"/>
  <c r="E1"/>
  <c r="F1"/>
  <c r="G1"/>
  <c r="H1"/>
  <c r="I1"/>
  <c r="J1"/>
  <c r="K1"/>
  <c r="L1"/>
  <c r="M1"/>
  <c r="N1"/>
  <c r="O1"/>
  <c r="P1"/>
  <c r="Q1"/>
  <c r="E10"/>
  <c r="F10"/>
  <c r="G10"/>
  <c r="H10"/>
  <c r="I10"/>
  <c r="J10"/>
  <c r="K10"/>
  <c r="L10"/>
  <c r="M10"/>
  <c r="N10"/>
  <c r="O10"/>
  <c r="P10"/>
  <c r="Q10"/>
  <c r="E11"/>
  <c r="F11"/>
  <c r="G11"/>
  <c r="H11"/>
  <c r="I11"/>
  <c r="J11"/>
  <c r="K11"/>
  <c r="L11"/>
  <c r="M11"/>
  <c r="N11"/>
  <c r="O11"/>
  <c r="P11"/>
  <c r="Q11"/>
  <c r="E12"/>
  <c r="F12"/>
  <c r="G12"/>
  <c r="H12"/>
  <c r="I12"/>
  <c r="J12"/>
  <c r="K12"/>
  <c r="L12"/>
  <c r="M12"/>
  <c r="N12"/>
  <c r="O12"/>
  <c r="P12"/>
  <c r="Q12"/>
  <c r="E43"/>
  <c r="F43"/>
  <c r="G43"/>
  <c r="H43"/>
  <c r="I43"/>
  <c r="J43"/>
  <c r="K43"/>
  <c r="L43"/>
  <c r="M43"/>
  <c r="N43"/>
  <c r="O43"/>
  <c r="P43"/>
  <c r="Q43"/>
  <c r="E44"/>
  <c r="F44"/>
  <c r="G44"/>
  <c r="H44"/>
  <c r="I44"/>
  <c r="J44"/>
  <c r="K44"/>
  <c r="L44"/>
  <c r="M44"/>
  <c r="N44"/>
  <c r="O44"/>
  <c r="P44"/>
  <c r="Q44"/>
  <c r="E47"/>
  <c r="F47"/>
  <c r="G47"/>
  <c r="H47"/>
  <c r="I47"/>
  <c r="J47"/>
  <c r="K47"/>
  <c r="L47"/>
  <c r="M47"/>
  <c r="N47"/>
  <c r="O47"/>
  <c r="P47"/>
  <c r="Q47"/>
  <c r="E48"/>
  <c r="F48"/>
  <c r="G48"/>
  <c r="H48"/>
  <c r="I48"/>
  <c r="J48"/>
  <c r="K48"/>
  <c r="L48"/>
  <c r="M48"/>
  <c r="N48"/>
  <c r="O48"/>
  <c r="P48"/>
  <c r="Q48"/>
  <c r="E49"/>
  <c r="F49"/>
  <c r="G49"/>
  <c r="H49"/>
  <c r="I49"/>
  <c r="J49"/>
  <c r="K49"/>
  <c r="L49"/>
  <c r="M49"/>
  <c r="N49"/>
  <c r="O49"/>
  <c r="P49"/>
  <c r="Q49"/>
  <c r="E50"/>
  <c r="F50"/>
  <c r="G50"/>
  <c r="H50"/>
  <c r="I50"/>
  <c r="J50"/>
  <c r="K50"/>
  <c r="L50"/>
  <c r="M50"/>
  <c r="N50"/>
  <c r="O50"/>
  <c r="P50"/>
  <c r="Q50"/>
  <c r="E51"/>
  <c r="F51"/>
  <c r="G51"/>
  <c r="H51"/>
  <c r="I51"/>
  <c r="J51"/>
  <c r="K51"/>
  <c r="L51"/>
  <c r="M51"/>
  <c r="N51"/>
  <c r="O51"/>
  <c r="P51"/>
  <c r="Q51"/>
  <c r="E52"/>
  <c r="F52"/>
  <c r="G52"/>
  <c r="H52"/>
  <c r="I52"/>
  <c r="J52"/>
  <c r="K52"/>
  <c r="L52"/>
  <c r="M52"/>
  <c r="N52"/>
  <c r="O52"/>
  <c r="P52"/>
  <c r="Q52"/>
  <c r="E53"/>
  <c r="F53"/>
  <c r="G53"/>
  <c r="H53"/>
  <c r="I53"/>
  <c r="J53"/>
  <c r="K53"/>
  <c r="L53"/>
  <c r="M53"/>
  <c r="N53"/>
  <c r="O53"/>
  <c r="P53"/>
  <c r="Q53"/>
  <c r="E57"/>
  <c r="F57"/>
  <c r="G57"/>
  <c r="H57"/>
  <c r="I57"/>
  <c r="J57"/>
  <c r="K57"/>
  <c r="L57"/>
  <c r="M57"/>
  <c r="N57"/>
  <c r="O57"/>
  <c r="P57"/>
  <c r="Q57"/>
  <c r="E58"/>
  <c r="F58"/>
  <c r="G58"/>
  <c r="H58"/>
  <c r="I58"/>
  <c r="J58"/>
  <c r="K58"/>
  <c r="L58"/>
  <c r="M58"/>
  <c r="N58"/>
  <c r="O58"/>
  <c r="P58"/>
  <c r="Q58"/>
  <c r="E59"/>
  <c r="F59"/>
  <c r="G59"/>
  <c r="H59"/>
  <c r="I59"/>
  <c r="J59"/>
  <c r="K59"/>
  <c r="L59"/>
  <c r="M59"/>
  <c r="N59"/>
  <c r="O59"/>
  <c r="P59"/>
  <c r="Q59"/>
  <c r="E60"/>
  <c r="F60"/>
  <c r="G60"/>
  <c r="H60"/>
  <c r="I60"/>
  <c r="J60"/>
  <c r="K60"/>
  <c r="L60"/>
  <c r="M60"/>
  <c r="N60"/>
  <c r="O60"/>
  <c r="P60"/>
  <c r="Q60"/>
  <c r="E61"/>
  <c r="F61"/>
  <c r="G61"/>
  <c r="H61"/>
  <c r="I61"/>
  <c r="J61"/>
  <c r="K61"/>
  <c r="L61"/>
  <c r="M61"/>
  <c r="N61"/>
  <c r="O61"/>
  <c r="P61"/>
  <c r="Q61"/>
  <c r="E62"/>
  <c r="F62"/>
  <c r="G62"/>
  <c r="H62"/>
  <c r="I62"/>
  <c r="J62"/>
  <c r="K62"/>
  <c r="L62"/>
  <c r="M62"/>
  <c r="N62"/>
  <c r="O62"/>
  <c r="P62"/>
  <c r="Q62"/>
  <c r="E63"/>
  <c r="F63"/>
  <c r="G63"/>
  <c r="H63"/>
  <c r="I63"/>
  <c r="J63"/>
  <c r="K63"/>
  <c r="L63"/>
  <c r="M63"/>
  <c r="N63"/>
  <c r="O63"/>
  <c r="P63"/>
  <c r="Q63"/>
  <c r="E66"/>
  <c r="F66"/>
  <c r="G66"/>
  <c r="H66"/>
  <c r="I66"/>
  <c r="J66"/>
  <c r="K66"/>
  <c r="L66"/>
  <c r="M66"/>
  <c r="N66"/>
  <c r="O66"/>
  <c r="P66"/>
  <c r="Q66"/>
  <c r="E67"/>
  <c r="F67"/>
  <c r="G67"/>
  <c r="H67"/>
  <c r="I67"/>
  <c r="J67"/>
  <c r="K67"/>
  <c r="L67"/>
  <c r="M67"/>
  <c r="N67"/>
  <c r="O67"/>
  <c r="P67"/>
  <c r="Q67"/>
  <c r="E68"/>
  <c r="F68"/>
  <c r="G68"/>
  <c r="H68"/>
  <c r="I68"/>
  <c r="J68"/>
  <c r="K68"/>
  <c r="L68"/>
  <c r="M68"/>
  <c r="N68"/>
  <c r="O68"/>
  <c r="P68"/>
  <c r="Q68"/>
  <c r="E69"/>
  <c r="F69"/>
  <c r="G69"/>
  <c r="H69"/>
  <c r="I69"/>
  <c r="J69"/>
  <c r="K69"/>
  <c r="L69"/>
  <c r="M69"/>
  <c r="N69"/>
  <c r="O69"/>
  <c r="P69"/>
  <c r="Q69"/>
  <c r="E70"/>
  <c r="F70"/>
  <c r="G70"/>
  <c r="H70"/>
  <c r="I70"/>
  <c r="J70"/>
  <c r="K70"/>
  <c r="L70"/>
  <c r="M70"/>
  <c r="N70"/>
  <c r="O70"/>
  <c r="P70"/>
  <c r="Q70"/>
  <c r="E71"/>
  <c r="F71"/>
  <c r="G71"/>
  <c r="H71"/>
  <c r="I71"/>
  <c r="J71"/>
  <c r="K71"/>
  <c r="L71"/>
  <c r="M71"/>
  <c r="N71"/>
  <c r="O71"/>
  <c r="P71"/>
  <c r="Q71"/>
  <c r="E72"/>
  <c r="F72"/>
  <c r="G72"/>
  <c r="H72"/>
  <c r="I72"/>
  <c r="J72"/>
  <c r="K72"/>
  <c r="L72"/>
  <c r="M72"/>
  <c r="N72"/>
  <c r="O72"/>
  <c r="P72"/>
  <c r="Q72"/>
  <c r="E73"/>
  <c r="F73"/>
  <c r="G73"/>
  <c r="H73"/>
  <c r="I73"/>
  <c r="J73"/>
  <c r="K73"/>
  <c r="L73"/>
  <c r="M73"/>
  <c r="N73"/>
  <c r="O73"/>
  <c r="P73"/>
  <c r="Q73"/>
  <c r="E77"/>
  <c r="F77"/>
  <c r="G77"/>
  <c r="H77"/>
  <c r="I77"/>
  <c r="J77"/>
  <c r="K77"/>
  <c r="L77"/>
  <c r="M77"/>
  <c r="N77"/>
  <c r="O77"/>
  <c r="P77"/>
  <c r="Q77"/>
  <c r="E78"/>
  <c r="F78"/>
  <c r="G78"/>
  <c r="H78"/>
  <c r="I78"/>
  <c r="J78"/>
  <c r="K78"/>
  <c r="L78"/>
  <c r="M78"/>
  <c r="N78"/>
  <c r="O78"/>
  <c r="P78"/>
  <c r="Q78"/>
  <c r="E79"/>
  <c r="F79"/>
  <c r="G79"/>
  <c r="H79"/>
  <c r="I79"/>
  <c r="J79"/>
  <c r="K79"/>
  <c r="L79"/>
  <c r="M79"/>
  <c r="N79"/>
  <c r="O79"/>
  <c r="P79"/>
  <c r="Q79"/>
  <c r="E80"/>
  <c r="F80"/>
  <c r="G80"/>
  <c r="H80"/>
  <c r="I80"/>
  <c r="J80"/>
  <c r="K80"/>
  <c r="L80"/>
  <c r="M80"/>
  <c r="N80"/>
  <c r="O80"/>
  <c r="P80"/>
  <c r="Q80"/>
  <c r="E81"/>
  <c r="F81"/>
  <c r="G81"/>
  <c r="H81"/>
  <c r="I81"/>
  <c r="J81"/>
  <c r="K81"/>
  <c r="L81"/>
  <c r="M81"/>
  <c r="N81"/>
  <c r="O81"/>
  <c r="P81"/>
  <c r="Q81"/>
  <c r="E82"/>
  <c r="F82"/>
  <c r="G82"/>
  <c r="H82"/>
  <c r="I82"/>
  <c r="J82"/>
  <c r="K82"/>
  <c r="L82"/>
  <c r="M82"/>
  <c r="N82"/>
  <c r="O82"/>
  <c r="P82"/>
  <c r="Q82"/>
  <c r="E83"/>
  <c r="F83"/>
  <c r="G83"/>
  <c r="H83"/>
  <c r="I83"/>
  <c r="J83"/>
  <c r="K83"/>
  <c r="L83"/>
  <c r="M83"/>
  <c r="N83"/>
  <c r="O83"/>
  <c r="P83"/>
  <c r="Q83"/>
  <c r="E86"/>
  <c r="F86"/>
  <c r="G86"/>
  <c r="H86"/>
  <c r="I86"/>
  <c r="J86"/>
  <c r="K86"/>
  <c r="L86"/>
  <c r="M86"/>
  <c r="N86"/>
  <c r="O86"/>
  <c r="P86"/>
  <c r="Q86"/>
  <c r="E87"/>
  <c r="F87"/>
  <c r="G87"/>
  <c r="H87"/>
  <c r="I87"/>
  <c r="J87"/>
  <c r="K87"/>
  <c r="L87"/>
  <c r="M87"/>
  <c r="N87"/>
  <c r="O87"/>
  <c r="P87"/>
  <c r="Q87"/>
  <c r="E88"/>
  <c r="F88"/>
  <c r="G88"/>
  <c r="H88"/>
  <c r="I88"/>
  <c r="J88"/>
  <c r="K88"/>
  <c r="L88"/>
  <c r="M88"/>
  <c r="N88"/>
  <c r="O88"/>
  <c r="P88"/>
  <c r="Q88"/>
  <c r="E89"/>
  <c r="F89"/>
  <c r="G89"/>
  <c r="H89"/>
  <c r="I89"/>
  <c r="J89"/>
  <c r="K89"/>
  <c r="L89"/>
  <c r="M89"/>
  <c r="N89"/>
  <c r="O89"/>
  <c r="P89"/>
  <c r="Q89"/>
  <c r="E90"/>
  <c r="F90"/>
  <c r="G90"/>
  <c r="H90"/>
  <c r="I90"/>
  <c r="J90"/>
  <c r="K90"/>
  <c r="L90"/>
  <c r="M90"/>
  <c r="N90"/>
  <c r="O90"/>
  <c r="P90"/>
  <c r="Q90"/>
  <c r="E91"/>
  <c r="F91"/>
  <c r="G91"/>
  <c r="H91"/>
  <c r="I91"/>
  <c r="J91"/>
  <c r="K91"/>
  <c r="L91"/>
  <c r="M91"/>
  <c r="N91"/>
  <c r="O91"/>
  <c r="P91"/>
  <c r="Q91"/>
  <c r="E92"/>
  <c r="F92"/>
  <c r="G92"/>
  <c r="H92"/>
  <c r="I92"/>
  <c r="J92"/>
  <c r="K92"/>
  <c r="L92"/>
  <c r="M92"/>
  <c r="N92"/>
  <c r="O92"/>
  <c r="P92"/>
  <c r="Q92"/>
  <c r="E93"/>
  <c r="F93"/>
  <c r="G93"/>
  <c r="H93"/>
  <c r="I93"/>
  <c r="J93"/>
  <c r="K93"/>
  <c r="L93"/>
  <c r="M93"/>
  <c r="N93"/>
  <c r="O93"/>
  <c r="P93"/>
  <c r="Q93"/>
  <c r="E96"/>
  <c r="F96"/>
  <c r="G96"/>
  <c r="H96"/>
  <c r="I96"/>
  <c r="J96"/>
  <c r="K96"/>
  <c r="L96"/>
  <c r="M96"/>
  <c r="N96"/>
  <c r="O96"/>
  <c r="P96"/>
  <c r="Q96"/>
  <c r="E97"/>
  <c r="F97"/>
  <c r="G97"/>
  <c r="H97"/>
  <c r="I97"/>
  <c r="J97"/>
  <c r="K97"/>
  <c r="L97"/>
  <c r="M97"/>
  <c r="N97"/>
  <c r="O97"/>
  <c r="P97"/>
  <c r="Q97"/>
  <c r="E98"/>
  <c r="F98"/>
  <c r="G98"/>
  <c r="H98"/>
  <c r="I98"/>
  <c r="J98"/>
  <c r="K98"/>
  <c r="L98"/>
  <c r="M98"/>
  <c r="N98"/>
  <c r="O98"/>
  <c r="P98"/>
  <c r="Q98"/>
  <c r="E99"/>
  <c r="F99"/>
  <c r="G99"/>
  <c r="H99"/>
  <c r="I99"/>
  <c r="J99"/>
  <c r="K99"/>
  <c r="L99"/>
  <c r="M99"/>
  <c r="N99"/>
  <c r="O99"/>
  <c r="P99"/>
  <c r="Q99"/>
  <c r="E100"/>
  <c r="F100"/>
  <c r="G100"/>
  <c r="H100"/>
  <c r="I100"/>
  <c r="J100"/>
  <c r="K100"/>
  <c r="L100"/>
  <c r="M100"/>
  <c r="N100"/>
  <c r="O100"/>
  <c r="P100"/>
  <c r="Q100"/>
  <c r="E101"/>
  <c r="F101"/>
  <c r="G101"/>
  <c r="H101"/>
  <c r="I101"/>
  <c r="J101"/>
  <c r="K101"/>
  <c r="L101"/>
  <c r="M101"/>
  <c r="N101"/>
  <c r="O101"/>
  <c r="P101"/>
  <c r="Q101"/>
  <c r="E102"/>
  <c r="F102"/>
  <c r="G102"/>
  <c r="H102"/>
  <c r="I102"/>
  <c r="J102"/>
  <c r="K102"/>
  <c r="L102"/>
  <c r="M102"/>
  <c r="N102"/>
  <c r="O102"/>
  <c r="P102"/>
  <c r="Q102"/>
  <c r="E105"/>
  <c r="F105"/>
  <c r="G105"/>
  <c r="H105"/>
  <c r="I105"/>
  <c r="J105"/>
  <c r="K105"/>
  <c r="L105"/>
  <c r="M105"/>
  <c r="N105"/>
  <c r="O105"/>
  <c r="P105"/>
  <c r="Q105"/>
  <c r="E106"/>
  <c r="F106"/>
  <c r="G106"/>
  <c r="H106"/>
  <c r="I106"/>
  <c r="J106"/>
  <c r="K106"/>
  <c r="L106"/>
  <c r="M106"/>
  <c r="N106"/>
  <c r="O106"/>
  <c r="P106"/>
  <c r="Q106"/>
  <c r="E107"/>
  <c r="F107"/>
  <c r="G107"/>
  <c r="H107"/>
  <c r="I107"/>
  <c r="J107"/>
  <c r="K107"/>
  <c r="L107"/>
  <c r="M107"/>
  <c r="N107"/>
  <c r="O107"/>
  <c r="P107"/>
  <c r="Q107"/>
  <c r="E108"/>
  <c r="F108"/>
  <c r="G108"/>
  <c r="H108"/>
  <c r="I108"/>
  <c r="J108"/>
  <c r="K108"/>
  <c r="L108"/>
  <c r="M108"/>
  <c r="N108"/>
  <c r="O108"/>
  <c r="P108"/>
  <c r="Q108"/>
  <c r="E111"/>
  <c r="F111"/>
  <c r="G111"/>
  <c r="H111"/>
  <c r="I111"/>
  <c r="J111"/>
  <c r="K111"/>
  <c r="L111"/>
  <c r="M111"/>
  <c r="N111"/>
  <c r="O111"/>
  <c r="P111"/>
  <c r="Q111"/>
  <c r="E112"/>
  <c r="F112"/>
  <c r="G112"/>
  <c r="H112"/>
  <c r="I112"/>
  <c r="J112"/>
  <c r="K112"/>
  <c r="L112"/>
  <c r="M112"/>
  <c r="N112"/>
  <c r="O112"/>
  <c r="P112"/>
  <c r="Q112"/>
  <c r="E113"/>
  <c r="F113"/>
  <c r="G113"/>
  <c r="H113"/>
  <c r="I113"/>
  <c r="J113"/>
  <c r="K113"/>
  <c r="L113"/>
  <c r="M113"/>
  <c r="N113"/>
  <c r="O113"/>
  <c r="P113"/>
  <c r="Q113"/>
  <c r="E114"/>
  <c r="F114"/>
  <c r="G114"/>
  <c r="H114"/>
  <c r="I114"/>
  <c r="J114"/>
  <c r="K114"/>
  <c r="L114"/>
  <c r="M114"/>
  <c r="N114"/>
  <c r="O114"/>
  <c r="P114"/>
  <c r="Q114"/>
  <c r="E115"/>
  <c r="F115"/>
  <c r="G115"/>
  <c r="H115"/>
  <c r="I115"/>
  <c r="J115"/>
  <c r="K115"/>
  <c r="L115"/>
  <c r="M115"/>
  <c r="N115"/>
  <c r="O115"/>
  <c r="P115"/>
  <c r="Q115"/>
  <c r="E116"/>
  <c r="F116"/>
  <c r="G116"/>
  <c r="H116"/>
  <c r="I116"/>
  <c r="J116"/>
  <c r="K116"/>
  <c r="L116"/>
  <c r="M116"/>
  <c r="N116"/>
  <c r="O116"/>
  <c r="P116"/>
  <c r="Q116"/>
  <c r="E117"/>
  <c r="F117"/>
  <c r="G117"/>
  <c r="H117"/>
  <c r="I117"/>
  <c r="J117"/>
  <c r="K117"/>
  <c r="L117"/>
  <c r="M117"/>
  <c r="N117"/>
  <c r="O117"/>
  <c r="P117"/>
  <c r="Q117"/>
  <c r="E120"/>
  <c r="F120"/>
  <c r="G120"/>
  <c r="H120"/>
  <c r="I120"/>
  <c r="J120"/>
  <c r="K120"/>
  <c r="L120"/>
  <c r="M120"/>
  <c r="N120"/>
  <c r="O120"/>
  <c r="P120"/>
  <c r="Q120"/>
  <c r="E121"/>
  <c r="F121"/>
  <c r="G121"/>
  <c r="H121"/>
  <c r="I121"/>
  <c r="J121"/>
  <c r="K121"/>
  <c r="L121"/>
  <c r="M121"/>
  <c r="N121"/>
  <c r="O121"/>
  <c r="P121"/>
  <c r="Q121"/>
  <c r="E122"/>
  <c r="F122"/>
  <c r="G122"/>
  <c r="H122"/>
  <c r="I122"/>
  <c r="J122"/>
  <c r="K122"/>
  <c r="L122"/>
  <c r="M122"/>
  <c r="N122"/>
  <c r="O122"/>
  <c r="P122"/>
  <c r="Q122"/>
  <c r="E129"/>
  <c r="F129"/>
  <c r="G129"/>
  <c r="H129"/>
  <c r="I129"/>
  <c r="J129"/>
  <c r="K129"/>
  <c r="L129"/>
  <c r="M129"/>
  <c r="N129"/>
  <c r="O129"/>
  <c r="P129"/>
  <c r="Q129"/>
  <c r="E132"/>
  <c r="F132"/>
  <c r="G132"/>
  <c r="H132"/>
  <c r="I132"/>
  <c r="J132"/>
  <c r="K132"/>
  <c r="L132"/>
  <c r="M132"/>
  <c r="N132"/>
  <c r="O132"/>
  <c r="P132"/>
  <c r="Q132"/>
  <c r="E165"/>
  <c r="F165"/>
  <c r="G165"/>
  <c r="H165"/>
  <c r="I165"/>
  <c r="J165"/>
  <c r="K165"/>
  <c r="L165"/>
  <c r="M165"/>
  <c r="N165"/>
  <c r="O165"/>
  <c r="P165"/>
  <c r="Q165"/>
  <c r="E171"/>
  <c r="F171"/>
  <c r="G171"/>
  <c r="H171"/>
  <c r="I171"/>
  <c r="J171"/>
  <c r="K171"/>
  <c r="L171"/>
  <c r="M171"/>
  <c r="N171"/>
  <c r="O171"/>
  <c r="P171"/>
  <c r="Q171"/>
  <c r="E172"/>
  <c r="F172"/>
  <c r="G172"/>
  <c r="H172"/>
  <c r="I172"/>
  <c r="J172"/>
  <c r="K172"/>
  <c r="L172"/>
  <c r="M172"/>
  <c r="N172"/>
  <c r="O172"/>
  <c r="P172"/>
  <c r="Q172"/>
  <c r="E175"/>
  <c r="F175"/>
  <c r="G175"/>
  <c r="H175"/>
  <c r="I175"/>
  <c r="J175"/>
  <c r="K175"/>
  <c r="L175"/>
  <c r="M175"/>
  <c r="N175"/>
  <c r="O175"/>
  <c r="P175"/>
  <c r="Q175"/>
  <c r="E176"/>
  <c r="F176"/>
  <c r="G176"/>
  <c r="H176"/>
  <c r="I176"/>
  <c r="J176"/>
  <c r="K176"/>
  <c r="L176"/>
  <c r="M176"/>
  <c r="N176"/>
  <c r="O176"/>
  <c r="P176"/>
  <c r="Q176"/>
  <c r="E177"/>
  <c r="F177"/>
  <c r="G177"/>
  <c r="H177"/>
  <c r="I177"/>
  <c r="J177"/>
  <c r="K177"/>
  <c r="L177"/>
  <c r="M177"/>
  <c r="N177"/>
  <c r="O177"/>
  <c r="P177"/>
  <c r="Q177"/>
  <c r="E178"/>
  <c r="F178"/>
  <c r="G178"/>
  <c r="H178"/>
  <c r="I178"/>
  <c r="J178"/>
  <c r="K178"/>
  <c r="L178"/>
  <c r="M178"/>
  <c r="N178"/>
  <c r="O178"/>
  <c r="P178"/>
  <c r="Q178"/>
  <c r="E179"/>
  <c r="F179"/>
  <c r="G179"/>
  <c r="H179"/>
  <c r="I179"/>
  <c r="J179"/>
  <c r="K179"/>
  <c r="L179"/>
  <c r="M179"/>
  <c r="N179"/>
  <c r="O179"/>
  <c r="P179"/>
  <c r="Q179"/>
  <c r="E182"/>
  <c r="F182"/>
  <c r="G182"/>
  <c r="H182"/>
  <c r="I182"/>
  <c r="J182"/>
  <c r="K182"/>
  <c r="L182"/>
  <c r="M182"/>
  <c r="N182"/>
  <c r="O182"/>
  <c r="P182"/>
  <c r="Q182"/>
  <c r="E183"/>
  <c r="F183"/>
  <c r="G183"/>
  <c r="H183"/>
  <c r="I183"/>
  <c r="J183"/>
  <c r="K183"/>
  <c r="L183"/>
  <c r="M183"/>
  <c r="N183"/>
  <c r="O183"/>
  <c r="P183"/>
  <c r="Q183"/>
  <c r="E184"/>
  <c r="F184"/>
  <c r="G184"/>
  <c r="H184"/>
  <c r="I184"/>
  <c r="J184"/>
  <c r="K184"/>
  <c r="L184"/>
  <c r="M184"/>
  <c r="N184"/>
  <c r="O184"/>
  <c r="P184"/>
  <c r="Q184"/>
  <c r="E185"/>
  <c r="F185"/>
  <c r="G185"/>
  <c r="H185"/>
  <c r="I185"/>
  <c r="J185"/>
  <c r="K185"/>
  <c r="L185"/>
  <c r="M185"/>
  <c r="N185"/>
  <c r="O185"/>
  <c r="P185"/>
  <c r="Q185"/>
  <c r="E186"/>
  <c r="F186"/>
  <c r="G186"/>
  <c r="H186"/>
  <c r="I186"/>
  <c r="J186"/>
  <c r="K186"/>
  <c r="L186"/>
  <c r="M186"/>
  <c r="N186"/>
  <c r="O186"/>
  <c r="P186"/>
  <c r="Q186"/>
  <c r="E187"/>
  <c r="F187"/>
  <c r="G187"/>
  <c r="H187"/>
  <c r="I187"/>
  <c r="J187"/>
  <c r="K187"/>
  <c r="L187"/>
  <c r="M187"/>
  <c r="N187"/>
  <c r="O187"/>
  <c r="P187"/>
  <c r="Q187"/>
  <c r="E188"/>
  <c r="F188"/>
  <c r="G188"/>
  <c r="H188"/>
  <c r="I188"/>
  <c r="J188"/>
  <c r="K188"/>
  <c r="L188"/>
  <c r="M188"/>
  <c r="N188"/>
  <c r="O188"/>
  <c r="P188"/>
  <c r="Q188"/>
  <c r="C1" i="2"/>
  <c r="B2"/>
  <c r="D2"/>
  <c r="E2"/>
  <c r="F2"/>
  <c r="G2"/>
  <c r="H2"/>
  <c r="I2"/>
  <c r="J2"/>
  <c r="K2"/>
  <c r="P1" i="3" s="1"/>
  <c r="L2" i="2"/>
  <c r="Q1" i="3" s="1"/>
  <c r="M2" i="2"/>
  <c r="R1" i="3" s="1"/>
  <c r="N2" i="2"/>
  <c r="S1" i="3" s="1"/>
  <c r="O2" i="2"/>
  <c r="T1" i="3" s="1"/>
  <c r="P2" i="2"/>
  <c r="U1" i="3" s="1"/>
  <c r="Q2" i="2"/>
  <c r="V1" i="3" s="1"/>
  <c r="D4" i="2"/>
  <c r="D52" i="4" s="1"/>
  <c r="B4" i="14" s="1"/>
  <c r="H4" i="2"/>
  <c r="H52" i="4" s="1"/>
  <c r="F4" i="14" s="1"/>
  <c r="J4" i="2"/>
  <c r="J52" i="4" s="1"/>
  <c r="H4" i="14" s="1"/>
  <c r="L4" i="2"/>
  <c r="L52" i="4" s="1"/>
  <c r="N4" i="2"/>
  <c r="N52" i="4" s="1"/>
  <c r="P4" i="2"/>
  <c r="P52" i="4" s="1"/>
  <c r="D5" i="2"/>
  <c r="E5"/>
  <c r="J12" i="3" s="1"/>
  <c r="F5" i="2"/>
  <c r="G5"/>
  <c r="H5"/>
  <c r="I5"/>
  <c r="J5"/>
  <c r="K5"/>
  <c r="L5"/>
  <c r="M5"/>
  <c r="N5"/>
  <c r="O5"/>
  <c r="P5"/>
  <c r="Q5"/>
  <c r="D9"/>
  <c r="D7" s="1"/>
  <c r="D12"/>
  <c r="D11" s="1"/>
  <c r="E12"/>
  <c r="F12"/>
  <c r="G12"/>
  <c r="H12"/>
  <c r="I12"/>
  <c r="J12"/>
  <c r="K12"/>
  <c r="L12"/>
  <c r="M12"/>
  <c r="N12"/>
  <c r="O12"/>
  <c r="P12"/>
  <c r="Q12"/>
  <c r="D15"/>
  <c r="E15"/>
  <c r="F15"/>
  <c r="G15"/>
  <c r="H15"/>
  <c r="I15"/>
  <c r="J15"/>
  <c r="K15"/>
  <c r="L15"/>
  <c r="M15"/>
  <c r="N15"/>
  <c r="O15"/>
  <c r="P15"/>
  <c r="Q15"/>
  <c r="D18"/>
  <c r="D16" s="1"/>
  <c r="I18" i="3" s="1"/>
  <c r="D18" s="1"/>
  <c r="E18" i="2"/>
  <c r="E16" s="1"/>
  <c r="J18" i="3" s="1"/>
  <c r="F18" i="2"/>
  <c r="F16" s="1"/>
  <c r="K18" i="3" s="1"/>
  <c r="G18" i="2"/>
  <c r="G16" s="1"/>
  <c r="L18" i="3" s="1"/>
  <c r="H18" i="2"/>
  <c r="H16" s="1"/>
  <c r="M18" i="3" s="1"/>
  <c r="I18" i="2"/>
  <c r="I16" s="1"/>
  <c r="N18" i="3" s="1"/>
  <c r="J18" i="2"/>
  <c r="J16" s="1"/>
  <c r="O18" i="3" s="1"/>
  <c r="K18" i="2"/>
  <c r="K16" s="1"/>
  <c r="P18" i="3" s="1"/>
  <c r="L18" i="2"/>
  <c r="L16" s="1"/>
  <c r="Q18" i="3" s="1"/>
  <c r="M18" i="2"/>
  <c r="M16" s="1"/>
  <c r="R18" i="3" s="1"/>
  <c r="N18" i="2"/>
  <c r="N16" s="1"/>
  <c r="S18" i="3" s="1"/>
  <c r="O18" i="2"/>
  <c r="O16" s="1"/>
  <c r="T18" i="3" s="1"/>
  <c r="P18" i="2"/>
  <c r="P16" s="1"/>
  <c r="U18" i="3" s="1"/>
  <c r="Q18" i="2"/>
  <c r="Q16" s="1"/>
  <c r="V18" i="3" s="1"/>
  <c r="D19" i="2"/>
  <c r="I19" i="3" s="1"/>
  <c r="D19" s="1"/>
  <c r="E19" i="2"/>
  <c r="J19" i="3" s="1"/>
  <c r="F19" i="2"/>
  <c r="K19" i="3" s="1"/>
  <c r="G19" i="2"/>
  <c r="L19" i="3" s="1"/>
  <c r="H19" i="2"/>
  <c r="M19" i="3" s="1"/>
  <c r="I19" i="2"/>
  <c r="N19" i="3" s="1"/>
  <c r="J19" i="2"/>
  <c r="O19" i="3" s="1"/>
  <c r="K19" i="2"/>
  <c r="P19" i="3" s="1"/>
  <c r="L19" i="2"/>
  <c r="Q19" i="3" s="1"/>
  <c r="M19" i="2"/>
  <c r="R19" i="3" s="1"/>
  <c r="N19" i="2"/>
  <c r="S19" i="3" s="1"/>
  <c r="O19" i="2"/>
  <c r="T19" i="3" s="1"/>
  <c r="P19" i="2"/>
  <c r="U19" i="3" s="1"/>
  <c r="Q19" i="2"/>
  <c r="V19" i="3" s="1"/>
  <c r="D21" i="2"/>
  <c r="D20" s="1"/>
  <c r="E21"/>
  <c r="F21"/>
  <c r="G21"/>
  <c r="H21"/>
  <c r="I21"/>
  <c r="J21"/>
  <c r="K21"/>
  <c r="L21"/>
  <c r="M21"/>
  <c r="N21"/>
  <c r="O21"/>
  <c r="P21"/>
  <c r="Q21"/>
  <c r="D24"/>
  <c r="D23" s="1"/>
  <c r="E24"/>
  <c r="F24"/>
  <c r="G24"/>
  <c r="H24"/>
  <c r="I24"/>
  <c r="J24"/>
  <c r="K24"/>
  <c r="L24"/>
  <c r="M24"/>
  <c r="N24"/>
  <c r="O24"/>
  <c r="P24"/>
  <c r="Q24"/>
  <c r="D26"/>
  <c r="D25" s="1"/>
  <c r="D6" i="4" s="1"/>
  <c r="E26" i="2"/>
  <c r="F26"/>
  <c r="G26"/>
  <c r="H26"/>
  <c r="I26"/>
  <c r="J26"/>
  <c r="K26"/>
  <c r="L26"/>
  <c r="M26"/>
  <c r="N26"/>
  <c r="O26"/>
  <c r="P26"/>
  <c r="Q26"/>
  <c r="D28"/>
  <c r="D3" i="4" s="1"/>
  <c r="E28" i="2"/>
  <c r="E3" i="4" s="1"/>
  <c r="F28" i="2"/>
  <c r="F3" i="4" s="1"/>
  <c r="G28" i="2"/>
  <c r="G3" i="4" s="1"/>
  <c r="H28" i="2"/>
  <c r="H3" i="4" s="1"/>
  <c r="I28" i="2"/>
  <c r="I3" i="4" s="1"/>
  <c r="J28" i="2"/>
  <c r="J3" i="4" s="1"/>
  <c r="K28" i="2"/>
  <c r="K3" i="4" s="1"/>
  <c r="L28" i="2"/>
  <c r="L3" i="4" s="1"/>
  <c r="M28" i="2"/>
  <c r="M3" i="4" s="1"/>
  <c r="N28" i="2"/>
  <c r="N3" i="4" s="1"/>
  <c r="O28" i="2"/>
  <c r="O3" i="4" s="1"/>
  <c r="P28" i="2"/>
  <c r="P3" i="4" s="1"/>
  <c r="Q28" i="2"/>
  <c r="Q3" i="4" s="1"/>
  <c r="D30" i="2"/>
  <c r="D29" s="1"/>
  <c r="E30"/>
  <c r="F30"/>
  <c r="G30"/>
  <c r="H30"/>
  <c r="I30"/>
  <c r="J30"/>
  <c r="K30"/>
  <c r="L30"/>
  <c r="M30"/>
  <c r="N30"/>
  <c r="O30"/>
  <c r="P30"/>
  <c r="Q30"/>
  <c r="D32"/>
  <c r="D31" s="1"/>
  <c r="E32"/>
  <c r="F32"/>
  <c r="G32"/>
  <c r="H32"/>
  <c r="I32"/>
  <c r="J32"/>
  <c r="K32"/>
  <c r="L32"/>
  <c r="M32"/>
  <c r="N32"/>
  <c r="O32"/>
  <c r="P32"/>
  <c r="Q32"/>
  <c r="D35"/>
  <c r="D34" s="1"/>
  <c r="E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D37"/>
  <c r="D36" s="1"/>
  <c r="I26" i="3" s="1"/>
  <c r="D26" s="1"/>
  <c r="G26" s="1"/>
  <c r="E37" i="2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D39"/>
  <c r="D38" s="1"/>
  <c r="D15" i="4" s="1"/>
  <c r="D16" s="1"/>
  <c r="E39" i="2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D42"/>
  <c r="E42"/>
  <c r="F42"/>
  <c r="G42"/>
  <c r="H42"/>
  <c r="I42"/>
  <c r="J42"/>
  <c r="K42"/>
  <c r="L42"/>
  <c r="M42"/>
  <c r="N42"/>
  <c r="O42"/>
  <c r="P42"/>
  <c r="Q42"/>
  <c r="D43"/>
  <c r="I24" i="3" s="1"/>
  <c r="D24" s="1"/>
  <c r="E43" i="2"/>
  <c r="J24" i="3" s="1"/>
  <c r="F43" i="2"/>
  <c r="K24" i="3" s="1"/>
  <c r="G43" i="2"/>
  <c r="L24" i="3" s="1"/>
  <c r="H43" i="2"/>
  <c r="M24" i="3" s="1"/>
  <c r="I43" i="2"/>
  <c r="N24" i="3" s="1"/>
  <c r="J43" i="2"/>
  <c r="O24" i="3" s="1"/>
  <c r="K43" i="2"/>
  <c r="P24" i="3" s="1"/>
  <c r="L43" i="2"/>
  <c r="Q24" i="3" s="1"/>
  <c r="M43" i="2"/>
  <c r="R24" i="3" s="1"/>
  <c r="N43" i="2"/>
  <c r="S24" i="3" s="1"/>
  <c r="O43" i="2"/>
  <c r="T24" i="3" s="1"/>
  <c r="P43" i="2"/>
  <c r="U24" i="3" s="1"/>
  <c r="Q43" i="2"/>
  <c r="V24" i="3" s="1"/>
  <c r="D45" i="2"/>
  <c r="D44" s="1"/>
  <c r="I29" i="3" s="1"/>
  <c r="D29" s="1"/>
  <c r="G29" s="1"/>
  <c r="E45" i="2"/>
  <c r="F45"/>
  <c r="G45"/>
  <c r="H45"/>
  <c r="I45"/>
  <c r="J45"/>
  <c r="K45"/>
  <c r="L45"/>
  <c r="M45"/>
  <c r="N45"/>
  <c r="O45"/>
  <c r="P45"/>
  <c r="Q45"/>
  <c r="D46"/>
  <c r="I25" i="3" s="1"/>
  <c r="D25" s="1"/>
  <c r="E46" i="2"/>
  <c r="J25" i="3" s="1"/>
  <c r="F46" i="2"/>
  <c r="K25" i="3" s="1"/>
  <c r="G46" i="2"/>
  <c r="L25" i="3" s="1"/>
  <c r="H46" i="2"/>
  <c r="M25" i="3" s="1"/>
  <c r="I46" i="2"/>
  <c r="N25" i="3" s="1"/>
  <c r="J46" i="2"/>
  <c r="O25" i="3" s="1"/>
  <c r="K46" i="2"/>
  <c r="P25" i="3" s="1"/>
  <c r="L46" i="2"/>
  <c r="Q25" i="3" s="1"/>
  <c r="M46" i="2"/>
  <c r="R25" i="3" s="1"/>
  <c r="N46" i="2"/>
  <c r="S25" i="3" s="1"/>
  <c r="O46" i="2"/>
  <c r="T25" i="3" s="1"/>
  <c r="P46" i="2"/>
  <c r="U25" i="3" s="1"/>
  <c r="Q46" i="2"/>
  <c r="V25" i="3" s="1"/>
  <c r="D48" i="2"/>
  <c r="D47" s="1"/>
  <c r="E48"/>
  <c r="F48"/>
  <c r="G48"/>
  <c r="H48"/>
  <c r="I48"/>
  <c r="J48"/>
  <c r="K48"/>
  <c r="L48"/>
  <c r="M48"/>
  <c r="N48"/>
  <c r="O48"/>
  <c r="P48"/>
  <c r="Q48"/>
  <c r="D50"/>
  <c r="E50"/>
  <c r="F50"/>
  <c r="G50"/>
  <c r="H50"/>
  <c r="I50"/>
  <c r="J50"/>
  <c r="K50"/>
  <c r="L50"/>
  <c r="M50"/>
  <c r="N50"/>
  <c r="O50"/>
  <c r="P50"/>
  <c r="Q50"/>
  <c r="D52"/>
  <c r="D51" s="1"/>
  <c r="D23" i="4" s="1"/>
  <c r="D20" s="1"/>
  <c r="E52" i="2"/>
  <c r="F52"/>
  <c r="G52"/>
  <c r="H52"/>
  <c r="I52"/>
  <c r="J52"/>
  <c r="K52"/>
  <c r="L52"/>
  <c r="M52"/>
  <c r="N52"/>
  <c r="O52"/>
  <c r="P52"/>
  <c r="Q52"/>
  <c r="D55"/>
  <c r="D54" s="1"/>
  <c r="E55"/>
  <c r="F55"/>
  <c r="G55"/>
  <c r="H55"/>
  <c r="I55"/>
  <c r="J55"/>
  <c r="K55"/>
  <c r="L55"/>
  <c r="M55"/>
  <c r="N55"/>
  <c r="O55"/>
  <c r="P55"/>
  <c r="Q55"/>
  <c r="D57"/>
  <c r="D56" s="1"/>
  <c r="E57"/>
  <c r="F57"/>
  <c r="G57"/>
  <c r="H57"/>
  <c r="I57"/>
  <c r="J57"/>
  <c r="K57"/>
  <c r="L57"/>
  <c r="M57"/>
  <c r="N57"/>
  <c r="O57"/>
  <c r="P57"/>
  <c r="Q57"/>
  <c r="D59"/>
  <c r="D58" s="1"/>
  <c r="D26" i="4" s="1"/>
  <c r="E59" i="2"/>
  <c r="F59"/>
  <c r="G59"/>
  <c r="H59"/>
  <c r="I59"/>
  <c r="J59"/>
  <c r="K59"/>
  <c r="L59"/>
  <c r="M59"/>
  <c r="N59"/>
  <c r="O59"/>
  <c r="P59"/>
  <c r="Q59"/>
  <c r="D61"/>
  <c r="D60" s="1"/>
  <c r="E61"/>
  <c r="F61"/>
  <c r="G61"/>
  <c r="H61"/>
  <c r="I61"/>
  <c r="J61"/>
  <c r="K61"/>
  <c r="L61"/>
  <c r="M61"/>
  <c r="N61"/>
  <c r="O61"/>
  <c r="P61"/>
  <c r="Q61"/>
  <c r="D63"/>
  <c r="D62" s="1"/>
  <c r="I32" i="3" s="1"/>
  <c r="D32" s="1"/>
  <c r="G32" s="1"/>
  <c r="E63" i="2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64"/>
  <c r="D64"/>
  <c r="E64"/>
  <c r="B65"/>
  <c r="D65"/>
  <c r="D36" i="4" s="1"/>
  <c r="E65" i="2"/>
  <c r="E36" i="4" s="1"/>
  <c r="F65" i="2"/>
  <c r="F36" i="4" s="1"/>
  <c r="G65" i="2"/>
  <c r="G36" i="4" s="1"/>
  <c r="H65" i="2"/>
  <c r="H36" i="4" s="1"/>
  <c r="I65" i="2"/>
  <c r="I36" i="4" s="1"/>
  <c r="J65" i="2"/>
  <c r="J36" i="4" s="1"/>
  <c r="K65" i="2"/>
  <c r="K36" i="4" s="1"/>
  <c r="L65" i="2"/>
  <c r="L36" i="4" s="1"/>
  <c r="M65" i="2"/>
  <c r="M36" i="4" s="1"/>
  <c r="N65" i="2"/>
  <c r="N36" i="4" s="1"/>
  <c r="O65" i="2"/>
  <c r="O36" i="4" s="1"/>
  <c r="P65" i="2"/>
  <c r="P36" i="4" s="1"/>
  <c r="Q65" i="2"/>
  <c r="Q36" i="4" s="1"/>
  <c r="B66" i="2"/>
  <c r="D66"/>
  <c r="D37" i="4" s="1"/>
  <c r="E66" i="2"/>
  <c r="E37" i="4" s="1"/>
  <c r="F66" i="2"/>
  <c r="F37" i="4" s="1"/>
  <c r="G66" i="2"/>
  <c r="G37" i="4" s="1"/>
  <c r="H66" i="2"/>
  <c r="H37" i="4" s="1"/>
  <c r="I66" i="2"/>
  <c r="I37" i="4" s="1"/>
  <c r="J66" i="2"/>
  <c r="J37" i="4" s="1"/>
  <c r="K66" i="2"/>
  <c r="K37" i="4" s="1"/>
  <c r="L66" i="2"/>
  <c r="L37" i="4" s="1"/>
  <c r="M66" i="2"/>
  <c r="M37" i="4" s="1"/>
  <c r="N66" i="2"/>
  <c r="N37" i="4" s="1"/>
  <c r="O66" i="2"/>
  <c r="O37" i="4" s="1"/>
  <c r="P66" i="2"/>
  <c r="P37" i="4" s="1"/>
  <c r="Q66" i="2"/>
  <c r="Q37" i="4" s="1"/>
  <c r="B67" i="2"/>
  <c r="D67"/>
  <c r="D38" i="4" s="1"/>
  <c r="E67" i="2"/>
  <c r="E38" i="4" s="1"/>
  <c r="F67" i="2"/>
  <c r="F38" i="4" s="1"/>
  <c r="G67" i="2"/>
  <c r="G38" i="4" s="1"/>
  <c r="H67" i="2"/>
  <c r="H38" i="4" s="1"/>
  <c r="I67" i="2"/>
  <c r="I38" i="4" s="1"/>
  <c r="J67" i="2"/>
  <c r="J38" i="4" s="1"/>
  <c r="K67" i="2"/>
  <c r="K38" i="4" s="1"/>
  <c r="L67" i="2"/>
  <c r="L38" i="4" s="1"/>
  <c r="M67" i="2"/>
  <c r="M38" i="4" s="1"/>
  <c r="N67" i="2"/>
  <c r="N38" i="4" s="1"/>
  <c r="O67" i="2"/>
  <c r="O38" i="4" s="1"/>
  <c r="P67" i="2"/>
  <c r="P38" i="4" s="1"/>
  <c r="Q67" i="2"/>
  <c r="Q38" i="4" s="1"/>
  <c r="B68" i="2"/>
  <c r="D68"/>
  <c r="D39" i="4" s="1"/>
  <c r="E68" i="2"/>
  <c r="E39" i="4" s="1"/>
  <c r="F68" i="2"/>
  <c r="F39" i="4" s="1"/>
  <c r="G68" i="2"/>
  <c r="G39" i="4" s="1"/>
  <c r="H68" i="2"/>
  <c r="H39" i="4" s="1"/>
  <c r="I68" i="2"/>
  <c r="I39" i="4" s="1"/>
  <c r="J68" i="2"/>
  <c r="J39" i="4" s="1"/>
  <c r="K68" i="2"/>
  <c r="K39" i="4" s="1"/>
  <c r="L68" i="2"/>
  <c r="L39" i="4" s="1"/>
  <c r="M68" i="2"/>
  <c r="M39" i="4" s="1"/>
  <c r="N68" i="2"/>
  <c r="N39" i="4" s="1"/>
  <c r="O68" i="2"/>
  <c r="O39" i="4" s="1"/>
  <c r="P68" i="2"/>
  <c r="P39" i="4" s="1"/>
  <c r="Q68" i="2"/>
  <c r="Q39" i="4" s="1"/>
  <c r="B69" i="2"/>
  <c r="D69"/>
  <c r="D40" i="4" s="1"/>
  <c r="E69" i="2"/>
  <c r="E40" i="4" s="1"/>
  <c r="F69" i="2"/>
  <c r="F40" i="4" s="1"/>
  <c r="G69" i="2"/>
  <c r="G40" i="4" s="1"/>
  <c r="H69" i="2"/>
  <c r="H40" i="4" s="1"/>
  <c r="I69" i="2"/>
  <c r="I40" i="4" s="1"/>
  <c r="J69" i="2"/>
  <c r="J40" i="4" s="1"/>
  <c r="K69" i="2"/>
  <c r="K40" i="4" s="1"/>
  <c r="L69" i="2"/>
  <c r="L40" i="4" s="1"/>
  <c r="M69" i="2"/>
  <c r="M40" i="4" s="1"/>
  <c r="N69" i="2"/>
  <c r="N40" i="4" s="1"/>
  <c r="O69" i="2"/>
  <c r="O40" i="4" s="1"/>
  <c r="P69" i="2"/>
  <c r="P40" i="4" s="1"/>
  <c r="Q69" i="2"/>
  <c r="Q40" i="4" s="1"/>
  <c r="B70" i="2"/>
  <c r="D70"/>
  <c r="D41" i="4" s="1"/>
  <c r="E70" i="2"/>
  <c r="E41" i="4" s="1"/>
  <c r="F70" i="2"/>
  <c r="F41" i="4" s="1"/>
  <c r="G70" i="2"/>
  <c r="G41" i="4" s="1"/>
  <c r="H70" i="2"/>
  <c r="H41" i="4" s="1"/>
  <c r="I70" i="2"/>
  <c r="I41" i="4" s="1"/>
  <c r="J70" i="2"/>
  <c r="J41" i="4" s="1"/>
  <c r="K70" i="2"/>
  <c r="K41" i="4" s="1"/>
  <c r="L70" i="2"/>
  <c r="L41" i="4" s="1"/>
  <c r="M70" i="2"/>
  <c r="M41" i="4" s="1"/>
  <c r="N70" i="2"/>
  <c r="N41" i="4" s="1"/>
  <c r="O70" i="2"/>
  <c r="O41" i="4" s="1"/>
  <c r="P70" i="2"/>
  <c r="P41" i="4" s="1"/>
  <c r="Q70" i="2"/>
  <c r="Q41" i="4" s="1"/>
  <c r="B71" i="2"/>
  <c r="D71"/>
  <c r="D42" i="4" s="1"/>
  <c r="E71" i="2"/>
  <c r="E42" i="4" s="1"/>
  <c r="F71" i="2"/>
  <c r="F42" i="4" s="1"/>
  <c r="G71" i="2"/>
  <c r="G42" i="4" s="1"/>
  <c r="H71" i="2"/>
  <c r="H42" i="4" s="1"/>
  <c r="I71" i="2"/>
  <c r="I42" i="4" s="1"/>
  <c r="J71" i="2"/>
  <c r="J42" i="4" s="1"/>
  <c r="K71" i="2"/>
  <c r="K42" i="4" s="1"/>
  <c r="L71" i="2"/>
  <c r="L42" i="4" s="1"/>
  <c r="M71" i="2"/>
  <c r="M42" i="4" s="1"/>
  <c r="N71" i="2"/>
  <c r="N42" i="4" s="1"/>
  <c r="O71" i="2"/>
  <c r="O42" i="4" s="1"/>
  <c r="P71" i="2"/>
  <c r="P42" i="4" s="1"/>
  <c r="Q71" i="2"/>
  <c r="Q42" i="4" s="1"/>
  <c r="B72" i="2"/>
  <c r="D72"/>
  <c r="D43" i="4" s="1"/>
  <c r="E72" i="2"/>
  <c r="E43" i="4" s="1"/>
  <c r="F72" i="2"/>
  <c r="F43" i="4" s="1"/>
  <c r="G72" i="2"/>
  <c r="G43" i="4" s="1"/>
  <c r="H72" i="2"/>
  <c r="H43" i="4" s="1"/>
  <c r="I72" i="2"/>
  <c r="I43" i="4" s="1"/>
  <c r="J72" i="2"/>
  <c r="J43" i="4" s="1"/>
  <c r="K72" i="2"/>
  <c r="K43" i="4" s="1"/>
  <c r="L72" i="2"/>
  <c r="L43" i="4" s="1"/>
  <c r="M72" i="2"/>
  <c r="M43" i="4" s="1"/>
  <c r="N72" i="2"/>
  <c r="N43" i="4" s="1"/>
  <c r="O72" i="2"/>
  <c r="O43" i="4" s="1"/>
  <c r="P72" i="2"/>
  <c r="P43" i="4" s="1"/>
  <c r="Q72" i="2"/>
  <c r="Q43" i="4" s="1"/>
  <c r="B73" i="2"/>
  <c r="D73"/>
  <c r="D44" i="4" s="1"/>
  <c r="E73" i="2"/>
  <c r="E44" i="4" s="1"/>
  <c r="F73" i="2"/>
  <c r="F44" i="4" s="1"/>
  <c r="G73" i="2"/>
  <c r="G44" i="4" s="1"/>
  <c r="H73" i="2"/>
  <c r="H44" i="4" s="1"/>
  <c r="I73" i="2"/>
  <c r="I44" i="4" s="1"/>
  <c r="J73" i="2"/>
  <c r="J44" i="4" s="1"/>
  <c r="K73" i="2"/>
  <c r="K44" i="4" s="1"/>
  <c r="L73" i="2"/>
  <c r="L44" i="4" s="1"/>
  <c r="M73" i="2"/>
  <c r="M44" i="4" s="1"/>
  <c r="N73" i="2"/>
  <c r="N44" i="4" s="1"/>
  <c r="O73" i="2"/>
  <c r="O44" i="4" s="1"/>
  <c r="P73" i="2"/>
  <c r="P44" i="4" s="1"/>
  <c r="Q73" i="2"/>
  <c r="Q44" i="4" s="1"/>
  <c r="B74" i="2"/>
  <c r="D74"/>
  <c r="D45" i="4" s="1"/>
  <c r="E74" i="2"/>
  <c r="E45" i="4" s="1"/>
  <c r="F74" i="2"/>
  <c r="F45" i="4" s="1"/>
  <c r="G74" i="2"/>
  <c r="G45" i="4" s="1"/>
  <c r="H74" i="2"/>
  <c r="H45" i="4" s="1"/>
  <c r="I74" i="2"/>
  <c r="I45" i="4" s="1"/>
  <c r="J74" i="2"/>
  <c r="J45" i="4" s="1"/>
  <c r="K74" i="2"/>
  <c r="K45" i="4" s="1"/>
  <c r="L74" i="2"/>
  <c r="L45" i="4" s="1"/>
  <c r="M74" i="2"/>
  <c r="M45" i="4" s="1"/>
  <c r="N74" i="2"/>
  <c r="N45" i="4" s="1"/>
  <c r="O74" i="2"/>
  <c r="O45" i="4" s="1"/>
  <c r="P74" i="2"/>
  <c r="P45" i="4" s="1"/>
  <c r="Q74" i="2"/>
  <c r="Q45" i="4" s="1"/>
  <c r="B75" i="2"/>
  <c r="D75"/>
  <c r="D46" i="4" s="1"/>
  <c r="E75" i="2"/>
  <c r="E46" i="4" s="1"/>
  <c r="F75" i="2"/>
  <c r="F46" i="4" s="1"/>
  <c r="G75" i="2"/>
  <c r="G46" i="4" s="1"/>
  <c r="H75" i="2"/>
  <c r="H46" i="4" s="1"/>
  <c r="I75" i="2"/>
  <c r="I46" i="4" s="1"/>
  <c r="J75" i="2"/>
  <c r="J46" i="4" s="1"/>
  <c r="K75" i="2"/>
  <c r="K46" i="4" s="1"/>
  <c r="L75" i="2"/>
  <c r="L46" i="4" s="1"/>
  <c r="M75" i="2"/>
  <c r="M46" i="4" s="1"/>
  <c r="N75" i="2"/>
  <c r="N46" i="4" s="1"/>
  <c r="O75" i="2"/>
  <c r="O46" i="4" s="1"/>
  <c r="P75" i="2"/>
  <c r="P46" i="4" s="1"/>
  <c r="Q75" i="2"/>
  <c r="Q46" i="4" s="1"/>
  <c r="B76" i="2"/>
  <c r="D76"/>
  <c r="E76"/>
  <c r="B77"/>
  <c r="D77"/>
  <c r="D48" i="4" s="1"/>
  <c r="E77" i="2"/>
  <c r="E48" i="4" s="1"/>
  <c r="B78" i="2"/>
  <c r="D78"/>
  <c r="D49" i="4" s="1"/>
  <c r="E78" i="2"/>
  <c r="E49" i="4" s="1"/>
  <c r="F78" i="2"/>
  <c r="F49" i="4" s="1"/>
  <c r="G78" i="2"/>
  <c r="G49" i="4" s="1"/>
  <c r="H78" i="2"/>
  <c r="H49" i="4" s="1"/>
  <c r="I78" i="2"/>
  <c r="I49" i="4" s="1"/>
  <c r="J78" i="2"/>
  <c r="J49" i="4" s="1"/>
  <c r="K78" i="2"/>
  <c r="K49" i="4" s="1"/>
  <c r="L78" i="2"/>
  <c r="L49" i="4" s="1"/>
  <c r="M78" i="2"/>
  <c r="M49" i="4" s="1"/>
  <c r="N78" i="2"/>
  <c r="N49" i="4" s="1"/>
  <c r="O78" i="2"/>
  <c r="O49" i="4" s="1"/>
  <c r="P78" i="2"/>
  <c r="P49" i="4" s="1"/>
  <c r="Q78" i="2"/>
  <c r="Q49" i="4" s="1"/>
  <c r="B79" i="2"/>
  <c r="D79"/>
  <c r="D50" i="4" s="1"/>
  <c r="E79" i="2"/>
  <c r="E50" i="4" s="1"/>
  <c r="F79" i="2"/>
  <c r="F50" i="4" s="1"/>
  <c r="G79" i="2"/>
  <c r="G50" i="4" s="1"/>
  <c r="H79" i="2"/>
  <c r="H50" i="4" s="1"/>
  <c r="I79" i="2"/>
  <c r="I50" i="4" s="1"/>
  <c r="J79" i="2"/>
  <c r="J50" i="4" s="1"/>
  <c r="K79" i="2"/>
  <c r="K50" i="4" s="1"/>
  <c r="L79" i="2"/>
  <c r="L50" i="4" s="1"/>
  <c r="M79" i="2"/>
  <c r="M50" i="4" s="1"/>
  <c r="N79" i="2"/>
  <c r="N50" i="4" s="1"/>
  <c r="O79" i="2"/>
  <c r="O50" i="4" s="1"/>
  <c r="P79" i="2"/>
  <c r="P50" i="4" s="1"/>
  <c r="Q79" i="2"/>
  <c r="Q50" i="4" s="1"/>
  <c r="D81" i="2"/>
  <c r="E81"/>
  <c r="E82"/>
  <c r="C7" i="14" s="1"/>
  <c r="F82" i="2"/>
  <c r="D7" i="14" s="1"/>
  <c r="O83" i="2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I85"/>
  <c r="J85"/>
  <c r="K85"/>
  <c r="L85"/>
  <c r="M85"/>
  <c r="N85"/>
  <c r="O85"/>
  <c r="D89"/>
  <c r="E89"/>
  <c r="E79" i="4" s="1"/>
  <c r="F89" i="2"/>
  <c r="G89"/>
  <c r="G79" i="4" s="1"/>
  <c r="H89" i="2"/>
  <c r="I89"/>
  <c r="I79" i="4" s="1"/>
  <c r="J89" i="2"/>
  <c r="J79" i="4" s="1"/>
  <c r="K89" i="2"/>
  <c r="K79" i="4" s="1"/>
  <c r="L89" i="2"/>
  <c r="L79" i="4" s="1"/>
  <c r="M89" i="2"/>
  <c r="M79" i="4" s="1"/>
  <c r="N89" i="2"/>
  <c r="N79" i="4" s="1"/>
  <c r="O89" i="2"/>
  <c r="O79" i="4" s="1"/>
  <c r="P89" i="2"/>
  <c r="P79" i="4" s="1"/>
  <c r="Q89" i="2"/>
  <c r="Q79" i="4" s="1"/>
  <c r="D91" i="2"/>
  <c r="D80" i="4" s="1"/>
  <c r="E91" i="2"/>
  <c r="E80" i="4" s="1"/>
  <c r="F91" i="2"/>
  <c r="F80" i="4" s="1"/>
  <c r="G91" i="2"/>
  <c r="G80" i="4" s="1"/>
  <c r="H91" i="2"/>
  <c r="H80" i="4" s="1"/>
  <c r="I91" i="2"/>
  <c r="I80" i="4" s="1"/>
  <c r="J91" i="2"/>
  <c r="J80" i="4" s="1"/>
  <c r="K91" i="2"/>
  <c r="K80" i="4" s="1"/>
  <c r="L91" i="2"/>
  <c r="L80" i="4" s="1"/>
  <c r="M91" i="2"/>
  <c r="M80" i="4" s="1"/>
  <c r="N91" i="2"/>
  <c r="N80" i="4" s="1"/>
  <c r="O91" i="2"/>
  <c r="O80" i="4" s="1"/>
  <c r="P91" i="2"/>
  <c r="P80" i="4" s="1"/>
  <c r="Q91" i="2"/>
  <c r="Q80" i="4" s="1"/>
  <c r="D94" i="2"/>
  <c r="I39" i="3" s="1"/>
  <c r="E94" i="2"/>
  <c r="J39" i="3" s="1"/>
  <c r="F94" i="2"/>
  <c r="K39" i="3" s="1"/>
  <c r="G94" i="2"/>
  <c r="L39" i="3" s="1"/>
  <c r="H94" i="2"/>
  <c r="M39" i="3" s="1"/>
  <c r="I94" i="2"/>
  <c r="N39" i="3" s="1"/>
  <c r="J94" i="2"/>
  <c r="O39" i="3" s="1"/>
  <c r="K94" i="2"/>
  <c r="P39" i="3" s="1"/>
  <c r="L94" i="2"/>
  <c r="Q39" i="3" s="1"/>
  <c r="M94" i="2"/>
  <c r="R39" i="3" s="1"/>
  <c r="N94" i="2"/>
  <c r="S39" i="3" s="1"/>
  <c r="O94" i="2"/>
  <c r="T39" i="3" s="1"/>
  <c r="P94" i="2"/>
  <c r="U39" i="3" s="1"/>
  <c r="Q94" i="2"/>
  <c r="V39" i="3" s="1"/>
  <c r="D96" i="2"/>
  <c r="I40" i="3" s="1"/>
  <c r="E96" i="2"/>
  <c r="J40" i="3" s="1"/>
  <c r="E83" i="4" s="1"/>
  <c r="F96" i="2"/>
  <c r="K40" i="3" s="1"/>
  <c r="F83" i="4" s="1"/>
  <c r="G96" i="2"/>
  <c r="L40" i="3" s="1"/>
  <c r="G83" i="4" s="1"/>
  <c r="H96" i="2"/>
  <c r="M40" i="3" s="1"/>
  <c r="H83" i="4" s="1"/>
  <c r="I96" i="2"/>
  <c r="N40" i="3" s="1"/>
  <c r="I83" i="4" s="1"/>
  <c r="J96" i="2"/>
  <c r="O40" i="3" s="1"/>
  <c r="J83" i="4" s="1"/>
  <c r="K96" i="2"/>
  <c r="P40" i="3" s="1"/>
  <c r="K83" i="4" s="1"/>
  <c r="L96" i="2"/>
  <c r="Q40" i="3" s="1"/>
  <c r="L83" i="4" s="1"/>
  <c r="M96" i="2"/>
  <c r="R40" i="3" s="1"/>
  <c r="M83" i="4" s="1"/>
  <c r="N96" i="2"/>
  <c r="S40" i="3" s="1"/>
  <c r="N83" i="4" s="1"/>
  <c r="O96" i="2"/>
  <c r="T40" i="3" s="1"/>
  <c r="O83" i="4" s="1"/>
  <c r="P96" i="2"/>
  <c r="U40" i="3" s="1"/>
  <c r="P83" i="4" s="1"/>
  <c r="Q96" i="2"/>
  <c r="V40" i="3" s="1"/>
  <c r="Q83" i="4" s="1"/>
  <c r="D98" i="2"/>
  <c r="I41" i="3" s="1"/>
  <c r="E98" i="2"/>
  <c r="J41" i="3" s="1"/>
  <c r="F98" i="2"/>
  <c r="K41" i="3" s="1"/>
  <c r="G98" i="2"/>
  <c r="L41" i="3" s="1"/>
  <c r="H98" i="2"/>
  <c r="M41" i="3" s="1"/>
  <c r="I98" i="2"/>
  <c r="N41" i="3" s="1"/>
  <c r="J98" i="2"/>
  <c r="O41" i="3" s="1"/>
  <c r="K98" i="2"/>
  <c r="P41" i="3" s="1"/>
  <c r="L98" i="2"/>
  <c r="Q41" i="3" s="1"/>
  <c r="M98" i="2"/>
  <c r="R41" i="3" s="1"/>
  <c r="N98" i="2"/>
  <c r="S41" i="3" s="1"/>
  <c r="O98" i="2"/>
  <c r="T41" i="3" s="1"/>
  <c r="P98" i="2"/>
  <c r="U41" i="3" s="1"/>
  <c r="Q98" i="2"/>
  <c r="V41" i="3" s="1"/>
  <c r="B99" i="2"/>
  <c r="D99"/>
  <c r="E99"/>
  <c r="F99"/>
  <c r="G99"/>
  <c r="H99"/>
  <c r="I99"/>
  <c r="J99"/>
  <c r="K99"/>
  <c r="L99"/>
  <c r="M99"/>
  <c r="N99"/>
  <c r="O99"/>
  <c r="P99"/>
  <c r="Q99"/>
  <c r="B100"/>
  <c r="D100"/>
  <c r="D87" i="4" s="1"/>
  <c r="E100" i="2"/>
  <c r="E87" i="4" s="1"/>
  <c r="F100" i="2"/>
  <c r="F87" i="4" s="1"/>
  <c r="G100" i="2"/>
  <c r="G87" i="4" s="1"/>
  <c r="H100" i="2"/>
  <c r="H87" i="4" s="1"/>
  <c r="I100" i="2"/>
  <c r="I87" i="4" s="1"/>
  <c r="J100" i="2"/>
  <c r="J87" i="4" s="1"/>
  <c r="K100" i="2"/>
  <c r="K87" i="4" s="1"/>
  <c r="L100" i="2"/>
  <c r="L87" i="4" s="1"/>
  <c r="M100" i="2"/>
  <c r="M87" i="4" s="1"/>
  <c r="N100" i="2"/>
  <c r="N87" i="4" s="1"/>
  <c r="O100" i="2"/>
  <c r="O87" i="4" s="1"/>
  <c r="P100" i="2"/>
  <c r="P87" i="4" s="1"/>
  <c r="Q100" i="2"/>
  <c r="Q87" i="4" s="1"/>
  <c r="B101" i="2"/>
  <c r="D101"/>
  <c r="D88" i="4" s="1"/>
  <c r="E101" i="2"/>
  <c r="E88" i="4" s="1"/>
  <c r="F101" i="2"/>
  <c r="F88" i="4" s="1"/>
  <c r="G101" i="2"/>
  <c r="G88" i="4" s="1"/>
  <c r="H101" i="2"/>
  <c r="H88" i="4" s="1"/>
  <c r="I101" i="2"/>
  <c r="I88" i="4" s="1"/>
  <c r="J101" i="2"/>
  <c r="J88" i="4" s="1"/>
  <c r="K101" i="2"/>
  <c r="K88" i="4" s="1"/>
  <c r="L101" i="2"/>
  <c r="L88" i="4" s="1"/>
  <c r="M101" i="2"/>
  <c r="M88" i="4" s="1"/>
  <c r="N101" i="2"/>
  <c r="N88" i="4" s="1"/>
  <c r="O101" i="2"/>
  <c r="O88" i="4" s="1"/>
  <c r="P101" i="2"/>
  <c r="P88" i="4" s="1"/>
  <c r="Q101" i="2"/>
  <c r="Q88" i="4" s="1"/>
  <c r="B102" i="2"/>
  <c r="D102"/>
  <c r="D89" i="4" s="1"/>
  <c r="E102" i="2"/>
  <c r="E89" i="4" s="1"/>
  <c r="F102" i="2"/>
  <c r="F89" i="4" s="1"/>
  <c r="G102" i="2"/>
  <c r="G89" i="4" s="1"/>
  <c r="H102" i="2"/>
  <c r="H89" i="4" s="1"/>
  <c r="I102" i="2"/>
  <c r="I89" i="4" s="1"/>
  <c r="J102" i="2"/>
  <c r="J89" i="4" s="1"/>
  <c r="K102" i="2"/>
  <c r="K89" i="4" s="1"/>
  <c r="L102" i="2"/>
  <c r="L89" i="4" s="1"/>
  <c r="M102" i="2"/>
  <c r="M89" i="4" s="1"/>
  <c r="N102" i="2"/>
  <c r="N89" i="4" s="1"/>
  <c r="O102" i="2"/>
  <c r="O89" i="4" s="1"/>
  <c r="P102" i="2"/>
  <c r="P89" i="4" s="1"/>
  <c r="Q102" i="2"/>
  <c r="Q89" i="4" s="1"/>
  <c r="B103" i="2"/>
  <c r="D103"/>
  <c r="D90" i="4" s="1"/>
  <c r="E103" i="2"/>
  <c r="E90" i="4" s="1"/>
  <c r="F103" i="2"/>
  <c r="F90" i="4" s="1"/>
  <c r="G103" i="2"/>
  <c r="G90" i="4" s="1"/>
  <c r="H103" i="2"/>
  <c r="H90" i="4" s="1"/>
  <c r="I103" i="2"/>
  <c r="I90" i="4" s="1"/>
  <c r="J103" i="2"/>
  <c r="J90" i="4" s="1"/>
  <c r="K103" i="2"/>
  <c r="K90" i="4" s="1"/>
  <c r="L103" i="2"/>
  <c r="L90" i="4" s="1"/>
  <c r="M103" i="2"/>
  <c r="M90" i="4" s="1"/>
  <c r="N103" i="2"/>
  <c r="N90" i="4" s="1"/>
  <c r="O103" i="2"/>
  <c r="O90" i="4" s="1"/>
  <c r="P103" i="2"/>
  <c r="P90" i="4" s="1"/>
  <c r="Q103" i="2"/>
  <c r="Q90" i="4" s="1"/>
  <c r="B104" i="2"/>
  <c r="D104"/>
  <c r="D91" i="4" s="1"/>
  <c r="E104" i="2"/>
  <c r="E91" i="4" s="1"/>
  <c r="F104" i="2"/>
  <c r="F91" i="4" s="1"/>
  <c r="G104" i="2"/>
  <c r="G91" i="4" s="1"/>
  <c r="H104" i="2"/>
  <c r="H91" i="4" s="1"/>
  <c r="I104" i="2"/>
  <c r="I91" i="4" s="1"/>
  <c r="J104" i="2"/>
  <c r="J91" i="4" s="1"/>
  <c r="K104" i="2"/>
  <c r="K91" i="4" s="1"/>
  <c r="L104" i="2"/>
  <c r="L91" i="4" s="1"/>
  <c r="M104" i="2"/>
  <c r="M91" i="4" s="1"/>
  <c r="N104" i="2"/>
  <c r="N91" i="4" s="1"/>
  <c r="O104" i="2"/>
  <c r="O91" i="4" s="1"/>
  <c r="P104" i="2"/>
  <c r="P91" i="4" s="1"/>
  <c r="Q104" i="2"/>
  <c r="Q91" i="4" s="1"/>
  <c r="B105" i="2"/>
  <c r="D105"/>
  <c r="D92" i="4" s="1"/>
  <c r="E105" i="2"/>
  <c r="E92" i="4" s="1"/>
  <c r="F105" i="2"/>
  <c r="F92" i="4" s="1"/>
  <c r="G105" i="2"/>
  <c r="G92" i="4" s="1"/>
  <c r="H105" i="2"/>
  <c r="H92" i="4" s="1"/>
  <c r="I105" i="2"/>
  <c r="I92" i="4" s="1"/>
  <c r="J105" i="2"/>
  <c r="J92" i="4" s="1"/>
  <c r="K105" i="2"/>
  <c r="K92" i="4" s="1"/>
  <c r="L105" i="2"/>
  <c r="L92" i="4" s="1"/>
  <c r="M105" i="2"/>
  <c r="M92" i="4" s="1"/>
  <c r="N105" i="2"/>
  <c r="N92" i="4" s="1"/>
  <c r="O105" i="2"/>
  <c r="O92" i="4" s="1"/>
  <c r="P105" i="2"/>
  <c r="P92" i="4" s="1"/>
  <c r="Q105" i="2"/>
  <c r="Q92" i="4" s="1"/>
  <c r="B106" i="2"/>
  <c r="D106"/>
  <c r="D93" i="4" s="1"/>
  <c r="E106" i="2"/>
  <c r="E93" i="4" s="1"/>
  <c r="F106" i="2"/>
  <c r="F93" i="4" s="1"/>
  <c r="G106" i="2"/>
  <c r="G93" i="4" s="1"/>
  <c r="H106" i="2"/>
  <c r="H93" i="4" s="1"/>
  <c r="I106" i="2"/>
  <c r="I93" i="4" s="1"/>
  <c r="J106" i="2"/>
  <c r="J93" i="4" s="1"/>
  <c r="K106" i="2"/>
  <c r="K93" i="4" s="1"/>
  <c r="L106" i="2"/>
  <c r="L93" i="4" s="1"/>
  <c r="M106" i="2"/>
  <c r="M93" i="4" s="1"/>
  <c r="N106" i="2"/>
  <c r="N93" i="4" s="1"/>
  <c r="O106" i="2"/>
  <c r="O93" i="4" s="1"/>
  <c r="P106" i="2"/>
  <c r="P93" i="4" s="1"/>
  <c r="Q106" i="2"/>
  <c r="Q93" i="4" s="1"/>
  <c r="B107" i="2"/>
  <c r="D107"/>
  <c r="D94" i="4" s="1"/>
  <c r="E107" i="2"/>
  <c r="E94" i="4" s="1"/>
  <c r="F107" i="2"/>
  <c r="F94" i="4" s="1"/>
  <c r="G107" i="2"/>
  <c r="G94" i="4" s="1"/>
  <c r="H107" i="2"/>
  <c r="H94" i="4" s="1"/>
  <c r="I107" i="2"/>
  <c r="I94" i="4" s="1"/>
  <c r="J107" i="2"/>
  <c r="J94" i="4" s="1"/>
  <c r="K107" i="2"/>
  <c r="K94" i="4" s="1"/>
  <c r="L107" i="2"/>
  <c r="L94" i="4" s="1"/>
  <c r="M107" i="2"/>
  <c r="M94" i="4" s="1"/>
  <c r="N107" i="2"/>
  <c r="N94" i="4" s="1"/>
  <c r="O107" i="2"/>
  <c r="O94" i="4" s="1"/>
  <c r="P107" i="2"/>
  <c r="P94" i="4" s="1"/>
  <c r="Q107" i="2"/>
  <c r="Q94" i="4" s="1"/>
  <c r="B108" i="2"/>
  <c r="D108"/>
  <c r="D95" i="4" s="1"/>
  <c r="E108" i="2"/>
  <c r="E95" i="4" s="1"/>
  <c r="F108" i="2"/>
  <c r="F95" i="4" s="1"/>
  <c r="G108" i="2"/>
  <c r="G95" i="4" s="1"/>
  <c r="H108" i="2"/>
  <c r="H95" i="4" s="1"/>
  <c r="I108" i="2"/>
  <c r="I95" i="4" s="1"/>
  <c r="J108" i="2"/>
  <c r="J95" i="4" s="1"/>
  <c r="K108" i="2"/>
  <c r="K95" i="4" s="1"/>
  <c r="L108" i="2"/>
  <c r="L95" i="4" s="1"/>
  <c r="M108" i="2"/>
  <c r="M95" i="4" s="1"/>
  <c r="N108" i="2"/>
  <c r="N95" i="4" s="1"/>
  <c r="O108" i="2"/>
  <c r="O95" i="4" s="1"/>
  <c r="P108" i="2"/>
  <c r="P95" i="4" s="1"/>
  <c r="Q108" i="2"/>
  <c r="Q95" i="4" s="1"/>
  <c r="B109" i="2"/>
  <c r="D109"/>
  <c r="D96" i="4" s="1"/>
  <c r="E109" i="2"/>
  <c r="E96" i="4" s="1"/>
  <c r="F109" i="2"/>
  <c r="F96" i="4" s="1"/>
  <c r="G109" i="2"/>
  <c r="G96" i="4" s="1"/>
  <c r="H109" i="2"/>
  <c r="H96" i="4" s="1"/>
  <c r="I109" i="2"/>
  <c r="I96" i="4" s="1"/>
  <c r="J109" i="2"/>
  <c r="J96" i="4" s="1"/>
  <c r="K109" i="2"/>
  <c r="K96" i="4" s="1"/>
  <c r="L109" i="2"/>
  <c r="L96" i="4" s="1"/>
  <c r="M109" i="2"/>
  <c r="M96" i="4" s="1"/>
  <c r="N109" i="2"/>
  <c r="N96" i="4" s="1"/>
  <c r="O109" i="2"/>
  <c r="O96" i="4" s="1"/>
  <c r="P109" i="2"/>
  <c r="P96" i="4" s="1"/>
  <c r="Q109" i="2"/>
  <c r="Q96" i="4" s="1"/>
  <c r="B110" i="2"/>
  <c r="D110"/>
  <c r="D97" i="4" s="1"/>
  <c r="E110" i="2"/>
  <c r="E97" i="4" s="1"/>
  <c r="F110" i="2"/>
  <c r="F97" i="4" s="1"/>
  <c r="G110" i="2"/>
  <c r="G97" i="4" s="1"/>
  <c r="H110" i="2"/>
  <c r="H97" i="4" s="1"/>
  <c r="I110" i="2"/>
  <c r="I97" i="4" s="1"/>
  <c r="J110" i="2"/>
  <c r="J97" i="4" s="1"/>
  <c r="K110" i="2"/>
  <c r="K97" i="4" s="1"/>
  <c r="L110" i="2"/>
  <c r="L97" i="4" s="1"/>
  <c r="M110" i="2"/>
  <c r="M97" i="4" s="1"/>
  <c r="N110" i="2"/>
  <c r="N97" i="4" s="1"/>
  <c r="O110" i="2"/>
  <c r="O97" i="4" s="1"/>
  <c r="P110" i="2"/>
  <c r="P97" i="4" s="1"/>
  <c r="Q110" i="2"/>
  <c r="Q97" i="4" s="1"/>
  <c r="B111" i="2"/>
  <c r="D111"/>
  <c r="D98" i="4" s="1"/>
  <c r="E111" i="2"/>
  <c r="E98" i="4" s="1"/>
  <c r="F111" i="2"/>
  <c r="F98" i="4" s="1"/>
  <c r="G111" i="2"/>
  <c r="G98" i="4" s="1"/>
  <c r="H111" i="2"/>
  <c r="H98" i="4" s="1"/>
  <c r="I111" i="2"/>
  <c r="I98" i="4" s="1"/>
  <c r="J111" i="2"/>
  <c r="J98" i="4" s="1"/>
  <c r="K111" i="2"/>
  <c r="K98" i="4" s="1"/>
  <c r="L111" i="2"/>
  <c r="L98" i="4" s="1"/>
  <c r="M111" i="2"/>
  <c r="M98" i="4" s="1"/>
  <c r="N111" i="2"/>
  <c r="N98" i="4" s="1"/>
  <c r="O111" i="2"/>
  <c r="O98" i="4" s="1"/>
  <c r="P111" i="2"/>
  <c r="P98" i="4" s="1"/>
  <c r="Q111" i="2"/>
  <c r="Q98" i="4" s="1"/>
  <c r="B112" i="2"/>
  <c r="D112"/>
  <c r="D99" i="4" s="1"/>
  <c r="E112" i="2"/>
  <c r="E99" i="4" s="1"/>
  <c r="F112" i="2"/>
  <c r="F99" i="4" s="1"/>
  <c r="G112" i="2"/>
  <c r="G99" i="4" s="1"/>
  <c r="H112" i="2"/>
  <c r="H99" i="4" s="1"/>
  <c r="I112" i="2"/>
  <c r="I99" i="4" s="1"/>
  <c r="J112" i="2"/>
  <c r="J99" i="4" s="1"/>
  <c r="K112" i="2"/>
  <c r="K99" i="4" s="1"/>
  <c r="L112" i="2"/>
  <c r="L99" i="4" s="1"/>
  <c r="M112" i="2"/>
  <c r="M99" i="4" s="1"/>
  <c r="N112" i="2"/>
  <c r="N99" i="4" s="1"/>
  <c r="O112" i="2"/>
  <c r="O99" i="4" s="1"/>
  <c r="P112" i="2"/>
  <c r="P99" i="4" s="1"/>
  <c r="Q112" i="2"/>
  <c r="Q99" i="4" s="1"/>
  <c r="B113" i="2"/>
  <c r="D113"/>
  <c r="D100" i="4" s="1"/>
  <c r="E113" i="2"/>
  <c r="E100" i="4" s="1"/>
  <c r="F113" i="2"/>
  <c r="F100" i="4" s="1"/>
  <c r="G113" i="2"/>
  <c r="G100" i="4" s="1"/>
  <c r="H113" i="2"/>
  <c r="H100" i="4" s="1"/>
  <c r="I113" i="2"/>
  <c r="I100" i="4" s="1"/>
  <c r="J113" i="2"/>
  <c r="J100" i="4" s="1"/>
  <c r="K113" i="2"/>
  <c r="K100" i="4" s="1"/>
  <c r="L113" i="2"/>
  <c r="L100" i="4" s="1"/>
  <c r="M113" i="2"/>
  <c r="M100" i="4" s="1"/>
  <c r="N113" i="2"/>
  <c r="N100" i="4" s="1"/>
  <c r="O113" i="2"/>
  <c r="O100" i="4" s="1"/>
  <c r="P113" i="2"/>
  <c r="P100" i="4" s="1"/>
  <c r="Q113" i="2"/>
  <c r="Q100" i="4" s="1"/>
  <c r="B114" i="2"/>
  <c r="D114"/>
  <c r="D101" i="4" s="1"/>
  <c r="E114" i="2"/>
  <c r="E101" i="4" s="1"/>
  <c r="F114" i="2"/>
  <c r="F101" i="4" s="1"/>
  <c r="G114" i="2"/>
  <c r="G101" i="4" s="1"/>
  <c r="H114" i="2"/>
  <c r="H101" i="4" s="1"/>
  <c r="I114" i="2"/>
  <c r="I101" i="4" s="1"/>
  <c r="J114" i="2"/>
  <c r="J101" i="4" s="1"/>
  <c r="K114" i="2"/>
  <c r="K101" i="4" s="1"/>
  <c r="L114" i="2"/>
  <c r="L101" i="4" s="1"/>
  <c r="M114" i="2"/>
  <c r="M101" i="4" s="1"/>
  <c r="N114" i="2"/>
  <c r="N101" i="4" s="1"/>
  <c r="O114" i="2"/>
  <c r="O101" i="4" s="1"/>
  <c r="P114" i="2"/>
  <c r="P101" i="4" s="1"/>
  <c r="Q114" i="2"/>
  <c r="Q101" i="4" s="1"/>
  <c r="B115" i="2"/>
  <c r="D115"/>
  <c r="D102" i="4" s="1"/>
  <c r="E115" i="2"/>
  <c r="E102" i="4" s="1"/>
  <c r="F115" i="2"/>
  <c r="F102" i="4" s="1"/>
  <c r="G115" i="2"/>
  <c r="G102" i="4" s="1"/>
  <c r="H115" i="2"/>
  <c r="H102" i="4" s="1"/>
  <c r="I115" i="2"/>
  <c r="I102" i="4" s="1"/>
  <c r="J115" i="2"/>
  <c r="J102" i="4" s="1"/>
  <c r="K115" i="2"/>
  <c r="K102" i="4" s="1"/>
  <c r="L115" i="2"/>
  <c r="L102" i="4" s="1"/>
  <c r="M115" i="2"/>
  <c r="M102" i="4" s="1"/>
  <c r="N115" i="2"/>
  <c r="N102" i="4" s="1"/>
  <c r="O115" i="2"/>
  <c r="O102" i="4" s="1"/>
  <c r="P115" i="2"/>
  <c r="P102" i="4" s="1"/>
  <c r="Q115" i="2"/>
  <c r="Q102" i="4" s="1"/>
  <c r="B116" i="2"/>
  <c r="D116"/>
  <c r="D103" i="4" s="1"/>
  <c r="E116" i="2"/>
  <c r="E103" i="4" s="1"/>
  <c r="F116" i="2"/>
  <c r="F103" i="4" s="1"/>
  <c r="G116" i="2"/>
  <c r="G103" i="4" s="1"/>
  <c r="H116" i="2"/>
  <c r="H103" i="4" s="1"/>
  <c r="I116" i="2"/>
  <c r="I103" i="4" s="1"/>
  <c r="J116" i="2"/>
  <c r="J103" i="4" s="1"/>
  <c r="K116" i="2"/>
  <c r="K103" i="4" s="1"/>
  <c r="L116" i="2"/>
  <c r="L103" i="4" s="1"/>
  <c r="M116" i="2"/>
  <c r="M103" i="4" s="1"/>
  <c r="N116" i="2"/>
  <c r="N103" i="4" s="1"/>
  <c r="O116" i="2"/>
  <c r="O103" i="4" s="1"/>
  <c r="P116" i="2"/>
  <c r="P103" i="4" s="1"/>
  <c r="Q116" i="2"/>
  <c r="Q103" i="4" s="1"/>
  <c r="B117" i="2"/>
  <c r="D117"/>
  <c r="D104" i="4" s="1"/>
  <c r="E117" i="2"/>
  <c r="E104" i="4" s="1"/>
  <c r="F117" i="2"/>
  <c r="F104" i="4" s="1"/>
  <c r="G117" i="2"/>
  <c r="G104" i="4" s="1"/>
  <c r="H117" i="2"/>
  <c r="H104" i="4" s="1"/>
  <c r="I117" i="2"/>
  <c r="I104" i="4" s="1"/>
  <c r="J117" i="2"/>
  <c r="J104" i="4" s="1"/>
  <c r="K117" i="2"/>
  <c r="K104" i="4" s="1"/>
  <c r="L117" i="2"/>
  <c r="L104" i="4" s="1"/>
  <c r="M117" i="2"/>
  <c r="M104" i="4" s="1"/>
  <c r="N117" i="2"/>
  <c r="N104" i="4" s="1"/>
  <c r="O117" i="2"/>
  <c r="O104" i="4" s="1"/>
  <c r="P117" i="2"/>
  <c r="P104" i="4" s="1"/>
  <c r="Q117" i="2"/>
  <c r="Q104" i="4" s="1"/>
  <c r="B118" i="2"/>
  <c r="D118"/>
  <c r="D105" i="4" s="1"/>
  <c r="E118" i="2"/>
  <c r="E105" i="4" s="1"/>
  <c r="F118" i="2"/>
  <c r="F105" i="4" s="1"/>
  <c r="G118" i="2"/>
  <c r="G105" i="4" s="1"/>
  <c r="H118" i="2"/>
  <c r="H105" i="4" s="1"/>
  <c r="I118" i="2"/>
  <c r="I105" i="4" s="1"/>
  <c r="J118" i="2"/>
  <c r="J105" i="4" s="1"/>
  <c r="K118" i="2"/>
  <c r="K105" i="4" s="1"/>
  <c r="L118" i="2"/>
  <c r="L105" i="4" s="1"/>
  <c r="M118" i="2"/>
  <c r="M105" i="4" s="1"/>
  <c r="N118" i="2"/>
  <c r="N105" i="4" s="1"/>
  <c r="O118" i="2"/>
  <c r="O105" i="4" s="1"/>
  <c r="P118" i="2"/>
  <c r="P105" i="4" s="1"/>
  <c r="Q118" i="2"/>
  <c r="Q105" i="4" s="1"/>
  <c r="B119" i="2"/>
  <c r="D119"/>
  <c r="D106" i="4" s="1"/>
  <c r="E119" i="2"/>
  <c r="E106" i="4" s="1"/>
  <c r="F119" i="2"/>
  <c r="F106" i="4" s="1"/>
  <c r="G119" i="2"/>
  <c r="G106" i="4" s="1"/>
  <c r="H119" i="2"/>
  <c r="H106" i="4" s="1"/>
  <c r="I119" i="2"/>
  <c r="I106" i="4" s="1"/>
  <c r="J119" i="2"/>
  <c r="J106" i="4" s="1"/>
  <c r="K119" i="2"/>
  <c r="K106" i="4" s="1"/>
  <c r="L119" i="2"/>
  <c r="L106" i="4" s="1"/>
  <c r="M119" i="2"/>
  <c r="M106" i="4" s="1"/>
  <c r="N119" i="2"/>
  <c r="N106" i="4" s="1"/>
  <c r="O119" i="2"/>
  <c r="O106" i="4" s="1"/>
  <c r="P119" i="2"/>
  <c r="P106" i="4" s="1"/>
  <c r="Q119" i="2"/>
  <c r="Q106" i="4" s="1"/>
  <c r="B120" i="2"/>
  <c r="D120"/>
  <c r="D107" i="4" s="1"/>
  <c r="E120" i="2"/>
  <c r="E107" i="4" s="1"/>
  <c r="F120" i="2"/>
  <c r="F107" i="4" s="1"/>
  <c r="G120" i="2"/>
  <c r="G107" i="4" s="1"/>
  <c r="H120" i="2"/>
  <c r="H107" i="4" s="1"/>
  <c r="I120" i="2"/>
  <c r="I107" i="4" s="1"/>
  <c r="J120" i="2"/>
  <c r="J107" i="4" s="1"/>
  <c r="K120" i="2"/>
  <c r="K107" i="4" s="1"/>
  <c r="L120" i="2"/>
  <c r="L107" i="4" s="1"/>
  <c r="M120" i="2"/>
  <c r="M107" i="4" s="1"/>
  <c r="N120" i="2"/>
  <c r="N107" i="4" s="1"/>
  <c r="O120" i="2"/>
  <c r="O107" i="4" s="1"/>
  <c r="P120" i="2"/>
  <c r="P107" i="4" s="1"/>
  <c r="Q120" i="2"/>
  <c r="Q107" i="4" s="1"/>
  <c r="B121" i="2"/>
  <c r="D121"/>
  <c r="D108" i="4" s="1"/>
  <c r="E121" i="2"/>
  <c r="E108" i="4" s="1"/>
  <c r="F121" i="2"/>
  <c r="F108" i="4" s="1"/>
  <c r="G121" i="2"/>
  <c r="G108" i="4" s="1"/>
  <c r="H121" i="2"/>
  <c r="H108" i="4" s="1"/>
  <c r="I121" i="2"/>
  <c r="I108" i="4" s="1"/>
  <c r="J121" i="2"/>
  <c r="J108" i="4" s="1"/>
  <c r="K121" i="2"/>
  <c r="K108" i="4" s="1"/>
  <c r="L121" i="2"/>
  <c r="L108" i="4" s="1"/>
  <c r="M121" i="2"/>
  <c r="M108" i="4" s="1"/>
  <c r="N121" i="2"/>
  <c r="N108" i="4" s="1"/>
  <c r="O121" i="2"/>
  <c r="O108" i="4" s="1"/>
  <c r="P121" i="2"/>
  <c r="P108" i="4" s="1"/>
  <c r="Q121" i="2"/>
  <c r="Q108" i="4" s="1"/>
  <c r="B122" i="2"/>
  <c r="D122"/>
  <c r="D109" i="4" s="1"/>
  <c r="E122" i="2"/>
  <c r="E109" i="4" s="1"/>
  <c r="F122" i="2"/>
  <c r="F109" i="4" s="1"/>
  <c r="G122" i="2"/>
  <c r="G109" i="4" s="1"/>
  <c r="H122" i="2"/>
  <c r="H109" i="4" s="1"/>
  <c r="I122" i="2"/>
  <c r="I109" i="4" s="1"/>
  <c r="J122" i="2"/>
  <c r="J109" i="4" s="1"/>
  <c r="K122" i="2"/>
  <c r="K109" i="4" s="1"/>
  <c r="L122" i="2"/>
  <c r="L109" i="4" s="1"/>
  <c r="M122" i="2"/>
  <c r="M109" i="4" s="1"/>
  <c r="N122" i="2"/>
  <c r="N109" i="4" s="1"/>
  <c r="O122" i="2"/>
  <c r="O109" i="4" s="1"/>
  <c r="P122" i="2"/>
  <c r="P109" i="4" s="1"/>
  <c r="Q122" i="2"/>
  <c r="Q109" i="4" s="1"/>
  <c r="B123" i="2"/>
  <c r="D123"/>
  <c r="D110" i="4" s="1"/>
  <c r="E123" i="2"/>
  <c r="E110" i="4" s="1"/>
  <c r="F123" i="2"/>
  <c r="F110" i="4" s="1"/>
  <c r="G123" i="2"/>
  <c r="G110" i="4" s="1"/>
  <c r="H123" i="2"/>
  <c r="H110" i="4" s="1"/>
  <c r="I123" i="2"/>
  <c r="I110" i="4" s="1"/>
  <c r="J123" i="2"/>
  <c r="J110" i="4" s="1"/>
  <c r="K123" i="2"/>
  <c r="K110" i="4" s="1"/>
  <c r="L123" i="2"/>
  <c r="L110" i="4" s="1"/>
  <c r="M123" i="2"/>
  <c r="M110" i="4" s="1"/>
  <c r="N123" i="2"/>
  <c r="N110" i="4" s="1"/>
  <c r="O123" i="2"/>
  <c r="O110" i="4" s="1"/>
  <c r="P123" i="2"/>
  <c r="P110" i="4" s="1"/>
  <c r="Q123" i="2"/>
  <c r="Q110" i="4" s="1"/>
  <c r="B124" i="2"/>
  <c r="D124"/>
  <c r="D111" i="4" s="1"/>
  <c r="E124" i="2"/>
  <c r="E111" i="4" s="1"/>
  <c r="F124" i="2"/>
  <c r="F111" i="4" s="1"/>
  <c r="G124" i="2"/>
  <c r="G111" i="4" s="1"/>
  <c r="H124" i="2"/>
  <c r="H111" i="4" s="1"/>
  <c r="I124" i="2"/>
  <c r="I111" i="4" s="1"/>
  <c r="J124" i="2"/>
  <c r="J111" i="4" s="1"/>
  <c r="K124" i="2"/>
  <c r="K111" i="4" s="1"/>
  <c r="L124" i="2"/>
  <c r="L111" i="4" s="1"/>
  <c r="M124" i="2"/>
  <c r="M111" i="4" s="1"/>
  <c r="N124" i="2"/>
  <c r="N111" i="4" s="1"/>
  <c r="O124" i="2"/>
  <c r="O111" i="4" s="1"/>
  <c r="P124" i="2"/>
  <c r="P111" i="4" s="1"/>
  <c r="Q124" i="2"/>
  <c r="Q111" i="4" s="1"/>
  <c r="D125" i="2"/>
  <c r="E125"/>
  <c r="F125"/>
  <c r="G125"/>
  <c r="H125"/>
  <c r="I125"/>
  <c r="J125"/>
  <c r="K125"/>
  <c r="L125"/>
  <c r="M125"/>
  <c r="N125"/>
  <c r="O125"/>
  <c r="P125"/>
  <c r="Q125"/>
  <c r="D126"/>
  <c r="E126"/>
  <c r="D128"/>
  <c r="I46" i="3" s="1"/>
  <c r="D46" s="1"/>
  <c r="G46" s="1"/>
  <c r="E128" i="2"/>
  <c r="J46" i="3" s="1"/>
  <c r="F128" i="2"/>
  <c r="K46" i="3" s="1"/>
  <c r="G128" i="2"/>
  <c r="L46" i="3" s="1"/>
  <c r="H128" i="2"/>
  <c r="M46" i="3" s="1"/>
  <c r="I128" i="2"/>
  <c r="N46" i="3" s="1"/>
  <c r="J128" i="2"/>
  <c r="O46" i="3" s="1"/>
  <c r="K128" i="2"/>
  <c r="P46" i="3" s="1"/>
  <c r="L128" i="2"/>
  <c r="Q46" i="3" s="1"/>
  <c r="M128" i="2"/>
  <c r="R46" i="3" s="1"/>
  <c r="N128" i="2"/>
  <c r="S46" i="3" s="1"/>
  <c r="O128" i="2"/>
  <c r="T46" i="3" s="1"/>
  <c r="P128" i="2"/>
  <c r="U46" i="3" s="1"/>
  <c r="Q128" i="2"/>
  <c r="V46" i="3" s="1"/>
  <c r="G2" i="20"/>
  <c r="D29" i="25" s="1"/>
  <c r="H2" i="20"/>
  <c r="E29" i="25" s="1"/>
  <c r="I2" i="20"/>
  <c r="F29" i="25" s="1"/>
  <c r="J2" i="20"/>
  <c r="G29" i="25" s="1"/>
  <c r="K2" i="20"/>
  <c r="H29" i="25" s="1"/>
  <c r="L2" i="20"/>
  <c r="I29" i="25" s="1"/>
  <c r="M2" i="20"/>
  <c r="J29" i="25" s="1"/>
  <c r="N2" i="20"/>
  <c r="K29" i="25" s="1"/>
  <c r="O2" i="20"/>
  <c r="L29" i="25" s="1"/>
  <c r="P2" i="20"/>
  <c r="M29" i="25" s="1"/>
  <c r="B6" i="20"/>
  <c r="C6"/>
  <c r="D5" s="1"/>
  <c r="G6"/>
  <c r="D31" i="25" s="1"/>
  <c r="B7" i="20"/>
  <c r="C7"/>
  <c r="D6" s="1"/>
  <c r="B8"/>
  <c r="C8"/>
  <c r="D7" s="1"/>
  <c r="B9"/>
  <c r="G10" s="1"/>
  <c r="C9"/>
  <c r="D8" s="1"/>
  <c r="G9"/>
  <c r="B10"/>
  <c r="C10"/>
  <c r="D9" s="1"/>
  <c r="K10"/>
  <c r="B11"/>
  <c r="C11"/>
  <c r="D10" s="1"/>
  <c r="K11"/>
  <c r="B12"/>
  <c r="G12" s="1"/>
  <c r="C12"/>
  <c r="D11" s="1"/>
  <c r="H12"/>
  <c r="K12"/>
  <c r="M12"/>
  <c r="B13"/>
  <c r="C13"/>
  <c r="D12" s="1"/>
  <c r="J13"/>
  <c r="L13"/>
  <c r="M13"/>
  <c r="N13"/>
  <c r="B14"/>
  <c r="C14"/>
  <c r="D13" s="1"/>
  <c r="I14"/>
  <c r="K14"/>
  <c r="L14"/>
  <c r="M14"/>
  <c r="N14"/>
  <c r="O14"/>
  <c r="B15"/>
  <c r="C15"/>
  <c r="D14" s="1"/>
  <c r="I15"/>
  <c r="J15"/>
  <c r="K15"/>
  <c r="L15"/>
  <c r="M15"/>
  <c r="N15"/>
  <c r="O15"/>
  <c r="P15"/>
  <c r="N17"/>
  <c r="G20"/>
  <c r="H20"/>
  <c r="I20"/>
  <c r="J20"/>
  <c r="J21" s="1"/>
  <c r="K20"/>
  <c r="K21" s="1"/>
  <c r="L20"/>
  <c r="M20"/>
  <c r="M21" s="1"/>
  <c r="N20"/>
  <c r="N21" s="1"/>
  <c r="O20"/>
  <c r="O21" s="1"/>
  <c r="P20"/>
  <c r="L21"/>
  <c r="P21"/>
  <c r="G23"/>
  <c r="H23"/>
  <c r="I23"/>
  <c r="J23"/>
  <c r="K23"/>
  <c r="L23"/>
  <c r="M23"/>
  <c r="N23"/>
  <c r="O23"/>
  <c r="P23"/>
  <c r="G2" i="28"/>
  <c r="H2"/>
  <c r="I2"/>
  <c r="J2"/>
  <c r="K2"/>
  <c r="L2"/>
  <c r="M2"/>
  <c r="N2"/>
  <c r="O2"/>
  <c r="P2"/>
  <c r="G4"/>
  <c r="H4"/>
  <c r="I4"/>
  <c r="J4"/>
  <c r="K4"/>
  <c r="L4"/>
  <c r="M4"/>
  <c r="N4"/>
  <c r="O4"/>
  <c r="P4"/>
  <c r="G5"/>
  <c r="H5"/>
  <c r="I5"/>
  <c r="J5"/>
  <c r="K5"/>
  <c r="L5"/>
  <c r="M5"/>
  <c r="N5"/>
  <c r="O5"/>
  <c r="P5"/>
  <c r="B6"/>
  <c r="C6"/>
  <c r="D5" s="1"/>
  <c r="B7"/>
  <c r="C7"/>
  <c r="D6" s="1"/>
  <c r="B8"/>
  <c r="H9" s="1"/>
  <c r="C8"/>
  <c r="D7" s="1"/>
  <c r="I8"/>
  <c r="B9"/>
  <c r="C9"/>
  <c r="D8" s="1"/>
  <c r="B10"/>
  <c r="H11" s="1"/>
  <c r="C10"/>
  <c r="D9" s="1"/>
  <c r="H10"/>
  <c r="B11"/>
  <c r="C11"/>
  <c r="D10" s="1"/>
  <c r="K11"/>
  <c r="B12"/>
  <c r="C12"/>
  <c r="D11" s="1"/>
  <c r="I12"/>
  <c r="M12"/>
  <c r="B13"/>
  <c r="C13"/>
  <c r="D12" s="1"/>
  <c r="H13"/>
  <c r="L13"/>
  <c r="N13"/>
  <c r="B14"/>
  <c r="C14"/>
  <c r="D13" s="1"/>
  <c r="J14"/>
  <c r="M14"/>
  <c r="O14"/>
  <c r="B15"/>
  <c r="C15"/>
  <c r="D14" s="1"/>
  <c r="J15"/>
  <c r="M15"/>
  <c r="O15"/>
  <c r="G20"/>
  <c r="H20"/>
  <c r="I20"/>
  <c r="J20"/>
  <c r="K20"/>
  <c r="K21" s="1"/>
  <c r="L20"/>
  <c r="M20"/>
  <c r="M21" s="1"/>
  <c r="N20"/>
  <c r="O20"/>
  <c r="O21" s="1"/>
  <c r="P20"/>
  <c r="J21"/>
  <c r="L21"/>
  <c r="N21"/>
  <c r="P21"/>
  <c r="G2" i="27"/>
  <c r="H2"/>
  <c r="I2"/>
  <c r="J2"/>
  <c r="K2"/>
  <c r="L2"/>
  <c r="M2"/>
  <c r="N2"/>
  <c r="O2"/>
  <c r="P2"/>
  <c r="G4"/>
  <c r="G6" s="1"/>
  <c r="Q6" s="1"/>
  <c r="H4"/>
  <c r="I4"/>
  <c r="J4"/>
  <c r="K4"/>
  <c r="L4"/>
  <c r="M4"/>
  <c r="N4"/>
  <c r="O4"/>
  <c r="P4"/>
  <c r="D5"/>
  <c r="G5"/>
  <c r="H5"/>
  <c r="H8" s="1"/>
  <c r="I5"/>
  <c r="J5"/>
  <c r="J9" s="1"/>
  <c r="K5"/>
  <c r="L5"/>
  <c r="L12" s="1"/>
  <c r="M5"/>
  <c r="N5"/>
  <c r="N13" s="1"/>
  <c r="O5"/>
  <c r="P5"/>
  <c r="B6"/>
  <c r="D6"/>
  <c r="B7"/>
  <c r="D7"/>
  <c r="G7"/>
  <c r="B8"/>
  <c r="D8"/>
  <c r="B9"/>
  <c r="I11" s="1"/>
  <c r="D9"/>
  <c r="H9"/>
  <c r="B10"/>
  <c r="D10"/>
  <c r="K10"/>
  <c r="B11"/>
  <c r="D11"/>
  <c r="K11"/>
  <c r="B12"/>
  <c r="H13" s="1"/>
  <c r="D12"/>
  <c r="J12"/>
  <c r="B13"/>
  <c r="D13"/>
  <c r="L13"/>
  <c r="B14"/>
  <c r="H15" s="1"/>
  <c r="K14"/>
  <c r="O14"/>
  <c r="B15"/>
  <c r="C15"/>
  <c r="D14" s="1"/>
  <c r="I15"/>
  <c r="M15"/>
  <c r="G20"/>
  <c r="H20"/>
  <c r="I20"/>
  <c r="J20"/>
  <c r="K20"/>
  <c r="K21" s="1"/>
  <c r="L20"/>
  <c r="M20"/>
  <c r="M21" s="1"/>
  <c r="N20"/>
  <c r="O20"/>
  <c r="O21" s="1"/>
  <c r="P20"/>
  <c r="J21"/>
  <c r="L21"/>
  <c r="N21"/>
  <c r="P21"/>
  <c r="I14" l="1"/>
  <c r="G24" i="20"/>
  <c r="H8"/>
  <c r="E77" i="4"/>
  <c r="B62" i="26"/>
  <c r="B73" s="1"/>
  <c r="G10" i="27"/>
  <c r="H11"/>
  <c r="J10"/>
  <c r="G11" i="28"/>
  <c r="G7"/>
  <c r="J10"/>
  <c r="H7"/>
  <c r="M13"/>
  <c r="K12"/>
  <c r="I11"/>
  <c r="G8"/>
  <c r="G15" i="20"/>
  <c r="J14"/>
  <c r="G14"/>
  <c r="K13"/>
  <c r="I13"/>
  <c r="L12"/>
  <c r="J12"/>
  <c r="L11"/>
  <c r="H11"/>
  <c r="H7"/>
  <c r="F18" i="14"/>
  <c r="F15"/>
  <c r="R159" i="3"/>
  <c r="P159"/>
  <c r="N159"/>
  <c r="L159"/>
  <c r="J159"/>
  <c r="H159"/>
  <c r="R158"/>
  <c r="P158"/>
  <c r="N158"/>
  <c r="L158"/>
  <c r="J158"/>
  <c r="H158"/>
  <c r="Q157"/>
  <c r="M157"/>
  <c r="I157"/>
  <c r="Q156"/>
  <c r="M156"/>
  <c r="I156"/>
  <c r="R155"/>
  <c r="P155"/>
  <c r="N155"/>
  <c r="L155"/>
  <c r="J155"/>
  <c r="H155"/>
  <c r="R154"/>
  <c r="P154"/>
  <c r="N154"/>
  <c r="L154"/>
  <c r="J154"/>
  <c r="H154"/>
  <c r="R153"/>
  <c r="P153"/>
  <c r="N153"/>
  <c r="L153"/>
  <c r="J153"/>
  <c r="H153"/>
  <c r="R152"/>
  <c r="P152"/>
  <c r="N152"/>
  <c r="L152"/>
  <c r="J152"/>
  <c r="H152"/>
  <c r="R151"/>
  <c r="P151"/>
  <c r="N151"/>
  <c r="L151"/>
  <c r="J151"/>
  <c r="H151"/>
  <c r="R150"/>
  <c r="P150"/>
  <c r="N150"/>
  <c r="L150"/>
  <c r="J150"/>
  <c r="H150"/>
  <c r="R149"/>
  <c r="P149"/>
  <c r="N149"/>
  <c r="L149"/>
  <c r="J149"/>
  <c r="H149"/>
  <c r="R148"/>
  <c r="P148"/>
  <c r="N148"/>
  <c r="L148"/>
  <c r="J148"/>
  <c r="H148"/>
  <c r="R147"/>
  <c r="P147"/>
  <c r="N147"/>
  <c r="L147"/>
  <c r="J147"/>
  <c r="H147"/>
  <c r="R146"/>
  <c r="P146"/>
  <c r="N146"/>
  <c r="L146"/>
  <c r="J146"/>
  <c r="H146"/>
  <c r="R145"/>
  <c r="P145"/>
  <c r="N145"/>
  <c r="L145"/>
  <c r="J145"/>
  <c r="H145"/>
  <c r="Q144"/>
  <c r="M144"/>
  <c r="I144"/>
  <c r="Q143"/>
  <c r="M143"/>
  <c r="I143"/>
  <c r="R142"/>
  <c r="P142"/>
  <c r="N142"/>
  <c r="L142"/>
  <c r="J142"/>
  <c r="H142"/>
  <c r="Q141"/>
  <c r="M141"/>
  <c r="I141"/>
  <c r="R140"/>
  <c r="P140"/>
  <c r="N140"/>
  <c r="L140"/>
  <c r="J140"/>
  <c r="H140"/>
  <c r="R139"/>
  <c r="P139"/>
  <c r="N139"/>
  <c r="L139"/>
  <c r="J139"/>
  <c r="H139"/>
  <c r="Q138"/>
  <c r="M138"/>
  <c r="I138"/>
  <c r="Q137"/>
  <c r="M137"/>
  <c r="I137"/>
  <c r="J29" i="24"/>
  <c r="G24" i="28"/>
  <c r="G24" i="27"/>
  <c r="G21" s="1"/>
  <c r="O15"/>
  <c r="K15"/>
  <c r="G15"/>
  <c r="M14"/>
  <c r="J13"/>
  <c r="H12"/>
  <c r="J14"/>
  <c r="I10"/>
  <c r="H7"/>
  <c r="Q7" s="1"/>
  <c r="H21" s="1"/>
  <c r="M12"/>
  <c r="K12"/>
  <c r="I8"/>
  <c r="G8"/>
  <c r="L14"/>
  <c r="H10"/>
  <c r="P15" i="28"/>
  <c r="N15"/>
  <c r="L15"/>
  <c r="H15"/>
  <c r="N14"/>
  <c r="L14"/>
  <c r="H14"/>
  <c r="G14"/>
  <c r="J13"/>
  <c r="G13"/>
  <c r="G12"/>
  <c r="J9"/>
  <c r="J12"/>
  <c r="G13" i="20"/>
  <c r="J11"/>
  <c r="G11"/>
  <c r="I10"/>
  <c r="I9"/>
  <c r="G8"/>
  <c r="G7"/>
  <c r="Q7" s="1"/>
  <c r="P13" i="2"/>
  <c r="U20" i="3" s="1"/>
  <c r="N13" i="2"/>
  <c r="S20" i="3" s="1"/>
  <c r="L13" i="2"/>
  <c r="Q20" i="3" s="1"/>
  <c r="J13" i="2"/>
  <c r="O20" i="3" s="1"/>
  <c r="H13" i="2"/>
  <c r="M20" i="3" s="1"/>
  <c r="F13" i="2"/>
  <c r="K20" i="3" s="1"/>
  <c r="D13" i="2"/>
  <c r="I20" i="3" s="1"/>
  <c r="D20" s="1"/>
  <c r="Q10" i="27"/>
  <c r="Q7" i="28"/>
  <c r="K10"/>
  <c r="I9"/>
  <c r="G6"/>
  <c r="Q6" s="1"/>
  <c r="Q13" i="2"/>
  <c r="V20" i="3" s="1"/>
  <c r="O13" i="2"/>
  <c r="T20" i="3" s="1"/>
  <c r="M13" i="2"/>
  <c r="R20" i="3" s="1"/>
  <c r="K13" i="2"/>
  <c r="P20" i="3" s="1"/>
  <c r="I13" i="2"/>
  <c r="N20" i="3" s="1"/>
  <c r="G13" i="2"/>
  <c r="L20" i="3" s="1"/>
  <c r="E13" i="2"/>
  <c r="J20" i="3" s="1"/>
  <c r="E1" i="4"/>
  <c r="C2" i="14" s="1"/>
  <c r="B75" i="26"/>
  <c r="B71"/>
  <c r="B67"/>
  <c r="H18" i="14"/>
  <c r="D18"/>
  <c r="H17"/>
  <c r="F17"/>
  <c r="D17"/>
  <c r="D15"/>
  <c r="B13"/>
  <c r="R157" i="3"/>
  <c r="P157"/>
  <c r="N157"/>
  <c r="L157"/>
  <c r="J157"/>
  <c r="H157"/>
  <c r="R156"/>
  <c r="P156"/>
  <c r="N156"/>
  <c r="L156"/>
  <c r="J156"/>
  <c r="H156"/>
  <c r="R144"/>
  <c r="P144"/>
  <c r="N144"/>
  <c r="L144"/>
  <c r="J144"/>
  <c r="H144"/>
  <c r="R143"/>
  <c r="P143"/>
  <c r="N143"/>
  <c r="L143"/>
  <c r="J143"/>
  <c r="H143"/>
  <c r="R141"/>
  <c r="P141"/>
  <c r="N141"/>
  <c r="L141"/>
  <c r="J141"/>
  <c r="H141"/>
  <c r="R138"/>
  <c r="P138"/>
  <c r="N138"/>
  <c r="L138"/>
  <c r="J138"/>
  <c r="H138"/>
  <c r="R137"/>
  <c r="P137"/>
  <c r="N137"/>
  <c r="L137"/>
  <c r="J137"/>
  <c r="H137"/>
  <c r="H105"/>
  <c r="E83" i="2"/>
  <c r="J35" i="3" s="1"/>
  <c r="E84" i="2"/>
  <c r="C10" i="14" s="1"/>
  <c r="F83" i="2"/>
  <c r="F84"/>
  <c r="D10" i="14" s="1"/>
  <c r="Q8" i="27"/>
  <c r="N83" i="2"/>
  <c r="N84"/>
  <c r="J83"/>
  <c r="J84"/>
  <c r="H10" i="14" s="1"/>
  <c r="H83" i="2"/>
  <c r="H84"/>
  <c r="F10" i="14" s="1"/>
  <c r="M83" i="2"/>
  <c r="M84"/>
  <c r="K83"/>
  <c r="K84"/>
  <c r="I83"/>
  <c r="I84"/>
  <c r="G10" i="14" s="1"/>
  <c r="U43" i="3"/>
  <c r="P86" i="4"/>
  <c r="S43" i="3"/>
  <c r="N86" i="4"/>
  <c r="Q43" i="3"/>
  <c r="L86" i="4"/>
  <c r="O43" i="3"/>
  <c r="J86" i="4"/>
  <c r="M43" i="3"/>
  <c r="H86" i="4"/>
  <c r="K43" i="3"/>
  <c r="F86" i="4"/>
  <c r="I43" i="3"/>
  <c r="D43" s="1"/>
  <c r="G43" s="1"/>
  <c r="D86" i="4"/>
  <c r="Q81"/>
  <c r="Q82"/>
  <c r="O81"/>
  <c r="O82"/>
  <c r="M81"/>
  <c r="M82"/>
  <c r="K81"/>
  <c r="K82"/>
  <c r="I81"/>
  <c r="I82"/>
  <c r="G81"/>
  <c r="G82"/>
  <c r="E81"/>
  <c r="E82"/>
  <c r="G18" i="3"/>
  <c r="D72"/>
  <c r="G72"/>
  <c r="G20"/>
  <c r="D74"/>
  <c r="G74"/>
  <c r="G14" i="27"/>
  <c r="G11"/>
  <c r="I21"/>
  <c r="P15"/>
  <c r="N15"/>
  <c r="L15"/>
  <c r="J15"/>
  <c r="Q15" s="1"/>
  <c r="N14"/>
  <c r="H14"/>
  <c r="M13"/>
  <c r="K13"/>
  <c r="I13"/>
  <c r="G13"/>
  <c r="I12"/>
  <c r="G12"/>
  <c r="L11"/>
  <c r="J11"/>
  <c r="I9"/>
  <c r="G9"/>
  <c r="H21" i="28"/>
  <c r="F33" i="2" s="1"/>
  <c r="K15" i="28"/>
  <c r="I15"/>
  <c r="G15"/>
  <c r="K14"/>
  <c r="I14"/>
  <c r="Q14" s="1"/>
  <c r="K13"/>
  <c r="I13"/>
  <c r="Q13" s="1"/>
  <c r="L12"/>
  <c r="H12"/>
  <c r="Q12" s="1"/>
  <c r="L11"/>
  <c r="J11"/>
  <c r="Q11" s="1"/>
  <c r="I10"/>
  <c r="G10"/>
  <c r="G9"/>
  <c r="Q9" s="1"/>
  <c r="H8"/>
  <c r="Q8" s="1"/>
  <c r="I21" s="1"/>
  <c r="H21" i="20"/>
  <c r="H15"/>
  <c r="Q15" s="1"/>
  <c r="H14"/>
  <c r="Q14" s="1"/>
  <c r="H13"/>
  <c r="Q13" s="1"/>
  <c r="I12"/>
  <c r="Q12" s="1"/>
  <c r="I11"/>
  <c r="Q11" s="1"/>
  <c r="J10"/>
  <c r="H10"/>
  <c r="Q10" s="1"/>
  <c r="J9"/>
  <c r="H9"/>
  <c r="I8"/>
  <c r="Q8" s="1"/>
  <c r="I21" s="1"/>
  <c r="E33" i="24" s="1"/>
  <c r="G4" i="2" s="1"/>
  <c r="Q6" i="20"/>
  <c r="Q87" i="2"/>
  <c r="O87"/>
  <c r="M87"/>
  <c r="K87"/>
  <c r="I87"/>
  <c r="E87"/>
  <c r="D47" i="4"/>
  <c r="L83" i="2"/>
  <c r="L84"/>
  <c r="V43" i="3"/>
  <c r="V44" s="1"/>
  <c r="Q86" i="4"/>
  <c r="T43" i="3"/>
  <c r="T44" s="1"/>
  <c r="O86" i="4"/>
  <c r="R43" i="3"/>
  <c r="R44" s="1"/>
  <c r="M86" i="4"/>
  <c r="P43" i="3"/>
  <c r="P44" s="1"/>
  <c r="K86" i="4"/>
  <c r="N43" i="3"/>
  <c r="N44" s="1"/>
  <c r="I86" i="4"/>
  <c r="L43" i="3"/>
  <c r="L44" s="1"/>
  <c r="G86" i="4"/>
  <c r="J43" i="3"/>
  <c r="J44" s="1"/>
  <c r="E86" i="4"/>
  <c r="D40" i="3"/>
  <c r="G40" s="1"/>
  <c r="D83" i="4"/>
  <c r="P82"/>
  <c r="P81"/>
  <c r="N82"/>
  <c r="N81"/>
  <c r="L82"/>
  <c r="L81"/>
  <c r="J82"/>
  <c r="J81"/>
  <c r="H82"/>
  <c r="H81"/>
  <c r="F82"/>
  <c r="F81"/>
  <c r="D39" i="3"/>
  <c r="G39" s="1"/>
  <c r="D82" i="4"/>
  <c r="D81"/>
  <c r="H87" i="2"/>
  <c r="H79" i="4"/>
  <c r="F87" i="2"/>
  <c r="F79" i="4"/>
  <c r="D87" i="2"/>
  <c r="D79" i="4"/>
  <c r="I30" i="3"/>
  <c r="D30" s="1"/>
  <c r="G30" s="1"/>
  <c r="D25" i="4"/>
  <c r="I23" i="3"/>
  <c r="D23" s="1"/>
  <c r="I27"/>
  <c r="D27" s="1"/>
  <c r="G27" s="1"/>
  <c r="G21" i="20"/>
  <c r="C33" i="24" s="1"/>
  <c r="E4" i="2" s="1"/>
  <c r="U44" i="3"/>
  <c r="S44"/>
  <c r="Q44"/>
  <c r="O44"/>
  <c r="M44"/>
  <c r="K44"/>
  <c r="I44"/>
  <c r="D44" s="1"/>
  <c r="G44" s="1"/>
  <c r="D97" i="2"/>
  <c r="I42" i="3" s="1"/>
  <c r="D42" s="1"/>
  <c r="G42" s="1"/>
  <c r="D95" i="2"/>
  <c r="D93"/>
  <c r="I31" i="3" s="1"/>
  <c r="D31" s="1"/>
  <c r="D90" i="2"/>
  <c r="D88"/>
  <c r="P87"/>
  <c r="N87"/>
  <c r="L87"/>
  <c r="J87"/>
  <c r="G87"/>
  <c r="E47" i="4"/>
  <c r="D22" i="2"/>
  <c r="I21" i="3" s="1"/>
  <c r="D21" s="1"/>
  <c r="C9" i="14"/>
  <c r="P22" i="4"/>
  <c r="N22"/>
  <c r="L22"/>
  <c r="J22"/>
  <c r="H22"/>
  <c r="F22"/>
  <c r="D22"/>
  <c r="D21" s="1"/>
  <c r="G25" i="3"/>
  <c r="D79"/>
  <c r="G24"/>
  <c r="D78"/>
  <c r="O1"/>
  <c r="H1" i="26"/>
  <c r="M1" i="3"/>
  <c r="F1" i="26"/>
  <c r="K1" i="3"/>
  <c r="D1" i="26"/>
  <c r="I1" i="3"/>
  <c r="B1" i="26"/>
  <c r="D87" i="13"/>
  <c r="D97"/>
  <c r="D114" s="1"/>
  <c r="F23"/>
  <c r="F28"/>
  <c r="D23"/>
  <c r="D28"/>
  <c r="A25"/>
  <c r="A26" s="1"/>
  <c r="A27" s="1"/>
  <c r="A55"/>
  <c r="A56" s="1"/>
  <c r="A57" s="1"/>
  <c r="A58" s="1"/>
  <c r="A59" s="1"/>
  <c r="G15" i="12"/>
  <c r="G42"/>
  <c r="E15"/>
  <c r="E14" s="1"/>
  <c r="E42"/>
  <c r="G25"/>
  <c r="G24" s="1"/>
  <c r="G22"/>
  <c r="E25"/>
  <c r="E24" s="1"/>
  <c r="E22"/>
  <c r="G16"/>
  <c r="G20"/>
  <c r="G14"/>
  <c r="A25"/>
  <c r="A26" s="1"/>
  <c r="A27" s="1"/>
  <c r="A55"/>
  <c r="A56" s="1"/>
  <c r="A57" s="1"/>
  <c r="A58" s="1"/>
  <c r="A59" s="1"/>
  <c r="E35" i="4"/>
  <c r="D49" i="2"/>
  <c r="D41"/>
  <c r="I28" i="3" s="1"/>
  <c r="D28" s="1"/>
  <c r="G28" s="1"/>
  <c r="D17" i="4"/>
  <c r="D13"/>
  <c r="F38" i="13"/>
  <c r="D38"/>
  <c r="I34" i="3"/>
  <c r="I37" s="1"/>
  <c r="B9" i="14"/>
  <c r="B12" s="1"/>
  <c r="Q22" i="4"/>
  <c r="O22"/>
  <c r="M22"/>
  <c r="K22"/>
  <c r="I22"/>
  <c r="G22"/>
  <c r="E22"/>
  <c r="G19" i="3"/>
  <c r="D73"/>
  <c r="G73" s="1"/>
  <c r="K12"/>
  <c r="J14"/>
  <c r="J82"/>
  <c r="J34" s="1"/>
  <c r="N1"/>
  <c r="G1" i="26"/>
  <c r="L1" i="3"/>
  <c r="E1" i="26"/>
  <c r="J1" i="3"/>
  <c r="C1" i="26"/>
  <c r="F97" i="12"/>
  <c r="F114" s="1"/>
  <c r="F87"/>
  <c r="D97"/>
  <c r="D114" s="1"/>
  <c r="D87"/>
  <c r="F22"/>
  <c r="F25"/>
  <c r="F24" s="1"/>
  <c r="D22"/>
  <c r="D25"/>
  <c r="D24" s="1"/>
  <c r="G82" i="2"/>
  <c r="F81"/>
  <c r="D35" i="4"/>
  <c r="D27" i="2"/>
  <c r="D17"/>
  <c r="D14"/>
  <c r="Q4"/>
  <c r="O4"/>
  <c r="M4"/>
  <c r="K4"/>
  <c r="I4"/>
  <c r="Q77" i="4"/>
  <c r="O77"/>
  <c r="M77"/>
  <c r="K77"/>
  <c r="I77"/>
  <c r="G77"/>
  <c r="G87" i="13"/>
  <c r="E87"/>
  <c r="G40"/>
  <c r="E40"/>
  <c r="G23"/>
  <c r="E23"/>
  <c r="G28"/>
  <c r="E28"/>
  <c r="G114" i="12"/>
  <c r="E114"/>
  <c r="B64" i="33"/>
  <c r="B68" i="11" s="1"/>
  <c r="B62" i="33"/>
  <c r="B66" i="11" s="1"/>
  <c r="B60" i="33"/>
  <c r="B64" i="11" s="1"/>
  <c r="B58" i="33"/>
  <c r="B62" i="11" s="1"/>
  <c r="B106" i="26"/>
  <c r="B117" s="1"/>
  <c r="B56" i="33"/>
  <c r="B60" i="11" s="1"/>
  <c r="P15" i="9"/>
  <c r="D33" i="26"/>
  <c r="F33"/>
  <c r="H33"/>
  <c r="C33"/>
  <c r="C104" s="1"/>
  <c r="E33"/>
  <c r="G33"/>
  <c r="P13" i="9"/>
  <c r="D31" i="26"/>
  <c r="F31"/>
  <c r="H31"/>
  <c r="C31"/>
  <c r="C102" s="1"/>
  <c r="E31"/>
  <c r="G31"/>
  <c r="P11" i="9"/>
  <c r="D29" i="26"/>
  <c r="F29"/>
  <c r="H29"/>
  <c r="C29"/>
  <c r="C100" s="1"/>
  <c r="E29"/>
  <c r="G29"/>
  <c r="P9" i="9"/>
  <c r="D27" i="26"/>
  <c r="F27"/>
  <c r="H27"/>
  <c r="C27"/>
  <c r="C98" s="1"/>
  <c r="E27"/>
  <c r="G27"/>
  <c r="P8" i="9"/>
  <c r="C26" i="26"/>
  <c r="C97" s="1"/>
  <c r="E26"/>
  <c r="G26"/>
  <c r="D26"/>
  <c r="F26"/>
  <c r="H26"/>
  <c r="P7" i="9"/>
  <c r="D25" i="26"/>
  <c r="F25"/>
  <c r="H25"/>
  <c r="C25"/>
  <c r="C96" s="1"/>
  <c r="E25"/>
  <c r="G25"/>
  <c r="P6" i="9"/>
  <c r="C24" i="26"/>
  <c r="C95" s="1"/>
  <c r="E24"/>
  <c r="G24"/>
  <c r="D24"/>
  <c r="F24"/>
  <c r="H24"/>
  <c r="G18" i="13"/>
  <c r="E18"/>
  <c r="F17"/>
  <c r="D17"/>
  <c r="F38" i="12"/>
  <c r="D38"/>
  <c r="G28"/>
  <c r="E28"/>
  <c r="D33" i="24"/>
  <c r="F4" i="2" s="1"/>
  <c r="P14" i="9"/>
  <c r="C32" i="26"/>
  <c r="C103" s="1"/>
  <c r="E32"/>
  <c r="G32"/>
  <c r="D32"/>
  <c r="F32"/>
  <c r="H32"/>
  <c r="P12" i="9"/>
  <c r="C30" i="26"/>
  <c r="C101" s="1"/>
  <c r="E30"/>
  <c r="G30"/>
  <c r="D30"/>
  <c r="F30"/>
  <c r="H30"/>
  <c r="P10" i="9"/>
  <c r="C28" i="26"/>
  <c r="C99" s="1"/>
  <c r="E28"/>
  <c r="G28"/>
  <c r="D28"/>
  <c r="F28"/>
  <c r="H28"/>
  <c r="F1" i="4"/>
  <c r="G97" i="13"/>
  <c r="G114" s="1"/>
  <c r="E97"/>
  <c r="E114" s="1"/>
  <c r="F84"/>
  <c r="F85" s="1"/>
  <c r="F40"/>
  <c r="D40"/>
  <c r="G37"/>
  <c r="E37"/>
  <c r="F14" i="12"/>
  <c r="P17" i="9"/>
  <c r="R8"/>
  <c r="R7"/>
  <c r="R17" s="1"/>
  <c r="B46" i="33"/>
  <c r="B50" i="11" s="1"/>
  <c r="B44" i="33"/>
  <c r="B48" i="11" s="1"/>
  <c r="B42" i="33"/>
  <c r="B46" i="11" s="1"/>
  <c r="B40" i="33"/>
  <c r="B44" i="11" s="1"/>
  <c r="B38" i="33"/>
  <c r="B42" i="11" s="1"/>
  <c r="J36" i="3"/>
  <c r="B74" i="26"/>
  <c r="B72"/>
  <c r="B70"/>
  <c r="B68"/>
  <c r="B66"/>
  <c r="O17" i="9"/>
  <c r="I17"/>
  <c r="C20" s="1"/>
  <c r="C21" s="1"/>
  <c r="G18" i="14"/>
  <c r="E18"/>
  <c r="C18"/>
  <c r="G13" i="3"/>
  <c r="H118"/>
  <c r="H117"/>
  <c r="H116"/>
  <c r="H115"/>
  <c r="H113"/>
  <c r="H112"/>
  <c r="H110"/>
  <c r="H109"/>
  <c r="H108"/>
  <c r="H107"/>
  <c r="H104"/>
  <c r="H99"/>
  <c r="H98"/>
  <c r="H97"/>
  <c r="H96"/>
  <c r="H95"/>
  <c r="H93"/>
  <c r="H92"/>
  <c r="H91"/>
  <c r="H87"/>
  <c r="B49" i="33" l="1"/>
  <c r="B53" i="11" s="1"/>
  <c r="B69" i="26"/>
  <c r="D86" i="2"/>
  <c r="G21" i="28"/>
  <c r="C56" i="33"/>
  <c r="C60" i="11" s="1"/>
  <c r="D96" i="26"/>
  <c r="C58" i="33"/>
  <c r="C62" i="11" s="1"/>
  <c r="D98" i="26"/>
  <c r="C62" i="33"/>
  <c r="C66" i="11" s="1"/>
  <c r="D102" i="26"/>
  <c r="D37" i="3"/>
  <c r="G31"/>
  <c r="J11"/>
  <c r="E52" i="4"/>
  <c r="C4" i="14" s="1"/>
  <c r="E9" i="2"/>
  <c r="G52" i="4"/>
  <c r="E4" i="14" s="1"/>
  <c r="C60" i="33"/>
  <c r="C64" i="11" s="1"/>
  <c r="D100" i="26"/>
  <c r="C64" i="33"/>
  <c r="C68" i="11" s="1"/>
  <c r="D104" i="26"/>
  <c r="K33" i="3"/>
  <c r="J37"/>
  <c r="K36"/>
  <c r="C11" i="14"/>
  <c r="C13" s="1"/>
  <c r="E61" i="4"/>
  <c r="F42" i="13"/>
  <c r="F15"/>
  <c r="F14" s="1"/>
  <c r="D2" i="14"/>
  <c r="G1" i="4"/>
  <c r="G22" i="13"/>
  <c r="G25"/>
  <c r="G24" s="1"/>
  <c r="G15"/>
  <c r="G14" s="1"/>
  <c r="G42"/>
  <c r="K52" i="4"/>
  <c r="O52"/>
  <c r="E7" i="14"/>
  <c r="G81" i="2"/>
  <c r="H82"/>
  <c r="D26" i="12"/>
  <c r="D55"/>
  <c r="F26"/>
  <c r="F55"/>
  <c r="C6" i="14"/>
  <c r="C20"/>
  <c r="A28" i="13"/>
  <c r="A29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60"/>
  <c r="A61" s="1"/>
  <c r="A62" s="1"/>
  <c r="A63" s="1"/>
  <c r="A64" s="1"/>
  <c r="A65" s="1"/>
  <c r="A66" s="1"/>
  <c r="A67" s="1"/>
  <c r="A68" s="1"/>
  <c r="A69" s="1"/>
  <c r="A70" s="1"/>
  <c r="A71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9" s="1"/>
  <c r="A87" s="1"/>
  <c r="A88" s="1"/>
  <c r="A90" s="1"/>
  <c r="A91" s="1"/>
  <c r="A92" s="1"/>
  <c r="A93" s="1"/>
  <c r="A94" s="1"/>
  <c r="A95" s="1"/>
  <c r="A96" s="1"/>
  <c r="A97" s="1"/>
  <c r="A98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7" s="1"/>
  <c r="A118" s="1"/>
  <c r="A120" s="1"/>
  <c r="A121" s="1"/>
  <c r="D25"/>
  <c r="D24" s="1"/>
  <c r="D22"/>
  <c r="F25"/>
  <c r="F24" s="1"/>
  <c r="F22"/>
  <c r="H1" i="3"/>
  <c r="F9"/>
  <c r="G21"/>
  <c r="D75"/>
  <c r="G75"/>
  <c r="G23"/>
  <c r="D77"/>
  <c r="F35" i="2"/>
  <c r="F39"/>
  <c r="F77"/>
  <c r="F48" i="4" s="1"/>
  <c r="F47" s="1"/>
  <c r="F35" s="1"/>
  <c r="G33" i="2"/>
  <c r="F37"/>
  <c r="F63"/>
  <c r="F64"/>
  <c r="F76"/>
  <c r="K35" i="3"/>
  <c r="E10" i="4"/>
  <c r="E62"/>
  <c r="J17" i="9"/>
  <c r="B111" i="26"/>
  <c r="B113"/>
  <c r="I38" i="3"/>
  <c r="D38" s="1"/>
  <c r="G38" s="1"/>
  <c r="Q11" i="27"/>
  <c r="B77" i="26"/>
  <c r="B81"/>
  <c r="B83"/>
  <c r="B85"/>
  <c r="B87"/>
  <c r="B89"/>
  <c r="B80"/>
  <c r="B82"/>
  <c r="B84"/>
  <c r="B86"/>
  <c r="B88"/>
  <c r="D42" i="13"/>
  <c r="D15"/>
  <c r="D14" s="1"/>
  <c r="D99" i="26"/>
  <c r="C59" i="33"/>
  <c r="C63" i="11" s="1"/>
  <c r="D101" i="26"/>
  <c r="C61" i="33"/>
  <c r="C65" i="11" s="1"/>
  <c r="D103" i="26"/>
  <c r="C63" i="33"/>
  <c r="C67" i="11" s="1"/>
  <c r="F52" i="4"/>
  <c r="D4" i="14" s="1"/>
  <c r="D95" i="26"/>
  <c r="C55" i="33"/>
  <c r="C59" i="11" s="1"/>
  <c r="C106" i="26"/>
  <c r="C66" i="33" s="1"/>
  <c r="C70" i="11" s="1"/>
  <c r="D97" i="26"/>
  <c r="C112"/>
  <c r="C57" i="33"/>
  <c r="C61" i="11" s="1"/>
  <c r="B66" i="33"/>
  <c r="B70" i="11" s="1"/>
  <c r="B110" i="26"/>
  <c r="B114"/>
  <c r="B118"/>
  <c r="B112"/>
  <c r="B116"/>
  <c r="E22" i="13"/>
  <c r="E25"/>
  <c r="E24" s="1"/>
  <c r="E15"/>
  <c r="E14" s="1"/>
  <c r="E42"/>
  <c r="I52" i="4"/>
  <c r="G4" i="14" s="1"/>
  <c r="M52" i="4"/>
  <c r="Q52"/>
  <c r="D9" i="14"/>
  <c r="F126" i="2"/>
  <c r="K14" i="3"/>
  <c r="L12"/>
  <c r="K82"/>
  <c r="K34" s="1"/>
  <c r="D34"/>
  <c r="D10" i="4"/>
  <c r="D61"/>
  <c r="D62"/>
  <c r="A60" i="12"/>
  <c r="A61" s="1"/>
  <c r="A62" s="1"/>
  <c r="A63" s="1"/>
  <c r="A64" s="1"/>
  <c r="A65" s="1"/>
  <c r="A66" s="1"/>
  <c r="A67" s="1"/>
  <c r="A68" s="1"/>
  <c r="A69" s="1"/>
  <c r="A70" s="1"/>
  <c r="A71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9" s="1"/>
  <c r="A87" s="1"/>
  <c r="A88" s="1"/>
  <c r="A90" s="1"/>
  <c r="A91" s="1"/>
  <c r="A92" s="1"/>
  <c r="A93" s="1"/>
  <c r="A94" s="1"/>
  <c r="A95" s="1"/>
  <c r="A96" s="1"/>
  <c r="A97" s="1"/>
  <c r="A98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6" s="1"/>
  <c r="A117" s="1"/>
  <c r="A119" s="1"/>
  <c r="A120" s="1"/>
  <c r="A28"/>
  <c r="A29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E26"/>
  <c r="E55"/>
  <c r="G26"/>
  <c r="G55"/>
  <c r="D24" i="4"/>
  <c r="D60"/>
  <c r="G83" i="2"/>
  <c r="G84"/>
  <c r="E10" i="14" s="1"/>
  <c r="B115" i="26"/>
  <c r="B119"/>
  <c r="C12" i="14"/>
  <c r="J38" i="3"/>
  <c r="Q9" i="20"/>
  <c r="Q10" i="28"/>
  <c r="Q15"/>
  <c r="Q9" i="27"/>
  <c r="Q12"/>
  <c r="Q13"/>
  <c r="Q14"/>
  <c r="C118" i="26" l="1"/>
  <c r="C114"/>
  <c r="L33" i="3"/>
  <c r="K37"/>
  <c r="D55" i="4"/>
  <c r="D7"/>
  <c r="D6" i="14"/>
  <c r="D20"/>
  <c r="B124" i="26"/>
  <c r="B126"/>
  <c r="B128"/>
  <c r="B130"/>
  <c r="B132"/>
  <c r="B121"/>
  <c r="B125"/>
  <c r="B127"/>
  <c r="B129"/>
  <c r="B131"/>
  <c r="B133"/>
  <c r="D57" i="33"/>
  <c r="D61" i="11" s="1"/>
  <c r="E97" i="26"/>
  <c r="D55" i="33"/>
  <c r="D59" i="11" s="1"/>
  <c r="D106" i="26"/>
  <c r="D66" i="33" s="1"/>
  <c r="D70" i="11" s="1"/>
  <c r="E95" i="26"/>
  <c r="D110"/>
  <c r="D61" i="33"/>
  <c r="D65" i="11" s="1"/>
  <c r="D116" i="26"/>
  <c r="E101"/>
  <c r="E55" i="4"/>
  <c r="E66" s="1"/>
  <c r="E153" i="15"/>
  <c r="E7" i="4"/>
  <c r="H33" i="2"/>
  <c r="G37"/>
  <c r="G63"/>
  <c r="G64"/>
  <c r="G76"/>
  <c r="G35"/>
  <c r="G39"/>
  <c r="G77"/>
  <c r="G48" i="4" s="1"/>
  <c r="G47" s="1"/>
  <c r="G35" s="1"/>
  <c r="F55" i="13"/>
  <c r="F26"/>
  <c r="D55"/>
  <c r="D26"/>
  <c r="F7" i="14"/>
  <c r="H81" i="2"/>
  <c r="I82"/>
  <c r="G26" i="13"/>
  <c r="G55"/>
  <c r="E63" i="4"/>
  <c r="E158" i="15"/>
  <c r="L36" i="3"/>
  <c r="D11" i="14"/>
  <c r="D13" s="1"/>
  <c r="F61" i="4"/>
  <c r="E100" i="26"/>
  <c r="D115"/>
  <c r="D60" i="33"/>
  <c r="D64" i="11" s="1"/>
  <c r="E7" i="2"/>
  <c r="F9"/>
  <c r="E22"/>
  <c r="J21" i="3" s="1"/>
  <c r="E97" i="2"/>
  <c r="J42" i="3" s="1"/>
  <c r="E93" i="2"/>
  <c r="E88"/>
  <c r="E62"/>
  <c r="J32" i="3" s="1"/>
  <c r="E58" i="2"/>
  <c r="E54"/>
  <c r="E47"/>
  <c r="E41"/>
  <c r="J28" i="3" s="1"/>
  <c r="E38" i="2"/>
  <c r="E31"/>
  <c r="E25"/>
  <c r="E20"/>
  <c r="E27"/>
  <c r="E14"/>
  <c r="E49"/>
  <c r="E95"/>
  <c r="E90"/>
  <c r="E60"/>
  <c r="E56"/>
  <c r="E51"/>
  <c r="E44"/>
  <c r="J29" i="3" s="1"/>
  <c r="E36" i="2"/>
  <c r="E34"/>
  <c r="E29"/>
  <c r="J31" i="3" s="1"/>
  <c r="E23" i="2"/>
  <c r="E11"/>
  <c r="E17"/>
  <c r="E98" i="26"/>
  <c r="D113"/>
  <c r="D58" i="33"/>
  <c r="D62" i="11" s="1"/>
  <c r="D12" i="14"/>
  <c r="B91" i="26"/>
  <c r="B51" i="33" s="1"/>
  <c r="B55" i="11" s="1"/>
  <c r="F62" i="2"/>
  <c r="K32" i="3" s="1"/>
  <c r="F38" i="2"/>
  <c r="E78" i="4"/>
  <c r="E84" s="1"/>
  <c r="E85" s="1"/>
  <c r="C119" i="26"/>
  <c r="D78" i="4"/>
  <c r="D84" s="1"/>
  <c r="D85" s="1"/>
  <c r="C117" i="26"/>
  <c r="C111"/>
  <c r="G27" i="12"/>
  <c r="G71"/>
  <c r="E27"/>
  <c r="E71"/>
  <c r="D58" i="3"/>
  <c r="D80"/>
  <c r="G80"/>
  <c r="G34"/>
  <c r="D59"/>
  <c r="E72" i="4"/>
  <c r="G72"/>
  <c r="I72"/>
  <c r="K72"/>
  <c r="M72"/>
  <c r="O72"/>
  <c r="Q72"/>
  <c r="E73"/>
  <c r="G73"/>
  <c r="I73"/>
  <c r="K73"/>
  <c r="M73"/>
  <c r="O73"/>
  <c r="Q73"/>
  <c r="D72"/>
  <c r="F72"/>
  <c r="H72"/>
  <c r="J72"/>
  <c r="L72"/>
  <c r="N72"/>
  <c r="P72"/>
  <c r="D73"/>
  <c r="F73"/>
  <c r="H73"/>
  <c r="J73"/>
  <c r="L73"/>
  <c r="N73"/>
  <c r="P73"/>
  <c r="M12" i="3"/>
  <c r="L14"/>
  <c r="L82"/>
  <c r="E26" i="13"/>
  <c r="E55"/>
  <c r="D63" i="33"/>
  <c r="D67" i="11" s="1"/>
  <c r="E103" i="26"/>
  <c r="D118"/>
  <c r="D59" i="33"/>
  <c r="D63" i="11" s="1"/>
  <c r="E99" i="26"/>
  <c r="D114"/>
  <c r="L35" i="3"/>
  <c r="F10" i="4"/>
  <c r="F62"/>
  <c r="F27" i="12"/>
  <c r="F71"/>
  <c r="D27"/>
  <c r="D71"/>
  <c r="L34" i="3"/>
  <c r="L37" s="1"/>
  <c r="E9" i="14"/>
  <c r="G126" i="2"/>
  <c r="E2" i="14"/>
  <c r="H1" i="4"/>
  <c r="E104" i="26"/>
  <c r="D119"/>
  <c r="D64" i="33"/>
  <c r="D68" i="11" s="1"/>
  <c r="J10" i="3"/>
  <c r="K11"/>
  <c r="J13"/>
  <c r="G37"/>
  <c r="D41"/>
  <c r="G41" s="1"/>
  <c r="E102" i="26"/>
  <c r="D117"/>
  <c r="D62" i="33"/>
  <c r="D66" i="11" s="1"/>
  <c r="E96" i="26"/>
  <c r="D111"/>
  <c r="D56" i="33"/>
  <c r="D60" i="11" s="1"/>
  <c r="D63" i="4"/>
  <c r="C110" i="26"/>
  <c r="C116"/>
  <c r="F34" i="2"/>
  <c r="C115" i="26"/>
  <c r="C113"/>
  <c r="E62" i="33" l="1"/>
  <c r="E66" i="11" s="1"/>
  <c r="F102" i="26"/>
  <c r="K10" i="3"/>
  <c r="L11"/>
  <c r="K13"/>
  <c r="E64" i="33"/>
  <c r="E68" i="11" s="1"/>
  <c r="F104" i="26"/>
  <c r="L38" i="3"/>
  <c r="G78" i="4" s="1"/>
  <c r="G84" s="1"/>
  <c r="G85" s="1"/>
  <c r="F55"/>
  <c r="F66" s="1"/>
  <c r="F153" i="15"/>
  <c r="F7" i="4"/>
  <c r="F103" i="26"/>
  <c r="E63" i="33"/>
  <c r="E67" i="11" s="1"/>
  <c r="M14" i="3"/>
  <c r="N12"/>
  <c r="M82"/>
  <c r="G59"/>
  <c r="D51"/>
  <c r="B12" i="26"/>
  <c r="B3"/>
  <c r="G58" i="3"/>
  <c r="B5" i="26"/>
  <c r="E58" i="33"/>
  <c r="E62" i="11" s="1"/>
  <c r="F98" i="26"/>
  <c r="J26" i="3"/>
  <c r="F36" i="2"/>
  <c r="J30" i="3"/>
  <c r="E25" i="4"/>
  <c r="E6" i="2"/>
  <c r="E8" s="1"/>
  <c r="F158" i="15"/>
  <c r="F63" i="4"/>
  <c r="G7" i="14"/>
  <c r="I81" i="2"/>
  <c r="J82"/>
  <c r="H35"/>
  <c r="H39"/>
  <c r="H77"/>
  <c r="H48" i="4" s="1"/>
  <c r="H47" s="1"/>
  <c r="H35" s="1"/>
  <c r="I33" i="2"/>
  <c r="H37"/>
  <c r="H63"/>
  <c r="H64"/>
  <c r="H76"/>
  <c r="F101" i="26"/>
  <c r="E61" i="33"/>
  <c r="E65" i="11" s="1"/>
  <c r="F95" i="26"/>
  <c r="E55" i="33"/>
  <c r="E59" i="11" s="1"/>
  <c r="E106" i="26"/>
  <c r="E66" i="33" s="1"/>
  <c r="E70" i="11" s="1"/>
  <c r="D56" i="4"/>
  <c r="D66"/>
  <c r="D67" s="1"/>
  <c r="N74"/>
  <c r="J74"/>
  <c r="F74"/>
  <c r="O74"/>
  <c r="K74"/>
  <c r="G74"/>
  <c r="F15"/>
  <c r="E23"/>
  <c r="D112" i="26"/>
  <c r="B135"/>
  <c r="B68" i="33" s="1"/>
  <c r="C121" i="26"/>
  <c r="C125"/>
  <c r="C127"/>
  <c r="C129"/>
  <c r="C131"/>
  <c r="C133"/>
  <c r="C124"/>
  <c r="C126"/>
  <c r="C128"/>
  <c r="C130"/>
  <c r="C132"/>
  <c r="E56" i="33"/>
  <c r="E60" i="11" s="1"/>
  <c r="F96" i="26"/>
  <c r="E111"/>
  <c r="C22" i="14"/>
  <c r="C10" i="26"/>
  <c r="C12"/>
  <c r="E54" i="4"/>
  <c r="E65"/>
  <c r="F2" i="14"/>
  <c r="I1" i="4"/>
  <c r="M35" i="3"/>
  <c r="G10" i="4"/>
  <c r="G62"/>
  <c r="F99" i="26"/>
  <c r="E114"/>
  <c r="E59" i="33"/>
  <c r="E63" i="11" s="1"/>
  <c r="E27" i="13"/>
  <c r="E71"/>
  <c r="E6" i="14"/>
  <c r="E20"/>
  <c r="J23" i="3"/>
  <c r="J27"/>
  <c r="F7" i="2"/>
  <c r="F22"/>
  <c r="K21" i="3" s="1"/>
  <c r="F25" i="2"/>
  <c r="F6" i="4" s="1"/>
  <c r="F60" i="2"/>
  <c r="F58"/>
  <c r="F26" i="4" s="1"/>
  <c r="F164" i="15" s="1"/>
  <c r="F56" i="2"/>
  <c r="F54"/>
  <c r="F51"/>
  <c r="F23" i="4" s="1"/>
  <c r="F47" i="2"/>
  <c r="F44"/>
  <c r="K29" i="3" s="1"/>
  <c r="F41" i="2"/>
  <c r="K28" i="3" s="1"/>
  <c r="F49" i="2"/>
  <c r="F17"/>
  <c r="G9"/>
  <c r="F31"/>
  <c r="F29"/>
  <c r="F23"/>
  <c r="F20"/>
  <c r="F11"/>
  <c r="F27"/>
  <c r="F14"/>
  <c r="F95"/>
  <c r="F93"/>
  <c r="F97"/>
  <c r="K42" i="3" s="1"/>
  <c r="F90" i="2"/>
  <c r="F88"/>
  <c r="E60" i="33"/>
  <c r="E64" i="11" s="1"/>
  <c r="F100" i="26"/>
  <c r="E115"/>
  <c r="M36" i="3"/>
  <c r="E11" i="14"/>
  <c r="E13" s="1"/>
  <c r="G61" i="4"/>
  <c r="G27" i="13"/>
  <c r="G71"/>
  <c r="M34" i="3"/>
  <c r="M37" s="1"/>
  <c r="F9" i="14"/>
  <c r="H126" i="2"/>
  <c r="D27" i="13"/>
  <c r="D71"/>
  <c r="F27"/>
  <c r="F71"/>
  <c r="D124" i="26"/>
  <c r="D126"/>
  <c r="D128"/>
  <c r="D130"/>
  <c r="D132"/>
  <c r="D121"/>
  <c r="D125"/>
  <c r="D127"/>
  <c r="D129"/>
  <c r="D131"/>
  <c r="D133"/>
  <c r="F97"/>
  <c r="E112"/>
  <c r="E57" i="33"/>
  <c r="E61" i="11" s="1"/>
  <c r="D8" i="4"/>
  <c r="D4"/>
  <c r="K38" i="3"/>
  <c r="F78" i="4" s="1"/>
  <c r="F84" s="1"/>
  <c r="F85" s="1"/>
  <c r="E12" i="14"/>
  <c r="P74" i="4"/>
  <c r="L74"/>
  <c r="H74"/>
  <c r="D74"/>
  <c r="Q74"/>
  <c r="M74"/>
  <c r="I74"/>
  <c r="E74"/>
  <c r="E6"/>
  <c r="E15"/>
  <c r="E26"/>
  <c r="E164" i="15" s="1"/>
  <c r="E86" i="2"/>
  <c r="G34"/>
  <c r="E16" i="4" l="1"/>
  <c r="M38" i="3"/>
  <c r="H78" i="4" s="1"/>
  <c r="H84" s="1"/>
  <c r="H85" s="1"/>
  <c r="G63"/>
  <c r="G158" i="15"/>
  <c r="N36" i="3"/>
  <c r="F11" i="14"/>
  <c r="F13" s="1"/>
  <c r="H61" i="4"/>
  <c r="G100" i="26"/>
  <c r="F60" i="33"/>
  <c r="G7" i="2"/>
  <c r="H9"/>
  <c r="G22"/>
  <c r="L21" i="3" s="1"/>
  <c r="G60" i="2"/>
  <c r="G56"/>
  <c r="G51"/>
  <c r="G44"/>
  <c r="L29" i="3" s="1"/>
  <c r="G29" i="2"/>
  <c r="G23"/>
  <c r="G11"/>
  <c r="G17"/>
  <c r="G58"/>
  <c r="G54"/>
  <c r="G47"/>
  <c r="G41"/>
  <c r="L28" i="3" s="1"/>
  <c r="G31" i="2"/>
  <c r="G25"/>
  <c r="G20"/>
  <c r="G27"/>
  <c r="G14"/>
  <c r="G49"/>
  <c r="G95"/>
  <c r="G97"/>
  <c r="L42" i="3" s="1"/>
  <c r="G88" i="2"/>
  <c r="G90"/>
  <c r="G93"/>
  <c r="F20" i="4"/>
  <c r="F21"/>
  <c r="F59" i="33"/>
  <c r="G99" i="26"/>
  <c r="G55" i="4"/>
  <c r="G66" s="1"/>
  <c r="G153" i="15"/>
  <c r="G7" i="4"/>
  <c r="G2" i="14"/>
  <c r="J1" i="4"/>
  <c r="E67"/>
  <c r="E137" i="15"/>
  <c r="E139"/>
  <c r="E136"/>
  <c r="E138"/>
  <c r="C13" i="26"/>
  <c r="C15"/>
  <c r="G96"/>
  <c r="F56" i="33"/>
  <c r="F16" i="4"/>
  <c r="F55" i="33"/>
  <c r="F106" i="26"/>
  <c r="F66" i="33" s="1"/>
  <c r="G95" i="26"/>
  <c r="F110"/>
  <c r="J33" i="2"/>
  <c r="I37"/>
  <c r="I63"/>
  <c r="I64"/>
  <c r="I76"/>
  <c r="I35"/>
  <c r="I39"/>
  <c r="I77"/>
  <c r="I48" i="4" s="1"/>
  <c r="I47" s="1"/>
  <c r="I35" s="1"/>
  <c r="H7" i="14"/>
  <c r="J81" i="2"/>
  <c r="K82"/>
  <c r="G98" i="26"/>
  <c r="F58" i="33"/>
  <c r="B15" i="26"/>
  <c r="B16" s="1"/>
  <c r="G51" i="3"/>
  <c r="D52"/>
  <c r="O12"/>
  <c r="N14"/>
  <c r="N82"/>
  <c r="F63" i="33"/>
  <c r="G103" i="26"/>
  <c r="F118"/>
  <c r="L10" i="3"/>
  <c r="M11"/>
  <c r="L13"/>
  <c r="G102" i="26"/>
  <c r="F117"/>
  <c r="F62" i="33"/>
  <c r="D135" i="26"/>
  <c r="D68" i="33" s="1"/>
  <c r="F86" i="2"/>
  <c r="K31" i="3"/>
  <c r="C135" i="26"/>
  <c r="C68" i="33" s="1"/>
  <c r="G38" i="2"/>
  <c r="G15" i="4" s="1"/>
  <c r="E116" i="26"/>
  <c r="H62" i="2"/>
  <c r="M32" i="3" s="1"/>
  <c r="H38" i="2"/>
  <c r="E119" i="26"/>
  <c r="E4" i="4"/>
  <c r="D5"/>
  <c r="D2"/>
  <c r="D27" s="1"/>
  <c r="F57" i="33"/>
  <c r="G97" i="26"/>
  <c r="F112"/>
  <c r="K23" i="3"/>
  <c r="K27"/>
  <c r="K30"/>
  <c r="F25" i="4"/>
  <c r="F4"/>
  <c r="F6" i="2"/>
  <c r="F8" s="1"/>
  <c r="N35" i="3"/>
  <c r="H10" i="4"/>
  <c r="H62"/>
  <c r="E56"/>
  <c r="E155" i="15" s="1"/>
  <c r="E144"/>
  <c r="E146"/>
  <c r="E143"/>
  <c r="E145"/>
  <c r="E152"/>
  <c r="E20" i="4"/>
  <c r="E21"/>
  <c r="F61" i="33"/>
  <c r="G101" i="26"/>
  <c r="F116"/>
  <c r="N34" i="3"/>
  <c r="N37" s="1"/>
  <c r="G9" i="14"/>
  <c r="I126" i="2"/>
  <c r="E24" i="4"/>
  <c r="E60"/>
  <c r="K26" i="3"/>
  <c r="G36" i="2"/>
  <c r="F6" i="14"/>
  <c r="F20"/>
  <c r="G104" i="26"/>
  <c r="F64" i="33"/>
  <c r="F119" i="26"/>
  <c r="D22" i="14"/>
  <c r="D10" i="26"/>
  <c r="D12"/>
  <c r="F54" i="4"/>
  <c r="F65"/>
  <c r="F12" i="14"/>
  <c r="G62" i="2"/>
  <c r="L32" i="3" s="1"/>
  <c r="E110" i="26"/>
  <c r="H34" i="2"/>
  <c r="E113" i="26"/>
  <c r="B13"/>
  <c r="D125" i="3"/>
  <c r="E118" i="26"/>
  <c r="E117"/>
  <c r="F113" l="1"/>
  <c r="F111"/>
  <c r="E88" i="3"/>
  <c r="D124"/>
  <c r="E85" s="1"/>
  <c r="F143" i="15"/>
  <c r="F145"/>
  <c r="F152"/>
  <c r="F56" i="4"/>
  <c r="F144" i="15"/>
  <c r="F146"/>
  <c r="G64" i="33"/>
  <c r="H104" i="26"/>
  <c r="N38" i="3"/>
  <c r="I78" i="4" s="1"/>
  <c r="I84" s="1"/>
  <c r="I85" s="1"/>
  <c r="H101" i="26"/>
  <c r="G61" i="33"/>
  <c r="O35" i="3"/>
  <c r="I10" i="4"/>
  <c r="I62"/>
  <c r="F5"/>
  <c r="F2"/>
  <c r="H97" i="26"/>
  <c r="G57" i="33"/>
  <c r="D28" i="4"/>
  <c r="D29"/>
  <c r="D30" s="1"/>
  <c r="D31"/>
  <c r="G62" i="33"/>
  <c r="H102" i="26"/>
  <c r="M10" i="3"/>
  <c r="N11"/>
  <c r="M13"/>
  <c r="G6" i="14"/>
  <c r="G20"/>
  <c r="G52" i="3"/>
  <c r="B8" i="26"/>
  <c r="D53" i="3"/>
  <c r="D61" s="1"/>
  <c r="D128"/>
  <c r="E89" s="1"/>
  <c r="G58" i="33"/>
  <c r="H98" i="26"/>
  <c r="H9" i="14"/>
  <c r="J126" i="2"/>
  <c r="F124" i="26"/>
  <c r="F126"/>
  <c r="F125"/>
  <c r="F127"/>
  <c r="G56" i="33"/>
  <c r="H96" i="26"/>
  <c r="C14"/>
  <c r="H2" i="14"/>
  <c r="K1" i="4"/>
  <c r="L1" s="1"/>
  <c r="M1" s="1"/>
  <c r="N1" s="1"/>
  <c r="O1" s="1"/>
  <c r="P1" s="1"/>
  <c r="Q1" s="1"/>
  <c r="H99" i="26"/>
  <c r="G59" i="33"/>
  <c r="L23" i="3"/>
  <c r="L27"/>
  <c r="H7" i="2"/>
  <c r="H22"/>
  <c r="M21" i="3" s="1"/>
  <c r="H31" i="2"/>
  <c r="H29"/>
  <c r="H23"/>
  <c r="H20"/>
  <c r="H11"/>
  <c r="H27"/>
  <c r="H14"/>
  <c r="H25"/>
  <c r="H6" i="4" s="1"/>
  <c r="H60" i="2"/>
  <c r="H58"/>
  <c r="H26" i="4" s="1"/>
  <c r="H164" i="15" s="1"/>
  <c r="H56" i="2"/>
  <c r="H54"/>
  <c r="H51"/>
  <c r="H23" i="4" s="1"/>
  <c r="H47" i="2"/>
  <c r="H44"/>
  <c r="M29" i="3" s="1"/>
  <c r="H41" i="2"/>
  <c r="M28" i="3" s="1"/>
  <c r="H49" i="2"/>
  <c r="H17"/>
  <c r="I9"/>
  <c r="H95"/>
  <c r="H97"/>
  <c r="M42" i="3" s="1"/>
  <c r="H88" i="2"/>
  <c r="H90"/>
  <c r="H93"/>
  <c r="G60" i="33"/>
  <c r="H100" i="26"/>
  <c r="O36" i="3"/>
  <c r="G11" i="14"/>
  <c r="G13" s="1"/>
  <c r="I61" i="4"/>
  <c r="B17" i="26"/>
  <c r="I34" i="2"/>
  <c r="G86"/>
  <c r="G26" i="4"/>
  <c r="G164" i="15" s="1"/>
  <c r="L31" i="3"/>
  <c r="G23" i="4"/>
  <c r="E121" i="26"/>
  <c r="E125"/>
  <c r="E127"/>
  <c r="E129"/>
  <c r="E131"/>
  <c r="E133"/>
  <c r="E124"/>
  <c r="E126"/>
  <c r="E128"/>
  <c r="E130"/>
  <c r="E132"/>
  <c r="F136" i="15"/>
  <c r="F138"/>
  <c r="F67" i="4"/>
  <c r="F137" i="15"/>
  <c r="F139"/>
  <c r="D13" i="26"/>
  <c r="D15"/>
  <c r="L26" i="3"/>
  <c r="H36" i="2"/>
  <c r="E159" i="15"/>
  <c r="E17" i="4"/>
  <c r="E13" s="1"/>
  <c r="E8" i="15"/>
  <c r="E157"/>
  <c r="E154"/>
  <c r="E8" i="4"/>
  <c r="H55"/>
  <c r="H66" s="1"/>
  <c r="H153" i="15"/>
  <c r="H7" i="4"/>
  <c r="F24"/>
  <c r="F60"/>
  <c r="E5"/>
  <c r="E2"/>
  <c r="G16"/>
  <c r="E22" i="14"/>
  <c r="E10" i="26"/>
  <c r="E12"/>
  <c r="G54" i="4"/>
  <c r="G65"/>
  <c r="H103" i="26"/>
  <c r="G63" i="33"/>
  <c r="O14" i="3"/>
  <c r="P12"/>
  <c r="O82"/>
  <c r="O34" s="1"/>
  <c r="O37" s="1"/>
  <c r="K81" i="2"/>
  <c r="L82"/>
  <c r="J35"/>
  <c r="J39"/>
  <c r="J77"/>
  <c r="J48" i="4" s="1"/>
  <c r="J47" s="1"/>
  <c r="J35" s="1"/>
  <c r="K33" i="2"/>
  <c r="J37"/>
  <c r="J63"/>
  <c r="J64"/>
  <c r="J76"/>
  <c r="H95" i="26"/>
  <c r="G55" i="33"/>
  <c r="G106" i="26"/>
  <c r="G66" i="33" s="1"/>
  <c r="C17" i="26"/>
  <c r="C19" s="1"/>
  <c r="C16"/>
  <c r="C18" s="1"/>
  <c r="C20" s="1"/>
  <c r="E28" i="15"/>
  <c r="E30"/>
  <c r="E32"/>
  <c r="E34"/>
  <c r="E7"/>
  <c r="E29"/>
  <c r="E31"/>
  <c r="E33"/>
  <c r="F159"/>
  <c r="F17" i="4"/>
  <c r="F13" s="1"/>
  <c r="L30" i="3"/>
  <c r="G25" i="4"/>
  <c r="G6" i="2"/>
  <c r="G8" s="1"/>
  <c r="H158" i="15"/>
  <c r="H63" i="4"/>
  <c r="G12" i="14"/>
  <c r="H15" i="4"/>
  <c r="I38" i="2"/>
  <c r="I62"/>
  <c r="N32" i="3" s="1"/>
  <c r="F114" i="26"/>
  <c r="F128" s="1"/>
  <c r="G6" i="4"/>
  <c r="F115" i="26"/>
  <c r="H86" i="2" l="1"/>
  <c r="O38" i="3"/>
  <c r="J78" i="4" s="1"/>
  <c r="J84" s="1"/>
  <c r="J85" s="1"/>
  <c r="D60" i="3"/>
  <c r="G71" i="4" s="1"/>
  <c r="G61" i="3"/>
  <c r="D55"/>
  <c r="G4" i="4"/>
  <c r="H16"/>
  <c r="G24"/>
  <c r="G60"/>
  <c r="C37" i="26"/>
  <c r="C39"/>
  <c r="C41"/>
  <c r="C43"/>
  <c r="C45"/>
  <c r="C38"/>
  <c r="C40"/>
  <c r="C42"/>
  <c r="C44"/>
  <c r="C46"/>
  <c r="H55" i="33"/>
  <c r="H106" i="26"/>
  <c r="H66" i="33" s="1"/>
  <c r="K126" i="2"/>
  <c r="Q12" i="3"/>
  <c r="P14"/>
  <c r="P82"/>
  <c r="P34" s="1"/>
  <c r="P37" s="1"/>
  <c r="H63" i="33"/>
  <c r="G56" i="4"/>
  <c r="G144" i="15"/>
  <c r="G146"/>
  <c r="G143"/>
  <c r="G145"/>
  <c r="G152"/>
  <c r="D16" i="26"/>
  <c r="D17"/>
  <c r="D19" s="1"/>
  <c r="F7" i="15"/>
  <c r="F29"/>
  <c r="F31"/>
  <c r="F33"/>
  <c r="F28"/>
  <c r="F30"/>
  <c r="F32"/>
  <c r="F34"/>
  <c r="G20" i="4"/>
  <c r="G21"/>
  <c r="I7" i="2"/>
  <c r="J9"/>
  <c r="I22"/>
  <c r="N21" i="3" s="1"/>
  <c r="I58" i="2"/>
  <c r="I54"/>
  <c r="I47"/>
  <c r="I41"/>
  <c r="N28" i="3" s="1"/>
  <c r="I31" i="2"/>
  <c r="I25"/>
  <c r="I20"/>
  <c r="I27"/>
  <c r="I14"/>
  <c r="I49"/>
  <c r="I60"/>
  <c r="I56"/>
  <c r="I51"/>
  <c r="I44"/>
  <c r="N29" i="3" s="1"/>
  <c r="I29" i="2"/>
  <c r="I23"/>
  <c r="I11"/>
  <c r="I17"/>
  <c r="I97"/>
  <c r="N42" i="3" s="1"/>
  <c r="I88" i="2"/>
  <c r="I90"/>
  <c r="I93"/>
  <c r="I95"/>
  <c r="H20" i="4"/>
  <c r="H21"/>
  <c r="H6" i="2"/>
  <c r="H8" s="1"/>
  <c r="B18" i="26"/>
  <c r="F22" i="14"/>
  <c r="F10" i="26"/>
  <c r="F12"/>
  <c r="H54" i="4"/>
  <c r="H65"/>
  <c r="H62" i="33"/>
  <c r="D32" i="4"/>
  <c r="D33"/>
  <c r="D34" s="1"/>
  <c r="P35" i="3"/>
  <c r="J10" i="4"/>
  <c r="J62"/>
  <c r="F88" i="3"/>
  <c r="H88"/>
  <c r="H135"/>
  <c r="J135"/>
  <c r="L135"/>
  <c r="N135"/>
  <c r="P135"/>
  <c r="R135"/>
  <c r="I135"/>
  <c r="K135"/>
  <c r="M135"/>
  <c r="O135"/>
  <c r="Q135"/>
  <c r="S135"/>
  <c r="J34" i="2"/>
  <c r="E27" i="4"/>
  <c r="G115" i="26"/>
  <c r="G114"/>
  <c r="G111"/>
  <c r="F131"/>
  <c r="F121"/>
  <c r="F130"/>
  <c r="G113"/>
  <c r="G112"/>
  <c r="F27" i="4"/>
  <c r="G116" i="26"/>
  <c r="G119"/>
  <c r="L33" i="2"/>
  <c r="K37"/>
  <c r="K63"/>
  <c r="K64"/>
  <c r="K76"/>
  <c r="K35"/>
  <c r="K39"/>
  <c r="K77"/>
  <c r="K48" i="4" s="1"/>
  <c r="K47" s="1"/>
  <c r="K35" s="1"/>
  <c r="L81" i="2"/>
  <c r="M82"/>
  <c r="H6" i="14"/>
  <c r="H20"/>
  <c r="G67" i="4"/>
  <c r="G137" i="15"/>
  <c r="G139"/>
  <c r="G136"/>
  <c r="G138"/>
  <c r="E13" i="26"/>
  <c r="E15"/>
  <c r="M22" i="3"/>
  <c r="M26"/>
  <c r="I36" i="2"/>
  <c r="D14" i="26"/>
  <c r="D18"/>
  <c r="D20" s="1"/>
  <c r="I63" i="4"/>
  <c r="I158" i="15"/>
  <c r="P36" i="3"/>
  <c r="H11" i="14"/>
  <c r="H13" s="1"/>
  <c r="J61" i="4"/>
  <c r="H60" i="33"/>
  <c r="M23" i="3"/>
  <c r="M27"/>
  <c r="M30"/>
  <c r="H25" i="4"/>
  <c r="H4"/>
  <c r="H59" i="33"/>
  <c r="H114" i="26"/>
  <c r="H56" i="33"/>
  <c r="H58"/>
  <c r="F89" i="3"/>
  <c r="H89"/>
  <c r="H160"/>
  <c r="J160"/>
  <c r="L160"/>
  <c r="N160"/>
  <c r="I160"/>
  <c r="M160"/>
  <c r="P160"/>
  <c r="R160"/>
  <c r="K160"/>
  <c r="O160"/>
  <c r="Q160"/>
  <c r="S160"/>
  <c r="G53"/>
  <c r="D54"/>
  <c r="G54" s="1"/>
  <c r="D127"/>
  <c r="E86" s="1"/>
  <c r="N10"/>
  <c r="O11"/>
  <c r="N13"/>
  <c r="H57" i="33"/>
  <c r="H112" i="26"/>
  <c r="I55" i="4"/>
  <c r="I66" s="1"/>
  <c r="I153" i="15"/>
  <c r="I7" i="4"/>
  <c r="H61" i="33"/>
  <c r="H64"/>
  <c r="F154" i="15"/>
  <c r="F8"/>
  <c r="F157"/>
  <c r="F155"/>
  <c r="F8" i="4"/>
  <c r="F85" i="3"/>
  <c r="H85"/>
  <c r="H134"/>
  <c r="J134"/>
  <c r="L134"/>
  <c r="N134"/>
  <c r="P134"/>
  <c r="R134"/>
  <c r="I134"/>
  <c r="K134"/>
  <c r="M134"/>
  <c r="O134"/>
  <c r="Q134"/>
  <c r="S134"/>
  <c r="I15" i="4"/>
  <c r="G110" i="26"/>
  <c r="J62" i="2"/>
  <c r="O32" i="3" s="1"/>
  <c r="G118" i="26"/>
  <c r="E135"/>
  <c r="E68" i="33" s="1"/>
  <c r="M31" i="3"/>
  <c r="F133" i="26"/>
  <c r="F129"/>
  <c r="F132"/>
  <c r="G117"/>
  <c r="G128" i="15" l="1"/>
  <c r="N31" i="3"/>
  <c r="F135" i="26"/>
  <c r="F68" i="33" s="1"/>
  <c r="I16" i="4"/>
  <c r="G22" i="14"/>
  <c r="G10" i="26"/>
  <c r="G12"/>
  <c r="I54" i="4"/>
  <c r="I65"/>
  <c r="H24"/>
  <c r="H60"/>
  <c r="H71"/>
  <c r="J158" i="15"/>
  <c r="J63" i="4"/>
  <c r="N22" i="3"/>
  <c r="N26"/>
  <c r="J36" i="2"/>
  <c r="H58" i="4"/>
  <c r="H156" i="15" s="1"/>
  <c r="H69" i="4"/>
  <c r="E14" i="26"/>
  <c r="M81" i="2"/>
  <c r="N82"/>
  <c r="F28" i="4"/>
  <c r="F29"/>
  <c r="F30" s="1"/>
  <c r="F31"/>
  <c r="J55"/>
  <c r="J66" s="1"/>
  <c r="J153" i="15"/>
  <c r="J7" i="4"/>
  <c r="H136" i="15"/>
  <c r="H138"/>
  <c r="H67" i="4"/>
  <c r="H137" i="15"/>
  <c r="H139"/>
  <c r="F13" i="26"/>
  <c r="F15"/>
  <c r="N23" i="3"/>
  <c r="N27"/>
  <c r="J7" i="2"/>
  <c r="J22"/>
  <c r="O21" i="3" s="1"/>
  <c r="J25" i="2"/>
  <c r="J60"/>
  <c r="J58"/>
  <c r="J56"/>
  <c r="J54"/>
  <c r="J51"/>
  <c r="J47"/>
  <c r="J44"/>
  <c r="O29" i="3" s="1"/>
  <c r="J41" i="2"/>
  <c r="O28" i="3" s="1"/>
  <c r="J49" i="2"/>
  <c r="J17"/>
  <c r="K9"/>
  <c r="J31"/>
  <c r="J29"/>
  <c r="J23"/>
  <c r="J20"/>
  <c r="J11"/>
  <c r="J27"/>
  <c r="J14"/>
  <c r="J93"/>
  <c r="J95"/>
  <c r="J97"/>
  <c r="O42" i="3" s="1"/>
  <c r="J88" i="2"/>
  <c r="J90"/>
  <c r="G8" i="15"/>
  <c r="G157"/>
  <c r="G154"/>
  <c r="G8" i="4"/>
  <c r="P38" i="3"/>
  <c r="K78" i="4" s="1"/>
  <c r="K84" s="1"/>
  <c r="K85" s="1"/>
  <c r="F39" i="14"/>
  <c r="C60" i="26"/>
  <c r="F35" i="14"/>
  <c r="C56" i="26"/>
  <c r="F31" i="14"/>
  <c r="C52" i="26"/>
  <c r="F36" i="14"/>
  <c r="C57" i="26"/>
  <c r="F32" i="14"/>
  <c r="C53" i="26"/>
  <c r="G5" i="4"/>
  <c r="G2"/>
  <c r="G55" i="3"/>
  <c r="I15"/>
  <c r="D15" s="1"/>
  <c r="I22"/>
  <c r="G60"/>
  <c r="B11" i="26"/>
  <c r="E70" i="4"/>
  <c r="G70"/>
  <c r="I70"/>
  <c r="K70"/>
  <c r="M70"/>
  <c r="O70"/>
  <c r="Q70"/>
  <c r="D70"/>
  <c r="E9" i="15" s="1"/>
  <c r="F70" i="4"/>
  <c r="H70"/>
  <c r="J70"/>
  <c r="L70"/>
  <c r="N70"/>
  <c r="P70"/>
  <c r="D71"/>
  <c r="J22" i="3"/>
  <c r="J15"/>
  <c r="K22"/>
  <c r="K15"/>
  <c r="E71" i="4"/>
  <c r="E128" i="15" s="1"/>
  <c r="L22" i="3"/>
  <c r="F71" i="4"/>
  <c r="F128" i="15" s="1"/>
  <c r="L15" i="3"/>
  <c r="G121" i="26"/>
  <c r="G125"/>
  <c r="G127"/>
  <c r="G129"/>
  <c r="G131"/>
  <c r="G133"/>
  <c r="G124"/>
  <c r="G135" s="1"/>
  <c r="G68" i="33" s="1"/>
  <c r="G126" i="26"/>
  <c r="G128"/>
  <c r="G130"/>
  <c r="G132"/>
  <c r="O10" i="3"/>
  <c r="P11"/>
  <c r="O13"/>
  <c r="F86"/>
  <c r="H86"/>
  <c r="H136"/>
  <c r="J136"/>
  <c r="L136"/>
  <c r="N136"/>
  <c r="P136"/>
  <c r="R136"/>
  <c r="I136"/>
  <c r="K136"/>
  <c r="M136"/>
  <c r="O136"/>
  <c r="Q136"/>
  <c r="S136"/>
  <c r="H2" i="4"/>
  <c r="Q36" i="3"/>
  <c r="K61" i="4"/>
  <c r="E17" i="26"/>
  <c r="E19" s="1"/>
  <c r="E16"/>
  <c r="E18" s="1"/>
  <c r="E20" s="1"/>
  <c r="G28" i="15"/>
  <c r="G30"/>
  <c r="G32"/>
  <c r="G34"/>
  <c r="G7"/>
  <c r="G29"/>
  <c r="G31"/>
  <c r="G33"/>
  <c r="L126" i="2"/>
  <c r="L35"/>
  <c r="L39"/>
  <c r="L77"/>
  <c r="L48" i="4" s="1"/>
  <c r="L47" s="1"/>
  <c r="L35" s="1"/>
  <c r="M33" i="2"/>
  <c r="L37"/>
  <c r="L63"/>
  <c r="L64"/>
  <c r="L76"/>
  <c r="E28" i="4"/>
  <c r="E29"/>
  <c r="E30" s="1"/>
  <c r="E31"/>
  <c r="Q35" i="3"/>
  <c r="K10" i="4"/>
  <c r="K62"/>
  <c r="H143" i="15"/>
  <c r="H145"/>
  <c r="H152"/>
  <c r="H56" i="4"/>
  <c r="H144" i="15"/>
  <c r="H146"/>
  <c r="H17" i="4"/>
  <c r="H13" s="1"/>
  <c r="N30" i="3"/>
  <c r="I25" i="4"/>
  <c r="N15" i="3"/>
  <c r="I6" i="2"/>
  <c r="I8" s="1"/>
  <c r="G159" i="15"/>
  <c r="G17" i="4"/>
  <c r="G13" s="1"/>
  <c r="D38" i="26"/>
  <c r="G31" i="14" s="1"/>
  <c r="D40" i="26"/>
  <c r="G33" i="14" s="1"/>
  <c r="D42" i="26"/>
  <c r="G35" i="14" s="1"/>
  <c r="D44" i="26"/>
  <c r="G37" i="14" s="1"/>
  <c r="D46" i="26"/>
  <c r="G39" i="14" s="1"/>
  <c r="D37" i="26"/>
  <c r="G30" i="14" s="1"/>
  <c r="D39" i="26"/>
  <c r="G32" i="14" s="1"/>
  <c r="D41" i="26"/>
  <c r="G34" i="14" s="1"/>
  <c r="D43" i="26"/>
  <c r="G36" i="14" s="1"/>
  <c r="D45" i="26"/>
  <c r="G38" i="14" s="1"/>
  <c r="Q14" i="3"/>
  <c r="R12"/>
  <c r="Q82"/>
  <c r="Q34" s="1"/>
  <c r="Q37" s="1"/>
  <c r="F37" i="14"/>
  <c r="C58" i="26"/>
  <c r="F33" i="14"/>
  <c r="C54" i="26"/>
  <c r="F38" i="14"/>
  <c r="C59" i="26"/>
  <c r="F34" i="14"/>
  <c r="C55" i="26"/>
  <c r="F30" i="14"/>
  <c r="C51" i="26"/>
  <c r="K34" i="2"/>
  <c r="I23" i="4"/>
  <c r="I26"/>
  <c r="I164" i="15" s="1"/>
  <c r="J38" i="2"/>
  <c r="J15" i="4" s="1"/>
  <c r="H119" i="26"/>
  <c r="H116"/>
  <c r="H113"/>
  <c r="H111"/>
  <c r="H115"/>
  <c r="K38" i="2"/>
  <c r="K62"/>
  <c r="P32" i="3" s="1"/>
  <c r="H12" i="14"/>
  <c r="H117" i="26"/>
  <c r="B20"/>
  <c r="M15" i="3"/>
  <c r="I86" i="2"/>
  <c r="I6" i="4"/>
  <c r="H118" i="26"/>
  <c r="H110"/>
  <c r="G155" i="15"/>
  <c r="D69" i="3"/>
  <c r="Q38" l="1"/>
  <c r="L78" i="4" s="1"/>
  <c r="L84" s="1"/>
  <c r="L85" s="1"/>
  <c r="S12" i="3"/>
  <c r="R14"/>
  <c r="R82"/>
  <c r="I24" i="4"/>
  <c r="I60"/>
  <c r="I71"/>
  <c r="H154" i="15"/>
  <c r="H57" i="4"/>
  <c r="H64" s="1"/>
  <c r="H51" s="1"/>
  <c r="H8" i="15"/>
  <c r="H157"/>
  <c r="H8" i="4"/>
  <c r="H155" i="15"/>
  <c r="R35" i="3"/>
  <c r="L10" i="4"/>
  <c r="L62"/>
  <c r="N33" i="2"/>
  <c r="M37"/>
  <c r="M63"/>
  <c r="M64"/>
  <c r="M76"/>
  <c r="M35"/>
  <c r="M39"/>
  <c r="M77"/>
  <c r="M48" i="4" s="1"/>
  <c r="M47" s="1"/>
  <c r="M35" s="1"/>
  <c r="R36" i="3"/>
  <c r="L61" i="4"/>
  <c r="P10" i="3"/>
  <c r="Q11"/>
  <c r="P13"/>
  <c r="F58" i="4"/>
  <c r="F69"/>
  <c r="E58"/>
  <c r="E69"/>
  <c r="P37" i="15"/>
  <c r="L37"/>
  <c r="H37"/>
  <c r="H127"/>
  <c r="O37"/>
  <c r="K37"/>
  <c r="H9"/>
  <c r="G127"/>
  <c r="G37"/>
  <c r="B14" i="26"/>
  <c r="B27"/>
  <c r="B32"/>
  <c r="B33"/>
  <c r="B25"/>
  <c r="B30"/>
  <c r="B31"/>
  <c r="B26"/>
  <c r="B28"/>
  <c r="B29"/>
  <c r="B24"/>
  <c r="B19"/>
  <c r="D22" i="3"/>
  <c r="D58" i="4"/>
  <c r="D57" s="1"/>
  <c r="D64" s="1"/>
  <c r="D69"/>
  <c r="D68" s="1"/>
  <c r="D75" s="1"/>
  <c r="C40" i="33"/>
  <c r="C44" i="11" s="1"/>
  <c r="D53" i="26"/>
  <c r="C44" i="33"/>
  <c r="C48" i="11" s="1"/>
  <c r="D57" i="26"/>
  <c r="D52"/>
  <c r="C39" i="33"/>
  <c r="C43" i="11" s="1"/>
  <c r="D56" i="26"/>
  <c r="C43" i="33"/>
  <c r="C47" i="11" s="1"/>
  <c r="D60" i="26"/>
  <c r="C47" i="33"/>
  <c r="C51" i="11" s="1"/>
  <c r="O23" i="3"/>
  <c r="O27"/>
  <c r="O30"/>
  <c r="J25" i="4"/>
  <c r="O15" i="3"/>
  <c r="J6" i="2"/>
  <c r="J8" s="1"/>
  <c r="F14" i="26"/>
  <c r="N81" i="2"/>
  <c r="O82"/>
  <c r="O22" i="3"/>
  <c r="O26"/>
  <c r="K36" i="2"/>
  <c r="I58" i="4"/>
  <c r="I156" i="15" s="1"/>
  <c r="I69" i="4"/>
  <c r="I67"/>
  <c r="I137" i="15"/>
  <c r="I139"/>
  <c r="I136"/>
  <c r="I138"/>
  <c r="G13" i="26"/>
  <c r="G15"/>
  <c r="K15" i="4"/>
  <c r="H5"/>
  <c r="G27"/>
  <c r="J86" i="2"/>
  <c r="J26" i="4"/>
  <c r="J164" i="15" s="1"/>
  <c r="J6" i="4"/>
  <c r="H133" i="15"/>
  <c r="D68" i="3"/>
  <c r="G69"/>
  <c r="H124" i="26"/>
  <c r="H135" s="1"/>
  <c r="H68" i="33" s="1"/>
  <c r="H126" i="26"/>
  <c r="H128"/>
  <c r="H130"/>
  <c r="H132"/>
  <c r="H121"/>
  <c r="H125"/>
  <c r="H127"/>
  <c r="H129"/>
  <c r="H131"/>
  <c r="H133"/>
  <c r="I4" i="4"/>
  <c r="J16"/>
  <c r="I20"/>
  <c r="I21"/>
  <c r="C38" i="33"/>
  <c r="C42" i="11" s="1"/>
  <c r="C62" i="26"/>
  <c r="C49" i="33" s="1"/>
  <c r="C53" i="11" s="1"/>
  <c r="D51" i="26"/>
  <c r="C66"/>
  <c r="C42" i="33"/>
  <c r="C46" i="11" s="1"/>
  <c r="D55" i="26"/>
  <c r="C46" i="33"/>
  <c r="C50" i="11" s="1"/>
  <c r="D59" i="26"/>
  <c r="D54"/>
  <c r="C69"/>
  <c r="C41" i="33"/>
  <c r="C45" i="11" s="1"/>
  <c r="D58" i="26"/>
  <c r="C45" i="33"/>
  <c r="C49" i="11" s="1"/>
  <c r="K55" i="4"/>
  <c r="K66" s="1"/>
  <c r="K153" i="15"/>
  <c r="K7" i="4"/>
  <c r="E32"/>
  <c r="E33"/>
  <c r="E34" s="1"/>
  <c r="E37" i="26"/>
  <c r="H30" i="14" s="1"/>
  <c r="E39" i="26"/>
  <c r="H32" i="14" s="1"/>
  <c r="E41" i="26"/>
  <c r="H34" i="14" s="1"/>
  <c r="E43" i="26"/>
  <c r="H36" i="14" s="1"/>
  <c r="E45" i="26"/>
  <c r="H38" i="14" s="1"/>
  <c r="E38" i="26"/>
  <c r="H31" i="14" s="1"/>
  <c r="E40" i="26"/>
  <c r="H33" i="14" s="1"/>
  <c r="E42" i="26"/>
  <c r="H35" i="14" s="1"/>
  <c r="E44" i="26"/>
  <c r="H37" i="14" s="1"/>
  <c r="E46" i="26"/>
  <c r="H39" i="14" s="1"/>
  <c r="K63" i="4"/>
  <c r="K158" i="15"/>
  <c r="H22" i="14"/>
  <c r="H10" i="26"/>
  <c r="H12"/>
  <c r="J54" i="4"/>
  <c r="J65"/>
  <c r="G58"/>
  <c r="G69"/>
  <c r="N37" i="15"/>
  <c r="J37"/>
  <c r="F37"/>
  <c r="G9"/>
  <c r="F127"/>
  <c r="Q37"/>
  <c r="M37"/>
  <c r="I127"/>
  <c r="I37"/>
  <c r="F9"/>
  <c r="E127"/>
  <c r="E37"/>
  <c r="G15" i="3"/>
  <c r="D65"/>
  <c r="G65"/>
  <c r="K7" i="2"/>
  <c r="L9"/>
  <c r="K22"/>
  <c r="P21" i="3" s="1"/>
  <c r="K60" i="2"/>
  <c r="K56"/>
  <c r="K51"/>
  <c r="K23" i="4" s="1"/>
  <c r="K44" i="2"/>
  <c r="P29" i="3" s="1"/>
  <c r="K29" i="2"/>
  <c r="K23"/>
  <c r="K11"/>
  <c r="K17"/>
  <c r="K58"/>
  <c r="K26" i="4" s="1"/>
  <c r="K164" i="15" s="1"/>
  <c r="K54" i="2"/>
  <c r="K47"/>
  <c r="K41"/>
  <c r="P28" i="3" s="1"/>
  <c r="K31" i="2"/>
  <c r="K25"/>
  <c r="K6" i="4" s="1"/>
  <c r="K20" i="2"/>
  <c r="K27"/>
  <c r="K14"/>
  <c r="K49"/>
  <c r="K90"/>
  <c r="K93"/>
  <c r="K95"/>
  <c r="K97"/>
  <c r="P42" i="3" s="1"/>
  <c r="K88" i="2"/>
  <c r="K86" s="1"/>
  <c r="F16" i="26"/>
  <c r="F18" s="1"/>
  <c r="F20" s="1"/>
  <c r="F17"/>
  <c r="F19" s="1"/>
  <c r="H7" i="15"/>
  <c r="H29"/>
  <c r="H31"/>
  <c r="H33"/>
  <c r="H68" i="4"/>
  <c r="H75" s="1"/>
  <c r="H28" i="15"/>
  <c r="H30"/>
  <c r="H32"/>
  <c r="H34"/>
  <c r="F32" i="4"/>
  <c r="F33"/>
  <c r="F34" s="1"/>
  <c r="R34" i="3"/>
  <c r="R37" s="1"/>
  <c r="M126" i="2"/>
  <c r="I56" i="4"/>
  <c r="I144" i="15"/>
  <c r="I146"/>
  <c r="I143"/>
  <c r="I145"/>
  <c r="I152"/>
  <c r="H159"/>
  <c r="L34" i="2"/>
  <c r="H27" i="4"/>
  <c r="O31" i="3"/>
  <c r="J23" i="4"/>
  <c r="H128" i="15"/>
  <c r="C74" i="26" l="1"/>
  <c r="I133" i="15"/>
  <c r="H28" i="4"/>
  <c r="H29"/>
  <c r="H30" s="1"/>
  <c r="H31"/>
  <c r="I57"/>
  <c r="I64" s="1"/>
  <c r="I51" s="1"/>
  <c r="I8" i="15"/>
  <c r="I157"/>
  <c r="I154"/>
  <c r="I8" i="4"/>
  <c r="R38" i="3"/>
  <c r="M78" i="4" s="1"/>
  <c r="M84" s="1"/>
  <c r="M85" s="1"/>
  <c r="F38" i="26"/>
  <c r="I31" i="14" s="1"/>
  <c r="F40" i="26"/>
  <c r="I33" i="14" s="1"/>
  <c r="F42" i="26"/>
  <c r="I35" i="14" s="1"/>
  <c r="F44" i="26"/>
  <c r="I37" i="14" s="1"/>
  <c r="F46" i="26"/>
  <c r="I39" i="14" s="1"/>
  <c r="F37" i="26"/>
  <c r="I30" i="14" s="1"/>
  <c r="F39" i="26"/>
  <c r="I32" i="14" s="1"/>
  <c r="F41" i="26"/>
  <c r="I34" i="14" s="1"/>
  <c r="F43" i="26"/>
  <c r="I36" i="14" s="1"/>
  <c r="F45" i="26"/>
  <c r="I38" i="14" s="1"/>
  <c r="P23" i="3"/>
  <c r="P27"/>
  <c r="K20" i="4"/>
  <c r="K21"/>
  <c r="L7" i="2"/>
  <c r="L22"/>
  <c r="Q21" i="3" s="1"/>
  <c r="L31" i="2"/>
  <c r="L29"/>
  <c r="L23"/>
  <c r="L20"/>
  <c r="L11"/>
  <c r="L27"/>
  <c r="L14"/>
  <c r="L25"/>
  <c r="L60"/>
  <c r="L58"/>
  <c r="L56"/>
  <c r="L54"/>
  <c r="L51"/>
  <c r="L47"/>
  <c r="L44"/>
  <c r="Q29" i="3" s="1"/>
  <c r="L41" i="2"/>
  <c r="Q28" i="3" s="1"/>
  <c r="L49" i="2"/>
  <c r="L17"/>
  <c r="M9"/>
  <c r="L90"/>
  <c r="L93"/>
  <c r="L95"/>
  <c r="L97"/>
  <c r="Q42" i="3" s="1"/>
  <c r="L88" i="2"/>
  <c r="L86" s="1"/>
  <c r="G156" i="15"/>
  <c r="G57" i="4"/>
  <c r="G64" s="1"/>
  <c r="G51" s="1"/>
  <c r="J143" i="15"/>
  <c r="J145"/>
  <c r="J152"/>
  <c r="J56" i="4"/>
  <c r="J155" i="15" s="1"/>
  <c r="J144"/>
  <c r="J146"/>
  <c r="D41" i="33"/>
  <c r="D45" i="11" s="1"/>
  <c r="E54" i="26"/>
  <c r="E59"/>
  <c r="D46" i="33"/>
  <c r="D50" i="11" s="1"/>
  <c r="E51" i="26"/>
  <c r="D38" i="33"/>
  <c r="D42" i="11" s="1"/>
  <c r="D62" i="26"/>
  <c r="D49" i="33" s="1"/>
  <c r="D53" i="11" s="1"/>
  <c r="I159" i="15"/>
  <c r="I17" i="4"/>
  <c r="I13" s="1"/>
  <c r="I5"/>
  <c r="I2"/>
  <c r="I27" s="1"/>
  <c r="J4"/>
  <c r="G17" i="26"/>
  <c r="G19" s="1"/>
  <c r="G16"/>
  <c r="I68" i="4"/>
  <c r="I75" s="1"/>
  <c r="I28" i="15"/>
  <c r="I30"/>
  <c r="I32"/>
  <c r="I34"/>
  <c r="I7"/>
  <c r="I29"/>
  <c r="I31"/>
  <c r="I33"/>
  <c r="O81" i="2"/>
  <c r="P82"/>
  <c r="J24" i="4"/>
  <c r="J60"/>
  <c r="J71"/>
  <c r="D47" i="33"/>
  <c r="D51" i="11" s="1"/>
  <c r="E60" i="26"/>
  <c r="D75"/>
  <c r="D39" i="33"/>
  <c r="D43" i="11" s="1"/>
  <c r="E52" i="26"/>
  <c r="E57"/>
  <c r="D44" i="33"/>
  <c r="D48" i="11" s="1"/>
  <c r="B38" i="26"/>
  <c r="E31" i="14" s="1"/>
  <c r="B40" i="26"/>
  <c r="E33" i="14" s="1"/>
  <c r="B42" i="26"/>
  <c r="E35" i="14" s="1"/>
  <c r="B44" i="26"/>
  <c r="E37" i="14" s="1"/>
  <c r="B46" i="26"/>
  <c r="E39" i="14" s="1"/>
  <c r="B37" i="26"/>
  <c r="E30" i="14" s="1"/>
  <c r="B39" i="26"/>
  <c r="E32" i="14" s="1"/>
  <c r="B41" i="26"/>
  <c r="E34" i="14" s="1"/>
  <c r="B43" i="26"/>
  <c r="E36" i="14" s="1"/>
  <c r="B45" i="26"/>
  <c r="E38" i="14" s="1"/>
  <c r="E133" i="15"/>
  <c r="E68" i="4"/>
  <c r="E75" s="1"/>
  <c r="F133" i="15"/>
  <c r="F68" i="4"/>
  <c r="F75" s="1"/>
  <c r="K54"/>
  <c r="K65"/>
  <c r="S35" i="3"/>
  <c r="M10" i="4"/>
  <c r="M62"/>
  <c r="S14" i="3"/>
  <c r="T12"/>
  <c r="S82"/>
  <c r="S34" s="1"/>
  <c r="S37" s="1"/>
  <c r="P31"/>
  <c r="C73" i="26"/>
  <c r="C70"/>
  <c r="L62" i="2"/>
  <c r="Q32" i="3" s="1"/>
  <c r="C71" i="26"/>
  <c r="C68"/>
  <c r="I9" i="15"/>
  <c r="M34" i="2"/>
  <c r="J20" i="4"/>
  <c r="J21"/>
  <c r="K4"/>
  <c r="P30" i="3"/>
  <c r="K25" i="4"/>
  <c r="P15" i="3"/>
  <c r="K6" i="2"/>
  <c r="K8" s="1"/>
  <c r="G133" i="15"/>
  <c r="G68" i="4"/>
  <c r="G75" s="1"/>
  <c r="J136" i="15"/>
  <c r="J138"/>
  <c r="J67" i="4"/>
  <c r="J137" i="15"/>
  <c r="J139"/>
  <c r="H13" i="26"/>
  <c r="H15"/>
  <c r="D45" i="33"/>
  <c r="D49" i="11" s="1"/>
  <c r="E58" i="26"/>
  <c r="E55"/>
  <c r="D42" i="33"/>
  <c r="D46" i="11" s="1"/>
  <c r="C80" i="26"/>
  <c r="G68" i="3"/>
  <c r="H32"/>
  <c r="G28" i="4"/>
  <c r="G29"/>
  <c r="G30" s="1"/>
  <c r="G31"/>
  <c r="K16"/>
  <c r="G14" i="26"/>
  <c r="G18"/>
  <c r="G20" s="1"/>
  <c r="P22" i="3"/>
  <c r="P26"/>
  <c r="L36" i="2"/>
  <c r="J58" i="4"/>
  <c r="J156" i="15" s="1"/>
  <c r="J69" i="4"/>
  <c r="J133" i="15" s="1"/>
  <c r="N126" i="2"/>
  <c r="D43" i="33"/>
  <c r="D47" i="11" s="1"/>
  <c r="E56" i="26"/>
  <c r="D71"/>
  <c r="E53"/>
  <c r="D68"/>
  <c r="D40" i="33"/>
  <c r="D44" i="11" s="1"/>
  <c r="G22" i="3"/>
  <c r="D76"/>
  <c r="D57"/>
  <c r="E156" i="15"/>
  <c r="E57" i="4"/>
  <c r="E64" s="1"/>
  <c r="E51" s="1"/>
  <c r="F156" i="15"/>
  <c r="F57" i="4"/>
  <c r="F64" s="1"/>
  <c r="F51" s="1"/>
  <c r="Q10" i="3"/>
  <c r="R11"/>
  <c r="Q13"/>
  <c r="L158" i="15"/>
  <c r="L63" i="4"/>
  <c r="S36" i="3"/>
  <c r="M61" i="4"/>
  <c r="N35" i="2"/>
  <c r="N39"/>
  <c r="N77"/>
  <c r="N48" i="4" s="1"/>
  <c r="N47" s="1"/>
  <c r="N35" s="1"/>
  <c r="O33" i="2"/>
  <c r="N37"/>
  <c r="N63"/>
  <c r="N64"/>
  <c r="N76"/>
  <c r="L55" i="4"/>
  <c r="L66" s="1"/>
  <c r="L153" i="15"/>
  <c r="L7" i="4"/>
  <c r="I155" i="15"/>
  <c r="L38" i="2"/>
  <c r="C75" i="26"/>
  <c r="C67"/>
  <c r="C72"/>
  <c r="M38" i="2"/>
  <c r="M62"/>
  <c r="R32" i="3" s="1"/>
  <c r="I128" i="15"/>
  <c r="D70" i="26" l="1"/>
  <c r="D73"/>
  <c r="D72"/>
  <c r="D67"/>
  <c r="C84"/>
  <c r="L15" i="4"/>
  <c r="L16" s="1"/>
  <c r="M63"/>
  <c r="M158" i="15"/>
  <c r="L54" i="4"/>
  <c r="L65"/>
  <c r="E40" i="33"/>
  <c r="E44" i="11" s="1"/>
  <c r="F53" i="26"/>
  <c r="F56"/>
  <c r="E43" i="33"/>
  <c r="E47" i="11" s="1"/>
  <c r="S38" i="3"/>
  <c r="N78" i="4" s="1"/>
  <c r="N84" s="1"/>
  <c r="N85" s="1"/>
  <c r="G32"/>
  <c r="G33"/>
  <c r="G34" s="1"/>
  <c r="E42" i="33"/>
  <c r="E46" i="11" s="1"/>
  <c r="F55" i="26"/>
  <c r="F58"/>
  <c r="E45" i="33"/>
  <c r="E49" i="11" s="1"/>
  <c r="H16" i="26"/>
  <c r="H17"/>
  <c r="H19" s="1"/>
  <c r="J7" i="15"/>
  <c r="J29"/>
  <c r="J31"/>
  <c r="J33"/>
  <c r="J68" i="4"/>
  <c r="J75" s="1"/>
  <c r="J28" i="15"/>
  <c r="J30"/>
  <c r="J32"/>
  <c r="J34"/>
  <c r="J9"/>
  <c r="K2" i="4"/>
  <c r="J159" i="15"/>
  <c r="J17" i="4"/>
  <c r="J13" s="1"/>
  <c r="M55"/>
  <c r="M66" s="1"/>
  <c r="M153" i="15"/>
  <c r="M7" i="4"/>
  <c r="K67"/>
  <c r="K137" i="15"/>
  <c r="K139"/>
  <c r="K136"/>
  <c r="K138"/>
  <c r="E44" i="33"/>
  <c r="E48" i="11" s="1"/>
  <c r="F57" i="26"/>
  <c r="F52"/>
  <c r="E39" i="33"/>
  <c r="E43" i="11" s="1"/>
  <c r="P81" i="2"/>
  <c r="Q82"/>
  <c r="Q81" s="1"/>
  <c r="G37" i="26"/>
  <c r="J30" i="14" s="1"/>
  <c r="G39" i="26"/>
  <c r="J32" i="14" s="1"/>
  <c r="G41" i="26"/>
  <c r="J34" i="14" s="1"/>
  <c r="G43" i="26"/>
  <c r="J36" i="14" s="1"/>
  <c r="G45" i="26"/>
  <c r="J38" i="14" s="1"/>
  <c r="G38" i="26"/>
  <c r="J31" i="14" s="1"/>
  <c r="G40" i="26"/>
  <c r="J33" i="14" s="1"/>
  <c r="G42" i="26"/>
  <c r="J35" i="14" s="1"/>
  <c r="G44" i="26"/>
  <c r="J37" i="14" s="1"/>
  <c r="G46" i="26"/>
  <c r="J39" i="14" s="1"/>
  <c r="J5" i="4"/>
  <c r="J2"/>
  <c r="J27" s="1"/>
  <c r="E38" i="33"/>
  <c r="E42" i="11" s="1"/>
  <c r="E62" i="26"/>
  <c r="E49" i="33" s="1"/>
  <c r="E53" i="11" s="1"/>
  <c r="F51" i="26"/>
  <c r="E66"/>
  <c r="M7" i="2"/>
  <c r="N9"/>
  <c r="N34" s="1"/>
  <c r="M22"/>
  <c r="R21" i="3" s="1"/>
  <c r="M58" i="2"/>
  <c r="M54"/>
  <c r="M47"/>
  <c r="M41"/>
  <c r="R28" i="3" s="1"/>
  <c r="M31" i="2"/>
  <c r="M25"/>
  <c r="M20"/>
  <c r="M27"/>
  <c r="M14"/>
  <c r="M49"/>
  <c r="M60"/>
  <c r="M56"/>
  <c r="M51"/>
  <c r="M44"/>
  <c r="R29" i="3" s="1"/>
  <c r="M29" i="2"/>
  <c r="M23"/>
  <c r="M11"/>
  <c r="M17"/>
  <c r="M93"/>
  <c r="M95"/>
  <c r="M97"/>
  <c r="R42" i="3" s="1"/>
  <c r="M88" i="2"/>
  <c r="M90"/>
  <c r="Q15" i="3"/>
  <c r="L6" i="2"/>
  <c r="L8" s="1"/>
  <c r="K17" i="4"/>
  <c r="K13" s="1"/>
  <c r="H32"/>
  <c r="H33"/>
  <c r="H34" s="1"/>
  <c r="C87" i="26"/>
  <c r="C83"/>
  <c r="C77"/>
  <c r="C86"/>
  <c r="C82"/>
  <c r="D74"/>
  <c r="D69"/>
  <c r="L23" i="4"/>
  <c r="P33" i="2"/>
  <c r="O37"/>
  <c r="O63"/>
  <c r="O64"/>
  <c r="O76"/>
  <c r="O35"/>
  <c r="O39"/>
  <c r="O77"/>
  <c r="O48" i="4" s="1"/>
  <c r="O47" s="1"/>
  <c r="O35" s="1"/>
  <c r="T36" i="3"/>
  <c r="N61" i="4"/>
  <c r="R10" i="3"/>
  <c r="S11"/>
  <c r="R13"/>
  <c r="H10"/>
  <c r="G57"/>
  <c r="D16"/>
  <c r="Q22"/>
  <c r="Q26"/>
  <c r="M36" i="2"/>
  <c r="K58" i="4"/>
  <c r="K156" i="15" s="1"/>
  <c r="K69" i="4"/>
  <c r="K133" i="15" s="1"/>
  <c r="H14" i="26"/>
  <c r="H18"/>
  <c r="H20" s="1"/>
  <c r="K24" i="4"/>
  <c r="K60"/>
  <c r="K71"/>
  <c r="U12" i="3"/>
  <c r="T14"/>
  <c r="T82"/>
  <c r="T35"/>
  <c r="N10" i="4"/>
  <c r="N62"/>
  <c r="K56"/>
  <c r="K144" i="15"/>
  <c r="K146"/>
  <c r="K143"/>
  <c r="K145"/>
  <c r="K152"/>
  <c r="F60" i="26"/>
  <c r="E75"/>
  <c r="E47" i="33"/>
  <c r="E51" i="11" s="1"/>
  <c r="J128" i="15"/>
  <c r="J127"/>
  <c r="T34" i="3"/>
  <c r="T37" s="1"/>
  <c r="O126" i="2"/>
  <c r="I28" i="4"/>
  <c r="I29"/>
  <c r="I30" s="1"/>
  <c r="I31"/>
  <c r="E46" i="33"/>
  <c r="E50" i="11" s="1"/>
  <c r="F59" i="26"/>
  <c r="E74"/>
  <c r="F54"/>
  <c r="E69"/>
  <c r="E41" i="33"/>
  <c r="E45" i="11" s="1"/>
  <c r="J154" i="15"/>
  <c r="J57" i="4"/>
  <c r="J64" s="1"/>
  <c r="J51" s="1"/>
  <c r="J8" i="15"/>
  <c r="J157"/>
  <c r="J8" i="4"/>
  <c r="Q23" i="3"/>
  <c r="Q27"/>
  <c r="Q30"/>
  <c r="L25" i="4"/>
  <c r="N62" i="2"/>
  <c r="S32" i="3" s="1"/>
  <c r="N38" i="2"/>
  <c r="C89" i="26"/>
  <c r="C85"/>
  <c r="C81"/>
  <c r="C88"/>
  <c r="D66"/>
  <c r="L26" i="4"/>
  <c r="L164" i="15" s="1"/>
  <c r="L6" i="4"/>
  <c r="Q31" i="3"/>
  <c r="C91" i="26" l="1"/>
  <c r="C51" i="33" s="1"/>
  <c r="C55" i="11" s="1"/>
  <c r="L4" i="4"/>
  <c r="F41" i="33"/>
  <c r="G54" i="26"/>
  <c r="G59"/>
  <c r="F46" i="33"/>
  <c r="I32" i="4"/>
  <c r="I33"/>
  <c r="I34" s="1"/>
  <c r="F47" i="33"/>
  <c r="G60" i="26"/>
  <c r="K57" i="4"/>
  <c r="K64" s="1"/>
  <c r="K51" s="1"/>
  <c r="K8" i="15"/>
  <c r="K157"/>
  <c r="K154"/>
  <c r="K155"/>
  <c r="K8" i="4"/>
  <c r="N55"/>
  <c r="N66" s="1"/>
  <c r="N153" i="15"/>
  <c r="N7" i="4"/>
  <c r="U14" i="3"/>
  <c r="V12"/>
  <c r="U82"/>
  <c r="R22"/>
  <c r="R26"/>
  <c r="N36" i="2"/>
  <c r="L58" i="4"/>
  <c r="L156" i="15" s="1"/>
  <c r="L69" i="4"/>
  <c r="M54"/>
  <c r="M65"/>
  <c r="L20"/>
  <c r="L21"/>
  <c r="R30" i="3"/>
  <c r="M25" i="4"/>
  <c r="R15" i="3"/>
  <c r="M6" i="2"/>
  <c r="M8" s="1"/>
  <c r="G51" i="26"/>
  <c r="F38" i="33"/>
  <c r="F62" i="26"/>
  <c r="F49" i="33" s="1"/>
  <c r="U34" i="3"/>
  <c r="U37" s="1"/>
  <c r="P126" i="2"/>
  <c r="L143" i="15"/>
  <c r="L145"/>
  <c r="L152"/>
  <c r="L56" i="4"/>
  <c r="L144" i="15"/>
  <c r="L146"/>
  <c r="M15" i="4"/>
  <c r="K159" i="15"/>
  <c r="M86" i="2"/>
  <c r="M6" i="4"/>
  <c r="E67" i="26"/>
  <c r="E72"/>
  <c r="K5" i="4"/>
  <c r="E73" i="26"/>
  <c r="E70"/>
  <c r="E71"/>
  <c r="E68"/>
  <c r="D77"/>
  <c r="D81"/>
  <c r="D83"/>
  <c r="D85"/>
  <c r="D87"/>
  <c r="D89"/>
  <c r="D80"/>
  <c r="D82"/>
  <c r="D84"/>
  <c r="D86"/>
  <c r="D88"/>
  <c r="L24" i="4"/>
  <c r="L60"/>
  <c r="L71"/>
  <c r="T38" i="3"/>
  <c r="O78" i="4" s="1"/>
  <c r="O84" s="1"/>
  <c r="O85" s="1"/>
  <c r="U35" i="3"/>
  <c r="O10" i="4"/>
  <c r="O62"/>
  <c r="K128" i="15"/>
  <c r="K127"/>
  <c r="G16" i="3"/>
  <c r="D56"/>
  <c r="D129" i="2"/>
  <c r="I16" i="3" s="1"/>
  <c r="F129" i="2"/>
  <c r="K16" i="3" s="1"/>
  <c r="H129" i="2"/>
  <c r="M16" i="3" s="1"/>
  <c r="J129" i="2"/>
  <c r="O16" i="3" s="1"/>
  <c r="L129" i="2"/>
  <c r="Q16" i="3" s="1"/>
  <c r="N129" i="2"/>
  <c r="S16" i="3" s="1"/>
  <c r="P129" i="2"/>
  <c r="U16" i="3" s="1"/>
  <c r="E129" i="2"/>
  <c r="J16" i="3" s="1"/>
  <c r="G129" i="2"/>
  <c r="L16" i="3" s="1"/>
  <c r="I129" i="2"/>
  <c r="N16" i="3" s="1"/>
  <c r="K129" i="2"/>
  <c r="P16" i="3" s="1"/>
  <c r="M129" i="2"/>
  <c r="R16" i="3" s="1"/>
  <c r="O129" i="2"/>
  <c r="T16" i="3" s="1"/>
  <c r="Q129" i="2"/>
  <c r="V16" i="3" s="1"/>
  <c r="S10"/>
  <c r="T11"/>
  <c r="S13"/>
  <c r="N158" i="15"/>
  <c r="N63" i="4"/>
  <c r="U36" i="3"/>
  <c r="O61" i="4"/>
  <c r="P35" i="2"/>
  <c r="P39"/>
  <c r="P77"/>
  <c r="P48" i="4" s="1"/>
  <c r="P47" s="1"/>
  <c r="P35" s="1"/>
  <c r="Q33" i="2"/>
  <c r="P37"/>
  <c r="P63"/>
  <c r="P64"/>
  <c r="P76"/>
  <c r="R23" i="3"/>
  <c r="R27"/>
  <c r="N7" i="2"/>
  <c r="N22"/>
  <c r="S21" i="3" s="1"/>
  <c r="N25" i="2"/>
  <c r="N6" i="4" s="1"/>
  <c r="N60" i="2"/>
  <c r="N58"/>
  <c r="N26" i="4" s="1"/>
  <c r="N164" i="15" s="1"/>
  <c r="N56" i="2"/>
  <c r="N54"/>
  <c r="N51"/>
  <c r="N23" i="4" s="1"/>
  <c r="N47" i="2"/>
  <c r="N44"/>
  <c r="S29" i="3" s="1"/>
  <c r="N41" i="2"/>
  <c r="S28" i="3" s="1"/>
  <c r="N49" i="2"/>
  <c r="N17"/>
  <c r="O9"/>
  <c r="O34" s="1"/>
  <c r="N31"/>
  <c r="N29"/>
  <c r="N23"/>
  <c r="N20"/>
  <c r="N11"/>
  <c r="N27"/>
  <c r="N14"/>
  <c r="N93"/>
  <c r="N95"/>
  <c r="N97"/>
  <c r="S42" i="3" s="1"/>
  <c r="N88" i="2"/>
  <c r="N90"/>
  <c r="E80" i="26"/>
  <c r="E82"/>
  <c r="E84"/>
  <c r="E86"/>
  <c r="E88"/>
  <c r="E77"/>
  <c r="E81"/>
  <c r="E83"/>
  <c r="E85"/>
  <c r="E87"/>
  <c r="E89"/>
  <c r="J28" i="4"/>
  <c r="J29"/>
  <c r="J30" s="1"/>
  <c r="J31"/>
  <c r="Q126" i="2"/>
  <c r="F39" i="33"/>
  <c r="G52" i="26"/>
  <c r="F67"/>
  <c r="G57"/>
  <c r="F72"/>
  <c r="F44" i="33"/>
  <c r="K68" i="4"/>
  <c r="K75" s="1"/>
  <c r="K28" i="15"/>
  <c r="K30"/>
  <c r="K32"/>
  <c r="K34"/>
  <c r="K7"/>
  <c r="K29"/>
  <c r="K31"/>
  <c r="K33"/>
  <c r="K9"/>
  <c r="H38" i="26"/>
  <c r="K31" i="14" s="1"/>
  <c r="H40" i="26"/>
  <c r="K33" i="14" s="1"/>
  <c r="H42" i="26"/>
  <c r="K35" i="14" s="1"/>
  <c r="H44" i="26"/>
  <c r="K37" i="14" s="1"/>
  <c r="H46" i="26"/>
  <c r="K39" i="14" s="1"/>
  <c r="H37" i="26"/>
  <c r="K30" i="14" s="1"/>
  <c r="H39" i="26"/>
  <c r="K32" i="14" s="1"/>
  <c r="H41" i="26"/>
  <c r="K34" i="14" s="1"/>
  <c r="H43" i="26"/>
  <c r="K36" i="14" s="1"/>
  <c r="H45" i="26"/>
  <c r="K38" i="14" s="1"/>
  <c r="F45" i="33"/>
  <c r="G58" i="26"/>
  <c r="F73"/>
  <c r="G55"/>
  <c r="F70"/>
  <c r="F42" i="33"/>
  <c r="F43"/>
  <c r="G56" i="26"/>
  <c r="F71"/>
  <c r="G53"/>
  <c r="F68"/>
  <c r="F40" i="33"/>
  <c r="L136" i="15"/>
  <c r="L138"/>
  <c r="L67" i="4"/>
  <c r="L137" i="15"/>
  <c r="L139"/>
  <c r="O38" i="2"/>
  <c r="O62"/>
  <c r="T32" i="3" s="1"/>
  <c r="R31"/>
  <c r="M23" i="4"/>
  <c r="M26"/>
  <c r="M164" i="15" s="1"/>
  <c r="K27" i="4"/>
  <c r="K28" l="1"/>
  <c r="K29"/>
  <c r="K30" s="1"/>
  <c r="K31"/>
  <c r="L7" i="15"/>
  <c r="L29"/>
  <c r="L31"/>
  <c r="L33"/>
  <c r="L68" i="4"/>
  <c r="L75" s="1"/>
  <c r="L28" i="15"/>
  <c r="L30"/>
  <c r="L32"/>
  <c r="L34"/>
  <c r="L9"/>
  <c r="G40" i="33"/>
  <c r="H53" i="26"/>
  <c r="H56"/>
  <c r="G43" i="33"/>
  <c r="G42"/>
  <c r="H55" i="26"/>
  <c r="H58"/>
  <c r="G45" i="33"/>
  <c r="G44"/>
  <c r="H57" i="26"/>
  <c r="H52"/>
  <c r="G39" i="33"/>
  <c r="S23" i="3"/>
  <c r="S27"/>
  <c r="S30"/>
  <c r="N25" i="4"/>
  <c r="N4"/>
  <c r="S15" i="3"/>
  <c r="N6" i="2"/>
  <c r="N8" s="1"/>
  <c r="O63" i="4"/>
  <c r="O158" i="15"/>
  <c r="N54" i="4"/>
  <c r="N65"/>
  <c r="O55"/>
  <c r="O66" s="1"/>
  <c r="O153" i="15"/>
  <c r="O7" i="4"/>
  <c r="L128" i="15"/>
  <c r="L127"/>
  <c r="M4" i="4"/>
  <c r="L154" i="15"/>
  <c r="L57" i="4"/>
  <c r="L64" s="1"/>
  <c r="L51" s="1"/>
  <c r="L8" i="15"/>
  <c r="L157"/>
  <c r="L8" i="4"/>
  <c r="U38" i="3"/>
  <c r="P78" i="4" s="1"/>
  <c r="P84" s="1"/>
  <c r="P85" s="1"/>
  <c r="G38" i="33"/>
  <c r="G62" i="26"/>
  <c r="G49" i="33" s="1"/>
  <c r="H51" i="26"/>
  <c r="G66"/>
  <c r="L159" i="15"/>
  <c r="L17" i="4"/>
  <c r="L13" s="1"/>
  <c r="M56"/>
  <c r="M144" i="15"/>
  <c r="M146"/>
  <c r="M143"/>
  <c r="M145"/>
  <c r="M152"/>
  <c r="L5" i="4"/>
  <c r="L2"/>
  <c r="L27" s="1"/>
  <c r="E91" i="26"/>
  <c r="E51" i="33" s="1"/>
  <c r="E55" i="11" s="1"/>
  <c r="N86" i="2"/>
  <c r="F75" i="26"/>
  <c r="F74"/>
  <c r="F69"/>
  <c r="M20" i="4"/>
  <c r="M21"/>
  <c r="J32"/>
  <c r="J33"/>
  <c r="J34" s="1"/>
  <c r="O7" i="2"/>
  <c r="P9"/>
  <c r="P34" s="1"/>
  <c r="O22"/>
  <c r="T21" i="3" s="1"/>
  <c r="O60" i="2"/>
  <c r="O56"/>
  <c r="O51"/>
  <c r="O44"/>
  <c r="T29" i="3" s="1"/>
  <c r="O29" i="2"/>
  <c r="O23"/>
  <c r="O11"/>
  <c r="O17"/>
  <c r="O58"/>
  <c r="O54"/>
  <c r="O47"/>
  <c r="O41"/>
  <c r="T28" i="3" s="1"/>
  <c r="O31" i="2"/>
  <c r="O25"/>
  <c r="O20"/>
  <c r="O27"/>
  <c r="O14"/>
  <c r="O49"/>
  <c r="O95"/>
  <c r="O97"/>
  <c r="T42" i="3" s="1"/>
  <c r="O88" i="2"/>
  <c r="O90"/>
  <c r="O93"/>
  <c r="N20" i="4"/>
  <c r="N21"/>
  <c r="Q37" i="2"/>
  <c r="Q63"/>
  <c r="Q64"/>
  <c r="Q76"/>
  <c r="Q35"/>
  <c r="Q39"/>
  <c r="Q77"/>
  <c r="Q48" i="4" s="1"/>
  <c r="Q47" s="1"/>
  <c r="Q35" s="1"/>
  <c r="V36" i="3"/>
  <c r="P61" i="4"/>
  <c r="T10" i="3"/>
  <c r="U11"/>
  <c r="T13"/>
  <c r="G56"/>
  <c r="H15"/>
  <c r="V35"/>
  <c r="P10" i="4"/>
  <c r="P62"/>
  <c r="M16"/>
  <c r="M24"/>
  <c r="M60"/>
  <c r="M71"/>
  <c r="M67"/>
  <c r="M137" i="15"/>
  <c r="M139"/>
  <c r="M136"/>
  <c r="M138"/>
  <c r="S22" i="3"/>
  <c r="S26"/>
  <c r="O36" i="2"/>
  <c r="M58" i="4"/>
  <c r="M156" i="15" s="1"/>
  <c r="M69" i="4"/>
  <c r="V14" i="3"/>
  <c r="V82"/>
  <c r="V34" s="1"/>
  <c r="V37" s="1"/>
  <c r="H60" i="26"/>
  <c r="G47" i="33"/>
  <c r="G46"/>
  <c r="H59" i="26"/>
  <c r="H54"/>
  <c r="G41" i="33"/>
  <c r="S31" i="3"/>
  <c r="P38" i="2"/>
  <c r="D91" i="26"/>
  <c r="D51" i="33" s="1"/>
  <c r="D55" i="11" s="1"/>
  <c r="N15" i="4"/>
  <c r="F66" i="26"/>
  <c r="L133" i="15"/>
  <c r="L155"/>
  <c r="P62" i="2" l="1"/>
  <c r="U32" i="3" s="1"/>
  <c r="G69" i="26"/>
  <c r="G74"/>
  <c r="G75"/>
  <c r="M133" i="15"/>
  <c r="N16" i="4"/>
  <c r="T22" i="3"/>
  <c r="T26"/>
  <c r="P36" i="2"/>
  <c r="N58" i="4"/>
  <c r="N156" i="15" s="1"/>
  <c r="N69" i="4"/>
  <c r="M128" i="15"/>
  <c r="M127"/>
  <c r="P55" i="4"/>
  <c r="P66" s="1"/>
  <c r="P153" i="15"/>
  <c r="P7" i="4"/>
  <c r="O54"/>
  <c r="O65"/>
  <c r="N17"/>
  <c r="N13" s="1"/>
  <c r="T30" i="3"/>
  <c r="O25" i="4"/>
  <c r="T15" i="3"/>
  <c r="O6" i="2"/>
  <c r="O8" s="1"/>
  <c r="M159" i="15"/>
  <c r="M17" i="4"/>
  <c r="M13" s="1"/>
  <c r="L28"/>
  <c r="L29"/>
  <c r="L30" s="1"/>
  <c r="L31"/>
  <c r="G80" i="26"/>
  <c r="G91" s="1"/>
  <c r="G51" i="33" s="1"/>
  <c r="G82" i="26"/>
  <c r="G84"/>
  <c r="G86"/>
  <c r="G88"/>
  <c r="G77"/>
  <c r="G81"/>
  <c r="G83"/>
  <c r="G85"/>
  <c r="G87"/>
  <c r="G89"/>
  <c r="M5" i="4"/>
  <c r="M2"/>
  <c r="M27" s="1"/>
  <c r="N136" i="15"/>
  <c r="N138"/>
  <c r="N67" i="4"/>
  <c r="N137" i="15"/>
  <c r="N139"/>
  <c r="N24" i="4"/>
  <c r="N60"/>
  <c r="N71"/>
  <c r="H39" i="33"/>
  <c r="H44"/>
  <c r="H45"/>
  <c r="H42"/>
  <c r="H43"/>
  <c r="H40"/>
  <c r="K32" i="4"/>
  <c r="K33"/>
  <c r="K34" s="1"/>
  <c r="O6"/>
  <c r="V38" i="3"/>
  <c r="Q78" i="4" s="1"/>
  <c r="Q84" s="1"/>
  <c r="Q85" s="1"/>
  <c r="F77" i="26"/>
  <c r="F81"/>
  <c r="F83"/>
  <c r="F85"/>
  <c r="F87"/>
  <c r="F89"/>
  <c r="F80"/>
  <c r="F91" s="1"/>
  <c r="F51" i="33" s="1"/>
  <c r="F82" i="26"/>
  <c r="F84"/>
  <c r="F86"/>
  <c r="F88"/>
  <c r="H41" i="33"/>
  <c r="H46"/>
  <c r="H47"/>
  <c r="M68" i="4"/>
  <c r="M75" s="1"/>
  <c r="M28" i="15"/>
  <c r="M30"/>
  <c r="M32"/>
  <c r="M34"/>
  <c r="M7"/>
  <c r="M29"/>
  <c r="M31"/>
  <c r="M33"/>
  <c r="M9"/>
  <c r="Q10" i="4"/>
  <c r="Q62"/>
  <c r="U10" i="3"/>
  <c r="V11"/>
  <c r="U13"/>
  <c r="P158" i="15"/>
  <c r="P63" i="4"/>
  <c r="Q61"/>
  <c r="T23" i="3"/>
  <c r="T27"/>
  <c r="P7" i="2"/>
  <c r="P22"/>
  <c r="U21" i="3" s="1"/>
  <c r="P31" i="2"/>
  <c r="P29"/>
  <c r="P23"/>
  <c r="P20"/>
  <c r="P11"/>
  <c r="P27"/>
  <c r="P14"/>
  <c r="P25"/>
  <c r="P6" i="4" s="1"/>
  <c r="P60" i="2"/>
  <c r="P58"/>
  <c r="P26" i="4" s="1"/>
  <c r="P164" i="15" s="1"/>
  <c r="P56" i="2"/>
  <c r="P54"/>
  <c r="P51"/>
  <c r="P47"/>
  <c r="P44"/>
  <c r="U29" i="3" s="1"/>
  <c r="P41" i="2"/>
  <c r="U28" i="3" s="1"/>
  <c r="P49" i="2"/>
  <c r="P17"/>
  <c r="Q9"/>
  <c r="P90"/>
  <c r="P93"/>
  <c r="P95"/>
  <c r="P97"/>
  <c r="U42" i="3" s="1"/>
  <c r="P88" i="2"/>
  <c r="P86" s="1"/>
  <c r="M57" i="4"/>
  <c r="M64" s="1"/>
  <c r="M51" s="1"/>
  <c r="M8" i="15"/>
  <c r="M157"/>
  <c r="M154"/>
  <c r="M8" i="4"/>
  <c r="H38" i="33"/>
  <c r="H62" i="26"/>
  <c r="H49" i="33" s="1"/>
  <c r="N143" i="15"/>
  <c r="N145"/>
  <c r="N152"/>
  <c r="N56" i="4"/>
  <c r="N159" i="15" s="1"/>
  <c r="N144"/>
  <c r="N146"/>
  <c r="N2" i="4"/>
  <c r="N27" s="1"/>
  <c r="P15"/>
  <c r="Q38" i="2"/>
  <c r="Q62"/>
  <c r="V32" i="3" s="1"/>
  <c r="O86" i="2"/>
  <c r="O26" i="4"/>
  <c r="O164" i="15" s="1"/>
  <c r="T31" i="3"/>
  <c r="O23" i="4"/>
  <c r="O15"/>
  <c r="M155" i="15"/>
  <c r="G67" i="26"/>
  <c r="G72"/>
  <c r="G73"/>
  <c r="G70"/>
  <c r="G71"/>
  <c r="G68"/>
  <c r="U31" i="3" l="1"/>
  <c r="U23"/>
  <c r="U27"/>
  <c r="U30"/>
  <c r="P25" i="4"/>
  <c r="O20"/>
  <c r="O21"/>
  <c r="P16"/>
  <c r="Q7" i="2"/>
  <c r="R9"/>
  <c r="S9" s="1"/>
  <c r="T9" s="1"/>
  <c r="U9" s="1"/>
  <c r="V9" s="1"/>
  <c r="W9" s="1"/>
  <c r="X9" s="1"/>
  <c r="Y9" s="1"/>
  <c r="Z9" s="1"/>
  <c r="AA9" s="1"/>
  <c r="AB9" s="1"/>
  <c r="AC9" s="1"/>
  <c r="AD9" s="1"/>
  <c r="AE9" s="1"/>
  <c r="AF9" s="1"/>
  <c r="AG9" s="1"/>
  <c r="AH9" s="1"/>
  <c r="AI9" s="1"/>
  <c r="AJ9" s="1"/>
  <c r="AK9" s="1"/>
  <c r="AL9" s="1"/>
  <c r="AM9" s="1"/>
  <c r="AN9" s="1"/>
  <c r="AO9" s="1"/>
  <c r="AP9" s="1"/>
  <c r="AQ9" s="1"/>
  <c r="AR9" s="1"/>
  <c r="AS9" s="1"/>
  <c r="AT9" s="1"/>
  <c r="AU9" s="1"/>
  <c r="AV9" s="1"/>
  <c r="AW9" s="1"/>
  <c r="AX9" s="1"/>
  <c r="AY9" s="1"/>
  <c r="AZ9" s="1"/>
  <c r="Q22"/>
  <c r="V21" i="3" s="1"/>
  <c r="Q58" i="2"/>
  <c r="Q54"/>
  <c r="Q47"/>
  <c r="Q41"/>
  <c r="V28" i="3" s="1"/>
  <c r="Q31" i="2"/>
  <c r="Q25"/>
  <c r="Q20"/>
  <c r="Q27"/>
  <c r="Q14"/>
  <c r="Q49"/>
  <c r="Q60"/>
  <c r="Q56"/>
  <c r="Q51"/>
  <c r="Q44"/>
  <c r="V29" i="3" s="1"/>
  <c r="Q29" i="2"/>
  <c r="Q23"/>
  <c r="Q11"/>
  <c r="Q17"/>
  <c r="Q93"/>
  <c r="Q95"/>
  <c r="Q97"/>
  <c r="V42" i="3" s="1"/>
  <c r="Q88" i="2"/>
  <c r="Q90"/>
  <c r="U15" i="3"/>
  <c r="P6" i="2"/>
  <c r="P8" s="1"/>
  <c r="Q63" i="4"/>
  <c r="Q158" i="15"/>
  <c r="V10" i="3"/>
  <c r="V13"/>
  <c r="N7" i="15"/>
  <c r="N29"/>
  <c r="N31"/>
  <c r="N33"/>
  <c r="N68" i="4"/>
  <c r="N75" s="1"/>
  <c r="N28" i="15"/>
  <c r="N30"/>
  <c r="N32"/>
  <c r="N34"/>
  <c r="N9"/>
  <c r="L32" i="4"/>
  <c r="L33"/>
  <c r="L34" s="1"/>
  <c r="O56"/>
  <c r="O144" i="15"/>
  <c r="O146"/>
  <c r="O143"/>
  <c r="O145"/>
  <c r="O152"/>
  <c r="U22" i="3"/>
  <c r="U26"/>
  <c r="Q36" i="2"/>
  <c r="O58" i="4"/>
  <c r="O69"/>
  <c r="Q15"/>
  <c r="H66" i="26"/>
  <c r="N5" i="4"/>
  <c r="P23"/>
  <c r="H75" i="26"/>
  <c r="H69"/>
  <c r="Q34" i="2"/>
  <c r="H68" i="26"/>
  <c r="H70"/>
  <c r="H72"/>
  <c r="N133" i="15"/>
  <c r="O16" i="4"/>
  <c r="O156" i="15"/>
  <c r="N28" i="4"/>
  <c r="N29"/>
  <c r="N30" s="1"/>
  <c r="N31"/>
  <c r="N154" i="15"/>
  <c r="N57" i="4"/>
  <c r="N64" s="1"/>
  <c r="N51" s="1"/>
  <c r="N8" i="15"/>
  <c r="N157"/>
  <c r="N8" i="4"/>
  <c r="N155" i="15"/>
  <c r="P4" i="4"/>
  <c r="P54"/>
  <c r="P65"/>
  <c r="Q55"/>
  <c r="Q66" s="1"/>
  <c r="Q153" i="15"/>
  <c r="Q7" i="4"/>
  <c r="O4"/>
  <c r="N128" i="15"/>
  <c r="N127"/>
  <c r="M28" i="4"/>
  <c r="M29"/>
  <c r="M30" s="1"/>
  <c r="M31"/>
  <c r="O24"/>
  <c r="O60"/>
  <c r="O71"/>
  <c r="O67"/>
  <c r="O137" i="15"/>
  <c r="O139"/>
  <c r="O136"/>
  <c r="O138"/>
  <c r="H74" i="26"/>
  <c r="H71"/>
  <c r="H73"/>
  <c r="H67"/>
  <c r="Q86" i="2" l="1"/>
  <c r="Q6" i="4"/>
  <c r="O68"/>
  <c r="O75" s="1"/>
  <c r="O28" i="15"/>
  <c r="O30"/>
  <c r="O32"/>
  <c r="O34"/>
  <c r="O7"/>
  <c r="O29"/>
  <c r="O31"/>
  <c r="O33"/>
  <c r="O9"/>
  <c r="M32" i="4"/>
  <c r="M33"/>
  <c r="M34" s="1"/>
  <c r="O5"/>
  <c r="O2"/>
  <c r="P136" i="15"/>
  <c r="P138"/>
  <c r="P67" i="4"/>
  <c r="P137" i="15"/>
  <c r="P139"/>
  <c r="N32" i="4"/>
  <c r="N33"/>
  <c r="N34" s="1"/>
  <c r="P20"/>
  <c r="P21"/>
  <c r="H77" i="26"/>
  <c r="H81"/>
  <c r="H83"/>
  <c r="H85"/>
  <c r="H87"/>
  <c r="H89"/>
  <c r="H80"/>
  <c r="H91" s="1"/>
  <c r="H51" i="33" s="1"/>
  <c r="H82" i="26"/>
  <c r="H84"/>
  <c r="H86"/>
  <c r="H88"/>
  <c r="V22" i="3"/>
  <c r="V26"/>
  <c r="P58" i="4"/>
  <c r="P156" i="15" s="1"/>
  <c r="P69" i="4"/>
  <c r="O57"/>
  <c r="O64" s="1"/>
  <c r="O51" s="1"/>
  <c r="O8" i="15"/>
  <c r="O157"/>
  <c r="O154"/>
  <c r="O8" i="4"/>
  <c r="Q4"/>
  <c r="V30" i="3"/>
  <c r="Q25" i="4"/>
  <c r="V15" i="3"/>
  <c r="Q6" i="2"/>
  <c r="Q8" s="1"/>
  <c r="O159" i="15"/>
  <c r="O17" i="4"/>
  <c r="O13" s="1"/>
  <c r="O128" i="15"/>
  <c r="O127"/>
  <c r="P143"/>
  <c r="P145"/>
  <c r="P152"/>
  <c r="P56" i="4"/>
  <c r="P144" i="15"/>
  <c r="P146"/>
  <c r="P2" i="4"/>
  <c r="Q16"/>
  <c r="Q54"/>
  <c r="Q65"/>
  <c r="V23" i="3"/>
  <c r="V27"/>
  <c r="P24" i="4"/>
  <c r="P60"/>
  <c r="P71"/>
  <c r="O133" i="15"/>
  <c r="O155"/>
  <c r="V31" i="3"/>
  <c r="Q23" i="4"/>
  <c r="Q26"/>
  <c r="Q164" i="15" s="1"/>
  <c r="Q20" i="4" l="1"/>
  <c r="Q21"/>
  <c r="Q67"/>
  <c r="Q137" i="15"/>
  <c r="Q139"/>
  <c r="Q136"/>
  <c r="Q138"/>
  <c r="P154"/>
  <c r="P57" i="4"/>
  <c r="P64" s="1"/>
  <c r="P51" s="1"/>
  <c r="P8" i="15"/>
  <c r="P157"/>
  <c r="P8" i="4"/>
  <c r="P155" i="15"/>
  <c r="Q24" i="4"/>
  <c r="Q60"/>
  <c r="Q71"/>
  <c r="Q58"/>
  <c r="Q156" i="15" s="1"/>
  <c r="Q69" i="4"/>
  <c r="P7" i="15"/>
  <c r="P29"/>
  <c r="P31"/>
  <c r="P33"/>
  <c r="P68" i="4"/>
  <c r="P75" s="1"/>
  <c r="P28" i="15"/>
  <c r="P30"/>
  <c r="P32"/>
  <c r="P34"/>
  <c r="P9"/>
  <c r="P128"/>
  <c r="P127"/>
  <c r="Q56" i="4"/>
  <c r="Q144" i="15"/>
  <c r="Q146"/>
  <c r="Q143"/>
  <c r="Q145"/>
  <c r="Q152"/>
  <c r="Q5" i="4"/>
  <c r="Q2"/>
  <c r="P159" i="15"/>
  <c r="P17" i="4"/>
  <c r="P13" s="1"/>
  <c r="P27" s="1"/>
  <c r="P5"/>
  <c r="P133" i="15"/>
  <c r="O27" i="4"/>
  <c r="P28" l="1"/>
  <c r="P29"/>
  <c r="P30" s="1"/>
  <c r="P31"/>
  <c r="Q57"/>
  <c r="Q64" s="1"/>
  <c r="Q51" s="1"/>
  <c r="Q8" i="15"/>
  <c r="Q157"/>
  <c r="Q154"/>
  <c r="Q155"/>
  <c r="Q8" i="4"/>
  <c r="Q68"/>
  <c r="Q75" s="1"/>
  <c r="Q28" i="15"/>
  <c r="Q30"/>
  <c r="Q32"/>
  <c r="Q34"/>
  <c r="Q7"/>
  <c r="Q29"/>
  <c r="Q31"/>
  <c r="Q33"/>
  <c r="R9"/>
  <c r="Q9"/>
  <c r="Q159"/>
  <c r="Q17" i="4"/>
  <c r="Q13" s="1"/>
  <c r="O28"/>
  <c r="O29"/>
  <c r="O30" s="1"/>
  <c r="O31"/>
  <c r="Q128" i="15"/>
  <c r="Q127"/>
  <c r="Q27" i="4"/>
  <c r="Q133" i="15"/>
  <c r="O32" i="4" l="1"/>
  <c r="O33"/>
  <c r="O34" s="1"/>
  <c r="P32"/>
  <c r="P33"/>
  <c r="P34" s="1"/>
  <c r="Q28"/>
  <c r="Q29"/>
  <c r="Q30" s="1"/>
  <c r="Q31"/>
  <c r="Q32" l="1"/>
  <c r="Q33"/>
  <c r="Q34" s="1"/>
</calcChain>
</file>

<file path=xl/comments1.xml><?xml version="1.0" encoding="utf-8"?>
<comments xmlns="http://schemas.openxmlformats.org/spreadsheetml/2006/main">
  <authors>
    <author>World Bank User</author>
    <author>HP Authorized Customer</author>
  </authors>
  <commentList>
    <comment ref="B48" authorId="0">
      <text>
        <r>
          <rPr>
            <b/>
            <sz val="6"/>
            <color indexed="81"/>
            <rFont val="Tahoma"/>
            <family val="2"/>
          </rPr>
          <t xml:space="preserve">after Paris Club debt relief up to Q1 2002; before Paris Club relief after Q1 2002; excludes HIPC relief
</t>
        </r>
        <r>
          <rPr>
            <sz val="6"/>
            <color indexed="81"/>
            <rFont val="Tahoma"/>
            <family val="2"/>
          </rPr>
          <t xml:space="preserve">
</t>
        </r>
      </text>
    </comment>
    <comment ref="B53" authorId="0">
      <text>
        <r>
          <rPr>
            <b/>
            <sz val="8"/>
            <color indexed="81"/>
            <rFont val="Tahoma"/>
            <family val="2"/>
          </rPr>
          <t>World Bank User:</t>
        </r>
        <r>
          <rPr>
            <sz val="8"/>
            <color indexed="81"/>
            <rFont val="Tahoma"/>
            <family val="2"/>
          </rPr>
          <t xml:space="preserve">
Includes contingency</t>
        </r>
      </text>
    </comment>
    <comment ref="B58" authorId="1">
      <text>
        <r>
          <rPr>
            <b/>
            <sz val="6"/>
            <color indexed="81"/>
            <rFont val="Arial"/>
            <family val="2"/>
          </rPr>
          <t>adjustment for deposits at Bank of Zambia/differences between budget data and net clains on government</t>
        </r>
      </text>
    </comment>
    <comment ref="B62" authorId="0">
      <text>
        <r>
          <rPr>
            <b/>
            <sz val="8"/>
            <color indexed="81"/>
            <rFont val="Tahoma"/>
            <family val="2"/>
          </rPr>
          <t>World Bank User:</t>
        </r>
        <r>
          <rPr>
            <sz val="8"/>
            <color indexed="81"/>
            <rFont val="Tahoma"/>
            <family val="2"/>
          </rPr>
          <t xml:space="preserve">
Note that RMSM determines this parameter so that the accrual gap be closed</t>
        </r>
      </text>
    </comment>
    <comment ref="B63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</text>
    </comment>
    <comment ref="B66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0" authorId="1">
      <text>
        <r>
          <rPr>
            <b/>
            <sz val="6"/>
            <color indexed="81"/>
            <rFont val="Arial"/>
            <family val="2"/>
          </rPr>
          <t xml:space="preserve">Reflects the 1999 Paris Club rescheduling agreement, and comparable treatment from non-Paris Club bilateral creditors + HIPC. For now includes change in arrears
</t>
        </r>
      </text>
    </comment>
    <comment ref="B103" authorId="0">
      <text>
        <r>
          <rPr>
            <b/>
            <sz val="8"/>
            <color indexed="81"/>
            <rFont val="Tahoma"/>
            <family val="2"/>
          </rPr>
          <t>World Bank User:</t>
        </r>
        <r>
          <rPr>
            <sz val="8"/>
            <color indexed="81"/>
            <rFont val="Tahoma"/>
            <family val="2"/>
          </rPr>
          <t xml:space="preserve">
Now includes change in other liabilities</t>
        </r>
      </text>
    </comment>
  </commentList>
</comments>
</file>

<file path=xl/comments2.xml><?xml version="1.0" encoding="utf-8"?>
<comments xmlns="http://schemas.openxmlformats.org/spreadsheetml/2006/main">
  <authors>
    <author>World Bank User</author>
    <author>HP Authorized Customer</author>
  </authors>
  <commentList>
    <comment ref="B48" authorId="0">
      <text>
        <r>
          <rPr>
            <b/>
            <sz val="6"/>
            <color indexed="81"/>
            <rFont val="Tahoma"/>
            <family val="2"/>
          </rPr>
          <t xml:space="preserve">after Paris Club debt relief up to Q1 2002; before Paris Club relief after Q1 2002; excludes HIPC relief
</t>
        </r>
        <r>
          <rPr>
            <sz val="6"/>
            <color indexed="81"/>
            <rFont val="Tahoma"/>
            <family val="2"/>
          </rPr>
          <t xml:space="preserve">
</t>
        </r>
      </text>
    </comment>
    <comment ref="B58" authorId="1">
      <text>
        <r>
          <rPr>
            <b/>
            <sz val="6"/>
            <color indexed="81"/>
            <rFont val="Arial"/>
            <family val="2"/>
          </rPr>
          <t>adjustment for deposits at Bank of Zambia/differences between budget data and net clains on government</t>
        </r>
      </text>
    </comment>
    <comment ref="B63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</text>
    </comment>
    <comment ref="B66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0" authorId="1">
      <text>
        <r>
          <rPr>
            <b/>
            <sz val="6"/>
            <color indexed="81"/>
            <rFont val="Arial"/>
            <family val="2"/>
          </rPr>
          <t xml:space="preserve">Reflects the 1999 Paris Club rescheduling agreement, and comparable treatment from non-Paris Club bilateral creditors
</t>
        </r>
      </text>
    </comment>
  </commentList>
</comments>
</file>

<file path=xl/comments3.xml><?xml version="1.0" encoding="utf-8"?>
<comments xmlns="http://schemas.openxmlformats.org/spreadsheetml/2006/main">
  <authors>
    <author>World Bank User</author>
    <author>HP Authorized Customer</author>
  </authors>
  <commentList>
    <comment ref="B48" authorId="0">
      <text>
        <r>
          <rPr>
            <b/>
            <sz val="6"/>
            <color indexed="81"/>
            <rFont val="Tahoma"/>
            <family val="2"/>
          </rPr>
          <t xml:space="preserve">after Paris Club debt relief up to Q1 2002; before Paris Club relief after Q1 2002; excludes HIPC relief
</t>
        </r>
        <r>
          <rPr>
            <sz val="6"/>
            <color indexed="81"/>
            <rFont val="Tahoma"/>
            <family val="2"/>
          </rPr>
          <t xml:space="preserve">
</t>
        </r>
      </text>
    </comment>
    <comment ref="B58" authorId="1">
      <text>
        <r>
          <rPr>
            <b/>
            <sz val="6"/>
            <color indexed="81"/>
            <rFont val="Arial"/>
            <family val="2"/>
          </rPr>
          <t>adjustment for deposits at Bank of Zambia/differences between budget data and net clains on government</t>
        </r>
      </text>
    </comment>
    <comment ref="B63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</text>
    </comment>
    <comment ref="B66" authorId="0">
      <text>
        <r>
          <rPr>
            <b/>
            <sz val="6"/>
            <color indexed="81"/>
            <rFont val="Tahoma"/>
            <family val="2"/>
          </rPr>
          <t>after Paris Club debt relief up to Q1 2002; before Paris Club relief after Q1 2002; excludes HIPC relief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0" authorId="1">
      <text>
        <r>
          <rPr>
            <b/>
            <sz val="6"/>
            <color indexed="81"/>
            <rFont val="Arial"/>
            <family val="2"/>
          </rPr>
          <t xml:space="preserve">Reflects the 1999 Paris Club rescheduling agreement, and comparable treatment from non-Paris Club bilateral creditors
</t>
        </r>
      </text>
    </comment>
  </commentList>
</comments>
</file>

<file path=xl/sharedStrings.xml><?xml version="1.0" encoding="utf-8"?>
<sst xmlns="http://schemas.openxmlformats.org/spreadsheetml/2006/main" count="7236" uniqueCount="2556">
  <si>
    <t xml:space="preserve">  Total consumption, etc</t>
  </si>
  <si>
    <t>NE.CON.TETC.KN, GR</t>
  </si>
  <si>
    <t xml:space="preserve">    Total consumption</t>
  </si>
  <si>
    <t>NE.CON.TOTL.KN, GR</t>
  </si>
  <si>
    <t xml:space="preserve">        General government consumption</t>
  </si>
  <si>
    <t>NE.CON.GOVT.KN, GR</t>
  </si>
  <si>
    <t xml:space="preserve">        Private consumption, etc</t>
  </si>
  <si>
    <t>NE.CON.PETC.KN, GR</t>
  </si>
  <si>
    <t>Adjustment type selected (X)</t>
  </si>
  <si>
    <t>English</t>
  </si>
  <si>
    <t>French</t>
  </si>
  <si>
    <t>Spanish</t>
  </si>
  <si>
    <t>2,6</t>
  </si>
  <si>
    <t>130,1</t>
  </si>
  <si>
    <t>142,1</t>
  </si>
  <si>
    <t>124,3</t>
  </si>
  <si>
    <t>125,3</t>
  </si>
  <si>
    <t>126,3</t>
  </si>
  <si>
    <t>127,3</t>
  </si>
  <si>
    <t>128,3</t>
  </si>
  <si>
    <t>129,3</t>
  </si>
  <si>
    <t>8,4</t>
  </si>
  <si>
    <t>83,4</t>
  </si>
  <si>
    <t>85,4</t>
  </si>
  <si>
    <t>86,4</t>
  </si>
  <si>
    <t>87,4</t>
  </si>
  <si>
    <t>88,4</t>
  </si>
  <si>
    <t>89,4</t>
  </si>
  <si>
    <t>91,4</t>
  </si>
  <si>
    <t>92,4</t>
  </si>
  <si>
    <t>93,4</t>
  </si>
  <si>
    <t>95,4</t>
  </si>
  <si>
    <t>96,4</t>
  </si>
  <si>
    <t>97,4</t>
  </si>
  <si>
    <t>98,4</t>
  </si>
  <si>
    <t>99,4</t>
  </si>
  <si>
    <t>101,4</t>
  </si>
  <si>
    <t>102,4</t>
  </si>
  <si>
    <t>104,4</t>
  </si>
  <si>
    <t>105,4</t>
  </si>
  <si>
    <t>107,4</t>
  </si>
  <si>
    <t>108,4</t>
  </si>
  <si>
    <t>109,4</t>
  </si>
  <si>
    <t>110,4</t>
  </si>
  <si>
    <t>111,4</t>
  </si>
  <si>
    <t>112,4</t>
  </si>
  <si>
    <t>113,4</t>
  </si>
  <si>
    <t>115,4</t>
  </si>
  <si>
    <t>116,4</t>
  </si>
  <si>
    <t>117,4</t>
  </si>
  <si>
    <t>118,4</t>
  </si>
  <si>
    <t>119,4</t>
  </si>
  <si>
    <t>122,4</t>
  </si>
  <si>
    <t>19,5</t>
  </si>
  <si>
    <t>20,5</t>
  </si>
  <si>
    <t>21,5</t>
  </si>
  <si>
    <t>22,5</t>
  </si>
  <si>
    <t>23,5</t>
  </si>
  <si>
    <t>24,5</t>
  </si>
  <si>
    <t>25,5</t>
  </si>
  <si>
    <t>26,5</t>
  </si>
  <si>
    <t>28,5</t>
  </si>
  <si>
    <t>29,5</t>
  </si>
  <si>
    <t>30,5</t>
  </si>
  <si>
    <t>31,5</t>
  </si>
  <si>
    <t>32,5</t>
  </si>
  <si>
    <t>34,5</t>
  </si>
  <si>
    <t>35,5</t>
  </si>
  <si>
    <t>36,5</t>
  </si>
  <si>
    <t>37,5</t>
  </si>
  <si>
    <t>38,5</t>
  </si>
  <si>
    <t>39,5</t>
  </si>
  <si>
    <t>40,5</t>
  </si>
  <si>
    <t>41,5</t>
  </si>
  <si>
    <t>42,5</t>
  </si>
  <si>
    <t>43,5</t>
  </si>
  <si>
    <t>44,5</t>
  </si>
  <si>
    <t>46,5</t>
  </si>
  <si>
    <t>49,5</t>
  </si>
  <si>
    <t>50,5</t>
  </si>
  <si>
    <t>51,5</t>
  </si>
  <si>
    <t>52,5</t>
  </si>
  <si>
    <t>53,5</t>
  </si>
  <si>
    <t>54,5</t>
  </si>
  <si>
    <t>55,5</t>
  </si>
  <si>
    <t>56,5</t>
  </si>
  <si>
    <t>57,5</t>
  </si>
  <si>
    <t>58,5</t>
  </si>
  <si>
    <t>59,5</t>
  </si>
  <si>
    <t>60,5</t>
  </si>
  <si>
    <t>61,5</t>
  </si>
  <si>
    <t>62,5</t>
  </si>
  <si>
    <t>63,5</t>
  </si>
  <si>
    <t>64,5</t>
  </si>
  <si>
    <t>65,5</t>
  </si>
  <si>
    <t>66,5</t>
  </si>
  <si>
    <t>67,5</t>
  </si>
  <si>
    <t>68,5</t>
  </si>
  <si>
    <t>69,5</t>
  </si>
  <si>
    <t>70,5</t>
  </si>
  <si>
    <t>71,5</t>
  </si>
  <si>
    <t>72,5</t>
  </si>
  <si>
    <t>73,5</t>
  </si>
  <si>
    <t>74,5</t>
  </si>
  <si>
    <t>75,5</t>
  </si>
  <si>
    <t>76,5</t>
  </si>
  <si>
    <t>77,5</t>
  </si>
  <si>
    <t>78,5</t>
  </si>
  <si>
    <t>79,5</t>
  </si>
  <si>
    <t>80,5</t>
  </si>
  <si>
    <t>83,5</t>
  </si>
  <si>
    <t>9,8</t>
  </si>
  <si>
    <t>14,8</t>
  </si>
  <si>
    <t>31,8</t>
  </si>
  <si>
    <t>131,8</t>
  </si>
  <si>
    <t>131,9</t>
  </si>
  <si>
    <t>131,10</t>
  </si>
  <si>
    <t>131,11</t>
  </si>
  <si>
    <t>131,12</t>
  </si>
  <si>
    <t>131,13</t>
  </si>
  <si>
    <t>131,14</t>
  </si>
  <si>
    <t>131,15</t>
  </si>
  <si>
    <t>131,16</t>
  </si>
  <si>
    <t>131,17</t>
  </si>
  <si>
    <t>131,18</t>
  </si>
  <si>
    <t>131,19</t>
  </si>
  <si>
    <t>52,1</t>
  </si>
  <si>
    <t>53,1</t>
  </si>
  <si>
    <t>54,1</t>
  </si>
  <si>
    <t>55,1</t>
  </si>
  <si>
    <t>56,1</t>
  </si>
  <si>
    <t>57,1</t>
  </si>
  <si>
    <t>58,1</t>
  </si>
  <si>
    <t>59,1</t>
  </si>
  <si>
    <t>60,1</t>
  </si>
  <si>
    <t>61,1</t>
  </si>
  <si>
    <t>62,1</t>
  </si>
  <si>
    <t>63,1</t>
  </si>
  <si>
    <t>64,1</t>
  </si>
  <si>
    <t>65,1</t>
  </si>
  <si>
    <t>66,1</t>
  </si>
  <si>
    <t>67,1</t>
  </si>
  <si>
    <t>68,1</t>
  </si>
  <si>
    <t>69,1</t>
  </si>
  <si>
    <t>70,1</t>
  </si>
  <si>
    <t>71,1</t>
  </si>
  <si>
    <t>72,1</t>
  </si>
  <si>
    <t>73,1</t>
  </si>
  <si>
    <t>74,1</t>
  </si>
  <si>
    <t>75,1</t>
  </si>
  <si>
    <t>1,4</t>
  </si>
  <si>
    <t xml:space="preserve">            Private consumption</t>
  </si>
  <si>
    <t>NE.CON.PRVT.KN, GR</t>
  </si>
  <si>
    <t xml:space="preserve">            Statistical discrepancy</t>
  </si>
  <si>
    <t>NY.GDP.DISC.KN, AS</t>
  </si>
  <si>
    <t>Gross Domestic Investment (kn)</t>
  </si>
  <si>
    <t>NE.GDI.TOTL.KN, GR</t>
  </si>
  <si>
    <t xml:space="preserve">   Gross domestic fixed investment</t>
  </si>
  <si>
    <t>NE.GDI.FTOT.KN, GR</t>
  </si>
  <si>
    <t xml:space="preserve">      Nonfinancial public sector, GDFI</t>
  </si>
  <si>
    <t>NE.GDI.FPUB.KN, GR</t>
  </si>
  <si>
    <t xml:space="preserve">         General government GDFI</t>
  </si>
  <si>
    <t>NE.GDI.FGOV.KN, GR</t>
  </si>
  <si>
    <t xml:space="preserve">             Central government, GDFI</t>
  </si>
  <si>
    <t>NE.GDI.FCGV.KN, GR</t>
  </si>
  <si>
    <t xml:space="preserve">             State and local government, GDFI</t>
  </si>
  <si>
    <t>NE.GDI.FLGV.KN, GR</t>
  </si>
  <si>
    <t xml:space="preserve">         Nonfinancial public enterprises, GDFI</t>
  </si>
  <si>
    <t>NE.GDI.FPBE.KN, GR</t>
  </si>
  <si>
    <t xml:space="preserve">      Private Sector GDFI (cn)</t>
  </si>
  <si>
    <t>NE.GDI.FPRV.KN, GR</t>
  </si>
  <si>
    <t xml:space="preserve">   Change in stocks</t>
  </si>
  <si>
    <t>NE.GDI.STKB.KN, GR</t>
  </si>
  <si>
    <t xml:space="preserve">    Central government (change in stocks)</t>
  </si>
  <si>
    <t>NE.GDI.STPB.KN, GR</t>
  </si>
  <si>
    <t>NE.GDI.STPV.KN, GR</t>
  </si>
  <si>
    <t xml:space="preserve">  Net factor income</t>
  </si>
  <si>
    <t>NY.GSR.NFCY.KN, GR</t>
  </si>
  <si>
    <t xml:space="preserve">  Net current transfers</t>
  </si>
  <si>
    <t>NY.TRF.NCTR.KN, GR</t>
  </si>
  <si>
    <t xml:space="preserve">  Gross domestic savings</t>
  </si>
  <si>
    <t>NY.GDS.TOTL.KN, GR</t>
  </si>
  <si>
    <t>NY.GDS.PUBL.KN, GR</t>
  </si>
  <si>
    <t>NY.GDS.PRVT.KN, GR</t>
  </si>
  <si>
    <t xml:space="preserve">  Gross national savings</t>
  </si>
  <si>
    <t>PREVIOUS RUN results:</t>
  </si>
  <si>
    <t>BASE CASE results:</t>
  </si>
  <si>
    <t>Currently compared to:</t>
  </si>
  <si>
    <t>1 if to previous, 2 if to base:</t>
  </si>
  <si>
    <t>Base used:</t>
  </si>
  <si>
    <t>Orig.</t>
  </si>
  <si>
    <t>NY.GNS.ICTR.KN, GR</t>
  </si>
  <si>
    <t>NY.GNS.PUBL.KN, GR</t>
  </si>
  <si>
    <t>NY.GNS.PRVT.KN, GR</t>
  </si>
  <si>
    <t xml:space="preserve">  Capacity to import</t>
  </si>
  <si>
    <t>NY.EXP.CAPM.KN, GR</t>
  </si>
  <si>
    <t xml:space="preserve">  Terms of trade adjustment</t>
  </si>
  <si>
    <t>NY.TTF.GNFS.KN, GR</t>
  </si>
  <si>
    <t xml:space="preserve">  Gross national product</t>
  </si>
  <si>
    <t>NY.GNP.MKTP.KN, GR</t>
  </si>
  <si>
    <t xml:space="preserve">  Gross domestic income</t>
  </si>
  <si>
    <t>NY.GDY.TOTL.KN, GR</t>
  </si>
  <si>
    <t xml:space="preserve">  Gross national income</t>
  </si>
  <si>
    <t>NY.GNY.TOTL.KN, GR</t>
  </si>
  <si>
    <t>Balance of Payments Current A/c (US$)</t>
  </si>
  <si>
    <t>Current account balance (net)</t>
  </si>
  <si>
    <t>BoP</t>
  </si>
  <si>
    <t>BN.CAB.XOKA.CD, AS</t>
  </si>
  <si>
    <t>Curr. A/C balance excluding current official transfers</t>
  </si>
  <si>
    <t>BN.CAB.XOXT.CD.AS</t>
  </si>
  <si>
    <t>Curr.A/C balance including all official grants</t>
  </si>
  <si>
    <t>BN.CAB.FUND.CD, AS</t>
  </si>
  <si>
    <t>Indicate if VARs are in levels (1) or first differences (0)</t>
  </si>
  <si>
    <t xml:space="preserve">Impulse response elasticities of the cyclical components of TOT to a shock to the cyclical component of: </t>
  </si>
  <si>
    <t>Short-term adjustments to baseline ToT growth caused by the shock(s)</t>
  </si>
  <si>
    <t xml:space="preserve">Impulse response elasticities of the cyclical components of Gov. exp. to a shock to the cyclical component of: </t>
  </si>
  <si>
    <t xml:space="preserve">Simulating unexpected disturbances to:   </t>
  </si>
  <si>
    <t>Short-term adjustments to baseline Gov. exp. growth caused by the shock(s)</t>
  </si>
  <si>
    <t>End-period</t>
  </si>
  <si>
    <t>VAR responses: periods 1 -</t>
  </si>
  <si>
    <t>(or until the end of the horizon, whichever is smaller)</t>
  </si>
  <si>
    <t>(unless the horizon is shorter)</t>
  </si>
  <si>
    <t>Import price elasticity w.r.t. TOT</t>
  </si>
  <si>
    <t>Export price elasticity w.r.t. TOT</t>
  </si>
  <si>
    <t>Input household survey data in green cells</t>
  </si>
  <si>
    <t>Addition to current expenditures due to shocks</t>
  </si>
  <si>
    <t>Final (non-normalized) real household income</t>
  </si>
  <si>
    <t>Initial proj.</t>
  </si>
  <si>
    <t>Exports of goods,services, &amp; income</t>
  </si>
  <si>
    <t>BX.GSR.TOTL.CD, AS</t>
  </si>
  <si>
    <t>Exports of Goods &amp; Nonfactor Services(XGNFS)</t>
  </si>
  <si>
    <t>BX.GSR.GNFS.CD, AS</t>
  </si>
  <si>
    <t xml:space="preserve"> Merchandise Exports (FOB)</t>
  </si>
  <si>
    <t>BX.GSR.MRCH.CD, AS</t>
  </si>
  <si>
    <t xml:space="preserve"> Nonfactor Services Exports (XNFS)</t>
  </si>
  <si>
    <t>BX.GSR.NFSV.CD, AS</t>
  </si>
  <si>
    <t>Impulse response coefficients for GDP growth (normalized). Responses to changes in growth of :</t>
  </si>
  <si>
    <t>%-change</t>
  </si>
  <si>
    <t>Effect on GDP/capita growth (%-pts)</t>
  </si>
  <si>
    <t>Imports of goods, services, &amp; income</t>
  </si>
  <si>
    <t>BM.GSR.TOTL.CD, AS</t>
  </si>
  <si>
    <t>Imports of Goods &amp; Nonfactor Services(MGNFS)</t>
  </si>
  <si>
    <t>BM.GSR.GNFS.CD, AS</t>
  </si>
  <si>
    <t xml:space="preserve"> Merchandise Imports (FOB)</t>
  </si>
  <si>
    <t>BM.GSR.MRCH.CD, AS</t>
  </si>
  <si>
    <t xml:space="preserve"> Nonfactor Services Imports (MNFS)</t>
  </si>
  <si>
    <t>BM.GSR.NFSV.CD, AS</t>
  </si>
  <si>
    <t xml:space="preserve">  Trade balance</t>
  </si>
  <si>
    <t>BN.GSR.MRCH.CD</t>
  </si>
  <si>
    <t xml:space="preserve">  Resource balance</t>
  </si>
  <si>
    <t>BN.GSR.GNFS.CD, AS</t>
  </si>
  <si>
    <t>Factor receipts (cr)</t>
  </si>
  <si>
    <t>BX.GSR.FCTY.CD, AS</t>
  </si>
  <si>
    <t xml:space="preserve">    Interest receipts from DFI</t>
  </si>
  <si>
    <t>BX.GSR.INTR.CD, AS</t>
  </si>
  <si>
    <t xml:space="preserve">     Income/profits receipts from DFI</t>
  </si>
  <si>
    <t>BX.GSR.INYD.CD, AS</t>
  </si>
  <si>
    <t>Total Factor payments (dr)</t>
  </si>
  <si>
    <t>BM.GSR.FCTY.CD, AS</t>
  </si>
  <si>
    <t>..Interest DUE (scheduled)</t>
  </si>
  <si>
    <t>DT.IND.DEXF.CD, AS</t>
  </si>
  <si>
    <t xml:space="preserve">        Other factor payments &amp; disc.</t>
  </si>
  <si>
    <t>BM.GSR.FXAI.CD, AS</t>
  </si>
  <si>
    <t>BN.GSR.FCTY.CD, AS</t>
  </si>
  <si>
    <t xml:space="preserve">    Total Current transfer receipts</t>
  </si>
  <si>
    <t>BX.TRF.CURR.CD, AS</t>
  </si>
  <si>
    <t xml:space="preserve">    Total current transfer payments</t>
  </si>
  <si>
    <t>BM.TRF.CURR.CD, AS</t>
  </si>
  <si>
    <t>Net total current transfers</t>
  </si>
  <si>
    <t>BN.TRF.CURR.CD, AS</t>
  </si>
  <si>
    <t xml:space="preserve">  Private Current Receipts (cr)</t>
  </si>
  <si>
    <t>BX.TRF.PRVT.CD, AS</t>
  </si>
  <si>
    <t xml:space="preserve">    o/w Workers remittances (cr)</t>
  </si>
  <si>
    <t>BX.TRF.PWKR.CD, AS</t>
  </si>
  <si>
    <t xml:space="preserve">            Other current transfer receipts</t>
  </si>
  <si>
    <t>BX.TRF.PXWR.CD, AS</t>
  </si>
  <si>
    <t>Initial year</t>
  </si>
  <si>
    <t>First year</t>
  </si>
  <si>
    <t>Model #</t>
  </si>
  <si>
    <t>Delete previous results ?</t>
  </si>
  <si>
    <t>Adjust numeraire</t>
  </si>
  <si>
    <t>Input from RMSM ?</t>
  </si>
  <si>
    <t>Calibrate</t>
  </si>
  <si>
    <t>(1=VAR+ GET REAL, 2=ORIGINAL PROJ.)</t>
  </si>
  <si>
    <t>Growth projections used</t>
  </si>
  <si>
    <t>(1 - calibrate, 0 - do not)</t>
  </si>
  <si>
    <t>Major Parameters</t>
  </si>
  <si>
    <t>1 - No (1 iteration), 2 - Yes (2 iterations)</t>
  </si>
  <si>
    <t>0- No (i.e., use manual input), 1 - Yes</t>
  </si>
  <si>
    <t>Of the list on the right:</t>
  </si>
  <si>
    <t>1 - Yes</t>
  </si>
  <si>
    <t>Do not change the structure of the worksheet !</t>
  </si>
  <si>
    <t>Do not rename worksheets in the workbook !</t>
  </si>
  <si>
    <t/>
  </si>
  <si>
    <t xml:space="preserve">  Private current transfer payments</t>
  </si>
  <si>
    <t>BM.TRF.PRVT.CD, AS</t>
  </si>
  <si>
    <t>Net private current transfers</t>
  </si>
  <si>
    <t>BN.TRF.PRVT.CD, AS</t>
  </si>
  <si>
    <t xml:space="preserve">        Official current transfer receipts</t>
  </si>
  <si>
    <t>BX.TRF.OFDC.CD, AS</t>
  </si>
  <si>
    <t xml:space="preserve">        Official current transfer payments</t>
  </si>
  <si>
    <t>BM.TRF.OFDC.CD, AS</t>
  </si>
  <si>
    <t>Net official current transfers</t>
  </si>
  <si>
    <t>BN.TRF.OFDC.CD, AS</t>
  </si>
  <si>
    <t>Official transfers: receipts (current plus capital)</t>
  </si>
  <si>
    <t>BX.TRF.OFFT.CD, AS</t>
  </si>
  <si>
    <t>Official transfers: payments (current plus capital)</t>
  </si>
  <si>
    <t>BM.TRF.OFFT.CD, AS</t>
  </si>
  <si>
    <t>Balance of Payments Capital A/c (US$)</t>
  </si>
  <si>
    <t>Coding prob with ldb????</t>
  </si>
  <si>
    <t>Official capital grants (net)</t>
  </si>
  <si>
    <t>BN.TRF.KOGT.CD, AS</t>
  </si>
  <si>
    <t>Direct foreign investments (net)</t>
  </si>
  <si>
    <t>BN.KLT.DINV.CD, AS</t>
  </si>
  <si>
    <t>Portfolio investments (net)</t>
  </si>
  <si>
    <t>BN.KLT.PTXL.CD, AS</t>
  </si>
  <si>
    <t>Net long-term borrowing</t>
  </si>
  <si>
    <t>DEBT</t>
  </si>
  <si>
    <t>DL.NFL.TOTL.CD, AS</t>
  </si>
  <si>
    <t xml:space="preserve">        Disbursements</t>
  </si>
  <si>
    <t>DT.DIS.DLXF.CD, AS</t>
  </si>
  <si>
    <t xml:space="preserve">        Repayments (scheduled)</t>
  </si>
  <si>
    <t>DT.AMD.DLXF.CD, AS</t>
  </si>
  <si>
    <t>Other LT inflows, net</t>
  </si>
  <si>
    <t>BN.KLT.OTHR.CD, AS</t>
  </si>
  <si>
    <t>LT capital inflows</t>
  </si>
  <si>
    <t>BN.KLT.XRSL.CD, AS</t>
  </si>
  <si>
    <t>Other capital flows (net)</t>
  </si>
  <si>
    <t>BN.KAC.OTHR.CD, AS</t>
  </si>
  <si>
    <t xml:space="preserve">     Capital flows n.e.i (net)</t>
  </si>
  <si>
    <t>BN.KAC.FNEI.CD, AS</t>
  </si>
  <si>
    <t xml:space="preserve">      Net short-term capital</t>
  </si>
  <si>
    <t>DT.NFL.DSTC.CD, AS</t>
  </si>
  <si>
    <t xml:space="preserve">      Errors and omissions</t>
  </si>
  <si>
    <t>BN.KAC.EOMS.CD, AS</t>
  </si>
  <si>
    <t>Changes in net reserves</t>
  </si>
  <si>
    <t>BN.RES.TOTL.CD, AS</t>
  </si>
  <si>
    <t>Changes in net intl. reserves (net)</t>
  </si>
  <si>
    <t>BN.RES.INCL.CD, AS</t>
  </si>
  <si>
    <t xml:space="preserve">  Reserves Changes of Monetary Auth.</t>
  </si>
  <si>
    <t>BN.RES.OTXI.CD, AS</t>
  </si>
  <si>
    <t xml:space="preserve">  Net IMF Credit</t>
  </si>
  <si>
    <t>BN RES IMFT CD</t>
  </si>
  <si>
    <t>Total Gross Reserves of Mon. Authorities</t>
  </si>
  <si>
    <t>FI.RES.TOTL.CD.WB, AS</t>
  </si>
  <si>
    <t>..Total reserves minus gold</t>
  </si>
  <si>
    <t>FI.RES.XGLD.CD, AS</t>
  </si>
  <si>
    <t>..Gold (at year end London price)</t>
  </si>
  <si>
    <t>FI.RES.GOLD.CD.WB, AS</t>
  </si>
  <si>
    <t>DT.TDA.DECT.CD, AS</t>
  </si>
  <si>
    <t xml:space="preserve">  Debt service not paid</t>
  </si>
  <si>
    <t>BN.DSR.UNPD.CD, AS</t>
  </si>
  <si>
    <t xml:space="preserve">    ..Adjust. Interest not paid</t>
  </si>
  <si>
    <t>DT.IXP.DECT.CD, AS</t>
  </si>
  <si>
    <t xml:space="preserve">    ..Adjust. Principal not paid</t>
  </si>
  <si>
    <t>DT.AXP.DECT.CD, AS</t>
  </si>
  <si>
    <t xml:space="preserve">  Reduction in arrears/prepayments (-)</t>
  </si>
  <si>
    <t>DT.TRA.DECT.CD, AS</t>
  </si>
  <si>
    <t>Debt Stock and Debt Flow Data</t>
  </si>
  <si>
    <t xml:space="preserve">    Long Term  Disbursements</t>
  </si>
  <si>
    <t>Debt</t>
  </si>
  <si>
    <t xml:space="preserve">        Public &amp; Publicly Guar. LT Debt</t>
  </si>
  <si>
    <t>DT.DIS.DPPG.CD, AS</t>
  </si>
  <si>
    <t xml:space="preserve">            Official Creditors (Dis)</t>
  </si>
  <si>
    <t>DT.DIS.OFFT.CD, AS</t>
  </si>
  <si>
    <t xml:space="preserve">              ..Official multilateral (dis)</t>
  </si>
  <si>
    <t>DT.DIS.MLAT.CD, AS</t>
  </si>
  <si>
    <t xml:space="preserve">                   ....of which IDA (dis)</t>
  </si>
  <si>
    <t>DT.DIS.MIDA.CD, AS</t>
  </si>
  <si>
    <t xml:space="preserve">                   ....of which IBRD (dis)</t>
  </si>
  <si>
    <t>DT.DIS.MIBR.CD, AS</t>
  </si>
  <si>
    <t xml:space="preserve">             ..Official bilateral (dis)</t>
  </si>
  <si>
    <t>DT.DIS.BLAT.CD, AS</t>
  </si>
  <si>
    <t xml:space="preserve">    Private cred. (guaranteed) (dis)</t>
  </si>
  <si>
    <t>DT.DIS.PRVT.CD, AS</t>
  </si>
  <si>
    <t xml:space="preserve">                Bonds (Dis)</t>
  </si>
  <si>
    <t>DT.DIS.PBND.CD, AS</t>
  </si>
  <si>
    <t xml:space="preserve">                Commercial Banks (Dis)</t>
  </si>
  <si>
    <t>DT.DIS.PCBK.CD, AS</t>
  </si>
  <si>
    <t xml:space="preserve">                Other Private (Dis)</t>
  </si>
  <si>
    <t>DT.DIS.POTH.CD, AS</t>
  </si>
  <si>
    <t>Private cred. non-guaranteed (dis)</t>
  </si>
  <si>
    <t>DT.DIS.DPNG.CD, AS</t>
  </si>
  <si>
    <t>IMFPurchases</t>
  </si>
  <si>
    <t>DT.DIS.DIMF.CD, AS</t>
  </si>
  <si>
    <t>Short-term credit (net) (nfl)</t>
  </si>
  <si>
    <t>DT.DIS.DSTC.CD, AS</t>
  </si>
  <si>
    <t xml:space="preserve"> Long Term disbursements (DRS/Cash based)</t>
  </si>
  <si>
    <t>DT.DIS.DECT.CD, AS</t>
  </si>
  <si>
    <t>Real GDP growth (%), mkt prices</t>
  </si>
  <si>
    <t>move RESC data here?</t>
  </si>
  <si>
    <t xml:space="preserve">    Long Term Principal Repayments</t>
  </si>
  <si>
    <t>DT.AMT.DLXF.CD, AS</t>
  </si>
  <si>
    <t>DT.AMT.DPPG.CD, AS</t>
  </si>
  <si>
    <t xml:space="preserve">            Official Creditors (Amt)</t>
  </si>
  <si>
    <t>DT.AMT.OFFT.CD, AS</t>
  </si>
  <si>
    <t xml:space="preserve">              ..Official multilateral (Amt)</t>
  </si>
  <si>
    <t>DT.AMT.MLAT.CD, AS</t>
  </si>
  <si>
    <t xml:space="preserve">                   ....of which IDA (Amt)</t>
  </si>
  <si>
    <t>DT.AMT.MIDA.CD, AS</t>
  </si>
  <si>
    <t xml:space="preserve">                   ....of which IBRD (Amt)</t>
  </si>
  <si>
    <t>DT.AMT.MIBR.CD, AS</t>
  </si>
  <si>
    <t xml:space="preserve">             ..Official bilateral (Amt)</t>
  </si>
  <si>
    <t>DT.AMT.BLAT.CD, AS</t>
  </si>
  <si>
    <t xml:space="preserve">    Private cred. (guaranteed) (Amt)</t>
  </si>
  <si>
    <t>DT.AMT.PRVT.CD, AS</t>
  </si>
  <si>
    <t xml:space="preserve">                Bonds (Amt)</t>
  </si>
  <si>
    <t>DT.AMT.PBND.CD, AS</t>
  </si>
  <si>
    <t xml:space="preserve">                Commercial Banks (Amt)</t>
  </si>
  <si>
    <t>DT.AMT.PCBK.CD, AS</t>
  </si>
  <si>
    <t xml:space="preserve">                Other Private (Amt)</t>
  </si>
  <si>
    <t>DT.AMT.POTH.CD, AS</t>
  </si>
  <si>
    <t>Private cred. non-guaranteed (Amt)</t>
  </si>
  <si>
    <t>DT.AMT.DPNG.CD, AS</t>
  </si>
  <si>
    <t>IMF Repurchases (amt)</t>
  </si>
  <si>
    <t>DT.AMT.DIMF.CD, AS</t>
  </si>
  <si>
    <t xml:space="preserve"> Long Term amortization (DRS/Cash based)</t>
  </si>
  <si>
    <t>DT.AMT.DECT.CD, AS</t>
  </si>
  <si>
    <t>L-T Interest Due</t>
  </si>
  <si>
    <t>DT.IND.DLXF.CD, AS</t>
  </si>
  <si>
    <t xml:space="preserve">    Total Long Term interest payments</t>
  </si>
  <si>
    <t>DT.INT.DLXF.CD, AS</t>
  </si>
  <si>
    <t>DT.INT.DPPG.CD, AS</t>
  </si>
  <si>
    <t xml:space="preserve">            Official Creditors (Int)</t>
  </si>
  <si>
    <t>DT.INT.OFFT.CD, AS</t>
  </si>
  <si>
    <t xml:space="preserve">              ..Official multilateral (Int)</t>
  </si>
  <si>
    <t>DT.INT.MLAT.CD, AS</t>
  </si>
  <si>
    <t xml:space="preserve">                   ....of which IDA (Int)</t>
  </si>
  <si>
    <t>DT.INT.MIDA.CD, AS</t>
  </si>
  <si>
    <t xml:space="preserve">                   ....of which IBRD (Int)</t>
  </si>
  <si>
    <t>DT.INT.MIBR.CD, AS</t>
  </si>
  <si>
    <t xml:space="preserve">             ..Official bilateral (Int)</t>
  </si>
  <si>
    <t>DT.INT.BLAT.CD, AS</t>
  </si>
  <si>
    <t xml:space="preserve">    Private cred. (guaranteed) (Int)</t>
  </si>
  <si>
    <t>DT.INT.PRVT.CD, AS</t>
  </si>
  <si>
    <t xml:space="preserve">                Bonds (Int)</t>
  </si>
  <si>
    <t>DT.INT.PBND.CD, AS</t>
  </si>
  <si>
    <t xml:space="preserve">                Commercial Banks (Int)</t>
  </si>
  <si>
    <t>DT.INT.PCBK.CD, AS</t>
  </si>
  <si>
    <t xml:space="preserve">                Other Private (Int)</t>
  </si>
  <si>
    <t>DT.INT.POTH.CD, AS</t>
  </si>
  <si>
    <t>Private cred. non-guaranteed (int)</t>
  </si>
  <si>
    <t>DT.INT.DPNG.CD, AS</t>
  </si>
  <si>
    <t>Interest on IMF drawings (int)</t>
  </si>
  <si>
    <t>DT.INT.DIMF.CD, AS</t>
  </si>
  <si>
    <t>Interest on short-term credit (int)</t>
  </si>
  <si>
    <t>DT.INT.DSTC.CD, AS</t>
  </si>
  <si>
    <t xml:space="preserve"> Long Term interest (DRS/Cash based)</t>
  </si>
  <si>
    <t>DT.INT.DECT.CD, AS</t>
  </si>
  <si>
    <t xml:space="preserve">    Total Long Term DOD</t>
  </si>
  <si>
    <t>DT.DOD.DLXF.CD, AS</t>
  </si>
  <si>
    <t>DT.DOD.DPPG.CD, AS</t>
  </si>
  <si>
    <t xml:space="preserve">            Official Creditors (DOD)</t>
  </si>
  <si>
    <t>DT.DOD.OFFT.CD, AS</t>
  </si>
  <si>
    <t xml:space="preserve">              ..Official multilateral (DOD)</t>
  </si>
  <si>
    <t>DT.DOD.MLAT.CD, AS</t>
  </si>
  <si>
    <t xml:space="preserve">                   ....of which IDA (DOD)</t>
  </si>
  <si>
    <t>DT.DOD.MIDA.CD, AS</t>
  </si>
  <si>
    <t xml:space="preserve">                   ....of which IBRD (DOD)</t>
  </si>
  <si>
    <t>DT.DOD.MIBR.CD, AS</t>
  </si>
  <si>
    <t xml:space="preserve">             ..Official bilateral (DOD)</t>
  </si>
  <si>
    <t>DT.DOD.BLAT.CD, AS</t>
  </si>
  <si>
    <t xml:space="preserve">    Private cred. (guaranteed) (DOD)</t>
  </si>
  <si>
    <t>DT.DOD.PRVT.CD, AS</t>
  </si>
  <si>
    <t xml:space="preserve">                Bonds (DOD)</t>
  </si>
  <si>
    <t>DT.DOD.PBND.CD, AS</t>
  </si>
  <si>
    <t xml:space="preserve">                Commercial Banks (DOD)</t>
  </si>
  <si>
    <t>DT.DOD.PCBK.CD, AS</t>
  </si>
  <si>
    <t xml:space="preserve">                Other Private (DOD)</t>
  </si>
  <si>
    <t>DT.DOD.POTH.CD, AS</t>
  </si>
  <si>
    <t>Private cred. non-guaranteed (DOD)</t>
  </si>
  <si>
    <t>DT.DOD.DPNG.CD, AS</t>
  </si>
  <si>
    <t>Use of IMF credit (DOD)</t>
  </si>
  <si>
    <t>DT.DOD.DIMF.CD, AS</t>
  </si>
  <si>
    <t>Short-term debt (DOD)</t>
  </si>
  <si>
    <t>DT.DOD.DSTC.CD, AS</t>
  </si>
  <si>
    <t>..Principal arrears</t>
  </si>
  <si>
    <t>DT.AXA.DPPG.CD, AS</t>
  </si>
  <si>
    <t>..Country share IBRD portfolio</t>
  </si>
  <si>
    <t>ORPH</t>
  </si>
  <si>
    <t>DG.DOD.MWBG.CD, AS</t>
  </si>
  <si>
    <t>Debt and Debt service Rescheduling Data</t>
  </si>
  <si>
    <t>A. Interest</t>
  </si>
  <si>
    <t>Note: only two items repeat IMF &amp; ST</t>
  </si>
  <si>
    <t xml:space="preserve">       1. Interest due per DRSa pipeline </t>
  </si>
  <si>
    <t>DT.INT.DRSP.CD, AS</t>
  </si>
  <si>
    <t xml:space="preserve">       2.      Adjustments to DRS pipeline  (if any)</t>
  </si>
  <si>
    <t>DT.INT.DRSA.CD, AS</t>
  </si>
  <si>
    <t xml:space="preserve">       3.      Less interest saved through debt reduction  </t>
  </si>
  <si>
    <t>DT.ISD.DLXF.CD, AS</t>
  </si>
  <si>
    <t xml:space="preserve">       4.      Plus interest on arrears/restructurin/DDSRb </t>
  </si>
  <si>
    <t>DT.INR.DLXF.CD, AS</t>
  </si>
  <si>
    <t xml:space="preserve">       5.      Plus interest due on new LTc debt </t>
  </si>
  <si>
    <t xml:space="preserve">       6.      Plus interest on STc debt </t>
  </si>
  <si>
    <t xml:space="preserve">       7.      Plus IMF service charges </t>
  </si>
  <si>
    <t xml:space="preserve">      8.  Subtotal interest due (scheduled basis)</t>
  </si>
  <si>
    <t xml:space="preserve">      9.  Adjustments to scheduled interest</t>
  </si>
  <si>
    <t>DT.INA.DECT.CD, AS</t>
  </si>
  <si>
    <t xml:space="preserve">     10.  a. Interest not paid</t>
  </si>
  <si>
    <t xml:space="preserve">     11.        Arrears accumulation</t>
  </si>
  <si>
    <t>DT.IXA.DECT.CD, AS</t>
  </si>
  <si>
    <t xml:space="preserve">     12.        Interest rescheduled</t>
  </si>
  <si>
    <t>DT.IXR.DECT.CD, AS</t>
  </si>
  <si>
    <t xml:space="preserve">     13.        Interest forgiven</t>
  </si>
  <si>
    <t>DT.IXF.DECT.CD, AS</t>
  </si>
  <si>
    <t xml:space="preserve">     14.  b. Arrears reduction (-)</t>
  </si>
  <si>
    <t>DT.IRA.DECT.CD, AS</t>
  </si>
  <si>
    <t xml:space="preserve">     15. Total interest paid (A8-A9) (cash basis) </t>
  </si>
  <si>
    <t>DT.INP.DECT.CD, AS</t>
  </si>
  <si>
    <t>B. Disbursements</t>
  </si>
  <si>
    <t xml:space="preserve">       1. Disbursements per DRS pipeline</t>
  </si>
  <si>
    <t>DT.DIS.DRSP.CD, AS</t>
  </si>
  <si>
    <t xml:space="preserve">       2.     Adjustments to DRS pipeline (if any)</t>
  </si>
  <si>
    <t>DT.DIS.DRSA.CD, AS</t>
  </si>
  <si>
    <t xml:space="preserve">       3.     Plus disbursements on new LT debt, of which</t>
  </si>
  <si>
    <t>DT.DIN.DLXF.CD, AS</t>
  </si>
  <si>
    <t xml:space="preserve">       4.           Disbursements for debt reduction</t>
  </si>
  <si>
    <t>DT.DIR.DLXF.CD, AS</t>
  </si>
  <si>
    <t xml:space="preserve">       5. Subtotal LT disbursements </t>
  </si>
  <si>
    <t xml:space="preserve">       6.      Plus net ST capital </t>
  </si>
  <si>
    <t xml:space="preserve">       7.      Plus IMF purchases </t>
  </si>
  <si>
    <t xml:space="preserve">       8. Total disbursements </t>
  </si>
  <si>
    <t>DT.DIP.DECT.CD, AS</t>
  </si>
  <si>
    <t>C. Principal repayments</t>
  </si>
  <si>
    <t xml:space="preserve">       1. Principal due per DRS pipeline</t>
  </si>
  <si>
    <t>DT.AMT.DRSP.CD, AS</t>
  </si>
  <si>
    <t xml:space="preserve">       2.      Adjustments to DRS pipeline (if any)</t>
  </si>
  <si>
    <t xml:space="preserve">      Net lending (ZCCM etc)</t>
  </si>
  <si>
    <t>Debt relief (non-HIPC)</t>
  </si>
  <si>
    <t>DT.AMT.DRSA.CD, AS</t>
  </si>
  <si>
    <t xml:space="preserve">       3.      Less principal  saved through debt reduction</t>
  </si>
  <si>
    <t>DT.ASD.DLXF.CD, AS</t>
  </si>
  <si>
    <t xml:space="preserve">       4.      Plus principal  on arrears/restructuring/DDSR </t>
  </si>
  <si>
    <t>DT.AMR.DLXF.CD, AS</t>
  </si>
  <si>
    <t xml:space="preserve">       5.      Plus principal on new LT debt </t>
  </si>
  <si>
    <t>DT.AMN.DLXF.CD, AS</t>
  </si>
  <si>
    <t xml:space="preserve">       6. Subtotal LT repayments due (scheduled basis) </t>
  </si>
  <si>
    <t xml:space="preserve">      7.       Plus IMF repurchases </t>
  </si>
  <si>
    <t xml:space="preserve">      8. Subtotal repayments due (scheduled basis) </t>
  </si>
  <si>
    <t>DT.AMD.DECT.CD, AS</t>
  </si>
  <si>
    <t xml:space="preserve">      9. Adjustments to scheduled principal repayments</t>
  </si>
  <si>
    <t>DT.AMA.DECT.CD, AS</t>
  </si>
  <si>
    <t xml:space="preserve">     10. a. Principal not paid </t>
  </si>
  <si>
    <t xml:space="preserve">     11.       Arrears accumulation </t>
  </si>
  <si>
    <t>DT.AXA.DECT.CD, AS</t>
  </si>
  <si>
    <t xml:space="preserve">     12.       Principal rescheduled </t>
  </si>
  <si>
    <t>DT.AXR.DECT.CD, AS</t>
  </si>
  <si>
    <t xml:space="preserve">     13.       Principal forgiven </t>
  </si>
  <si>
    <t>DT.AXF.DECT.CD, AS</t>
  </si>
  <si>
    <t xml:space="preserve">     14. b. Arrears reduction/prepayments </t>
  </si>
  <si>
    <t>DT.ARA.DECT.CD, AS</t>
  </si>
  <si>
    <t xml:space="preserve">     15.Total principal repayments made (C8-C9) (cash basis)</t>
  </si>
  <si>
    <t>DT.AMP.DECT.CD, AS</t>
  </si>
  <si>
    <t>D. Debt oustanding (end of period)</t>
  </si>
  <si>
    <t xml:space="preserve">       1. Long-term DODd per DRSa pipeline , of which</t>
  </si>
  <si>
    <t>DT.DOD.DRSP.CD, AS</t>
  </si>
  <si>
    <t xml:space="preserve">       2.            Existing principal arrears </t>
  </si>
  <si>
    <t>DT.DPA.DLXF.CD, AS</t>
  </si>
  <si>
    <t xml:space="preserve">       3.      Adjustments to DRS pipeline (if any)</t>
  </si>
  <si>
    <t>DT.DOD.DRSA.CD, AS</t>
  </si>
  <si>
    <t xml:space="preserve">       4.      Less reduction from forgiveness/DDSRb</t>
  </si>
  <si>
    <t>DT.DSD.DLXF.CD, AS</t>
  </si>
  <si>
    <t xml:space="preserve">       5.      Plus consolidation from restructuring/DDSR </t>
  </si>
  <si>
    <t>DT.DSC.DLXF.CD, AS</t>
  </si>
  <si>
    <t xml:space="preserve">       6.      Plus new principal arrears (+increase/-reduction) </t>
  </si>
  <si>
    <t>DT.DNA.DLXF.CD, AS</t>
  </si>
  <si>
    <t xml:space="preserve">       7.      Plus new LTc debt </t>
  </si>
  <si>
    <t>DT.DON.DLXF.CD, AS</t>
  </si>
  <si>
    <t xml:space="preserve">       8.      Plus STc debt, of which</t>
  </si>
  <si>
    <t xml:space="preserve">       9.            Interest arrears not yet capitalized  </t>
  </si>
  <si>
    <t>DT.DNI.DSTC.CD, AS</t>
  </si>
  <si>
    <t xml:space="preserve">      10.     Plus use of IMF credit </t>
  </si>
  <si>
    <t xml:space="preserve">      12. Total DOD, of which </t>
  </si>
  <si>
    <t>DT.DOD.DECT.CD, AS</t>
  </si>
  <si>
    <t xml:space="preserve">      13.           Total arrears (interest + principal) </t>
  </si>
  <si>
    <t>DT.DTA.DLXF.CD, AS</t>
  </si>
  <si>
    <t xml:space="preserve">      11.     Exchange rate impacts on DOD</t>
  </si>
  <si>
    <t>DT.DOX.DECT.CD, AS</t>
  </si>
  <si>
    <t xml:space="preserve">Adjustment due to debt write-offs </t>
  </si>
  <si>
    <t>DT.DWA.DECT.CD, AS</t>
  </si>
  <si>
    <t>Adj wrt Gov't scheduled Principal Repay (LCU)</t>
  </si>
  <si>
    <t>GFS</t>
  </si>
  <si>
    <t>GB.AMA.ABRD.CN, AS</t>
  </si>
  <si>
    <t>Adj wrt Gov't scheduled Interest payments (LCU)</t>
  </si>
  <si>
    <t>GB.TDS.ABRD.CN, AS</t>
  </si>
  <si>
    <t>External Debt: Memorandum Items</t>
  </si>
  <si>
    <t>Concessional DOD</t>
  </si>
  <si>
    <t>DT.DOD.ALLC.CD, AS</t>
  </si>
  <si>
    <t>% Debt on Concessional Terms</t>
  </si>
  <si>
    <t>DT.DOD.ALLC.ZS, AS</t>
  </si>
  <si>
    <t>% Bilateral Debt on Concessional Terms</t>
  </si>
  <si>
    <t>DT.DOD.BLTC.ZS, AS</t>
  </si>
  <si>
    <t>% Multilateral Debt on Concessional Terms</t>
  </si>
  <si>
    <t>DT.DOD.MLTC.ZS, AS</t>
  </si>
  <si>
    <t>Other Debt data</t>
  </si>
  <si>
    <t>IBRD commitments</t>
  </si>
  <si>
    <t>DT.COM.MIBR.CD, AS</t>
  </si>
  <si>
    <t xml:space="preserve">    of which fast Disbursing</t>
  </si>
  <si>
    <t>DT.COM.IBRF.CD, AS</t>
  </si>
  <si>
    <t>IDA commitments</t>
  </si>
  <si>
    <t>DT.COM.MIDA.CD, AS</t>
  </si>
  <si>
    <t>DT.COM.IDAF.CD, AS</t>
  </si>
  <si>
    <t>Trade Data -Current Prices</t>
  </si>
  <si>
    <t>Total merchandise exports (fob) cp</t>
  </si>
  <si>
    <t>Trade</t>
  </si>
  <si>
    <t>TX.VAL.MRCH.CD.WB, AS</t>
  </si>
  <si>
    <t>..Commodity 1 cp</t>
  </si>
  <si>
    <t>TX.VAL.COM1.CD.WB, AS</t>
  </si>
  <si>
    <t>..Commodity 2 cp</t>
  </si>
  <si>
    <t>TX.VAL.COM2.CD.WB, AS</t>
  </si>
  <si>
    <t>..Commodity 3 cp</t>
  </si>
  <si>
    <t>TX.VAL.COM3.CD.WB, AS</t>
  </si>
  <si>
    <t>..Commodity 4 cp</t>
  </si>
  <si>
    <t>TX.VAL.COM4.CD.WB, AS</t>
  </si>
  <si>
    <t>..Manufactured goods cp</t>
  </si>
  <si>
    <t>TX.VAL.MANF.CD.WB, AS</t>
  </si>
  <si>
    <t>..Other goods cp</t>
  </si>
  <si>
    <t>TX.VAL.RSDL.CD.WB, AS</t>
  </si>
  <si>
    <t>Total merchandise imports cp</t>
  </si>
  <si>
    <t>TM.VAL.MRCH.CD.WB, AS</t>
  </si>
  <si>
    <t>..Food cp</t>
  </si>
  <si>
    <t>TM.VAL.FOOD.CD.WB, AS</t>
  </si>
  <si>
    <t>..Other consumer goods cp</t>
  </si>
  <si>
    <t>TM.VAL.NFCG.CD.WB, AS</t>
  </si>
  <si>
    <t>..POL and other energy cp</t>
  </si>
  <si>
    <t>TM.VAL.ENGY.CD.WB, AS</t>
  </si>
  <si>
    <t>..Intermediate goods (n.e.i.) cp</t>
  </si>
  <si>
    <t>TM.VAL.RAWT.CD.WB, AS</t>
  </si>
  <si>
    <t>....Primary products cp</t>
  </si>
  <si>
    <t>TM.VAL.RAWP.CD.WB, AS</t>
  </si>
  <si>
    <t>....Manufactured goods cp</t>
  </si>
  <si>
    <t>TM.VAL.RAWM.CD.WB, AS</t>
  </si>
  <si>
    <t>..Capital goods cp</t>
  </si>
  <si>
    <t>TM.VAL.KGDS.CD.WB, AS</t>
  </si>
  <si>
    <t>Trade Data -Constant Prices</t>
  </si>
  <si>
    <t>Total merchandise exports (fob) kp</t>
  </si>
  <si>
    <t>TX.VAL.MRCH.KD.WB, GR</t>
  </si>
  <si>
    <t>..Commodity 1 kp</t>
  </si>
  <si>
    <t>TX.VAL.COM1.KD.WB, GR</t>
  </si>
  <si>
    <t>..Commodity 2 kp</t>
  </si>
  <si>
    <t>TX.VAL.COM2.KD.WB, GR</t>
  </si>
  <si>
    <t>..Commodity 3 kp</t>
  </si>
  <si>
    <t>TX.VAL.COM3.KD.WB, GR</t>
  </si>
  <si>
    <t>..Commodity 4 kp</t>
  </si>
  <si>
    <t>TX.VAL.COM4.KD.WB, GR</t>
  </si>
  <si>
    <t>..Manufactures kp</t>
  </si>
  <si>
    <t>TX.VAL.MANF.KD.WB, GR</t>
  </si>
  <si>
    <t>..Other exports kp</t>
  </si>
  <si>
    <t>TX.VAL.RSDL.KD.WB, GR</t>
  </si>
  <si>
    <t>Total merchandise imports (cif) kp</t>
  </si>
  <si>
    <t>TM.VAL.MRCH.KD.WB, GR</t>
  </si>
  <si>
    <t>..Food kp</t>
  </si>
  <si>
    <t>TM.VAL.FOOD.KD.WB, GR</t>
  </si>
  <si>
    <t>..Other consumer goods kp</t>
  </si>
  <si>
    <t>TM.VAL.NFCG.KD.WB, GR</t>
  </si>
  <si>
    <t>..POL and other energy kp</t>
  </si>
  <si>
    <t xml:space="preserve">       IMF credit (net)</t>
  </si>
  <si>
    <t>Debt relief (HIPC)</t>
  </si>
  <si>
    <t>Net changes in arrears (+inc)</t>
  </si>
  <si>
    <t>Change in net int'l reserves (-inc)</t>
  </si>
  <si>
    <t>TM.VAL.ENGY.KD.WB, GR</t>
  </si>
  <si>
    <t>..Intermediate goods (n.e.i.) kp</t>
  </si>
  <si>
    <t>TM.VAL.RAWT.KD.WB, GR</t>
  </si>
  <si>
    <t>....Primary products kp</t>
  </si>
  <si>
    <t>TM.VAL.RAWP.KD.WB, GR</t>
  </si>
  <si>
    <t>....Manufactured goods kp</t>
  </si>
  <si>
    <t>TM.VAL.RAWM.KD.WB, GR</t>
  </si>
  <si>
    <t>..Capital goods kp</t>
  </si>
  <si>
    <t>TM.VAL.KGDS.KD.WB, GR</t>
  </si>
  <si>
    <t>Export volume index, (nonfactor) services (YYYY = 100)</t>
  </si>
  <si>
    <t>TX.QTY.NFSV.XD, GR</t>
  </si>
  <si>
    <t>Exports of NFS - price index</t>
  </si>
  <si>
    <t>TX.PRI.NFSV.XU, GR</t>
  </si>
  <si>
    <t>Import volume index, (nonfactor) services (YYYY = 100)</t>
  </si>
  <si>
    <t>TM.QTY.NFSV.XD, GR</t>
  </si>
  <si>
    <t>Imports of NFS - price index</t>
  </si>
  <si>
    <t>TM.PRI.NFSV.XU, GR</t>
  </si>
  <si>
    <t>Trade Data</t>
  </si>
  <si>
    <t>Total Merchandise Exports (Vol '87=100)</t>
  </si>
  <si>
    <t>TX.QTY.MRCH.XD.WB, GR</t>
  </si>
  <si>
    <t xml:space="preserve">        Commodity 1</t>
  </si>
  <si>
    <t>TX.QTY.COM1.XD.WB, GR</t>
  </si>
  <si>
    <t xml:space="preserve">        Commodity 2</t>
  </si>
  <si>
    <t>TX.QTY.COM2.XD.WB, GR</t>
  </si>
  <si>
    <t xml:space="preserve">        Commodity 3</t>
  </si>
  <si>
    <t>TX.QTY.COM3.XD.WB, GR</t>
  </si>
  <si>
    <t xml:space="preserve">        Commodity 4</t>
  </si>
  <si>
    <t>TX.QTY.COM4.XD.WB, GR</t>
  </si>
  <si>
    <t xml:space="preserve">    Manufactures</t>
  </si>
  <si>
    <t>TX.QTY.MANF.XD.WB, GR</t>
  </si>
  <si>
    <t xml:space="preserve">    Other Exports</t>
  </si>
  <si>
    <t>TX.QTY.RSDL.XD.WB, GR</t>
  </si>
  <si>
    <t>Total Merchandise Imports (Vol '87=100)</t>
  </si>
  <si>
    <t>TM.QTY.MRCH.XD.WB, GR</t>
  </si>
  <si>
    <t xml:space="preserve">    Food</t>
  </si>
  <si>
    <t>TM.QTY.FOOD.XD.WB, GR</t>
  </si>
  <si>
    <t xml:space="preserve">    Other Consumer Goods</t>
  </si>
  <si>
    <t>TM.QTY.NFCG.XD.WB, GR</t>
  </si>
  <si>
    <t xml:space="preserve">    POL and Other Energy</t>
  </si>
  <si>
    <t>TM.QTY.ENGY.XD.WB, GR</t>
  </si>
  <si>
    <t xml:space="preserve">    Intermediate Goods</t>
  </si>
  <si>
    <t>TM.QTY.RAWT.XD.WB, GR</t>
  </si>
  <si>
    <t xml:space="preserve">        Primary</t>
  </si>
  <si>
    <t>TM.QTY.RAWP.XD.WB, GR</t>
  </si>
  <si>
    <t xml:space="preserve">        Manufactures</t>
  </si>
  <si>
    <t>TM.QTY.RAWM.XD.WB, GR</t>
  </si>
  <si>
    <t xml:space="preserve">    Capital Goods</t>
  </si>
  <si>
    <t>TM.QTY.KGDS.XD.WB, GR</t>
  </si>
  <si>
    <t>Petroleum Imports (US$)</t>
  </si>
  <si>
    <t>TM.VAL.PETR.CD, AS</t>
  </si>
  <si>
    <t>Export shares in world trade</t>
  </si>
  <si>
    <t>TX.SHR.WRLD.ZS, AS</t>
  </si>
  <si>
    <t>Real non-traditional exports (constant 1987 US $ M)</t>
  </si>
  <si>
    <t>D(LGDPK)</t>
  </si>
  <si>
    <t>D(LGEK)</t>
  </si>
  <si>
    <t>D(LCOPK)</t>
  </si>
  <si>
    <t xml:space="preserve"> Ordering: D(LCOPK) D(LGDPK) D(LGEK)</t>
  </si>
  <si>
    <t xml:space="preserve"> Ordering: D(LGEK) D(LGDPK) D(LCOPK)</t>
  </si>
  <si>
    <t>ToT</t>
  </si>
  <si>
    <t>TX.QTY.NONT.KD, GR</t>
  </si>
  <si>
    <t>Other exports price index</t>
  </si>
  <si>
    <t>TX.PRI.RSDL.XU, GR</t>
  </si>
  <si>
    <t>Merchandise Trade Price Indices</t>
  </si>
  <si>
    <t>Merchandise export price index (YYYY = 100)</t>
  </si>
  <si>
    <t>TX.PRI.MRCH.XD.WB, GR</t>
  </si>
  <si>
    <t>Merchandise import price index (YYYY = 100)</t>
  </si>
  <si>
    <t>TM.PRI.MRCH.XD.WB, GR</t>
  </si>
  <si>
    <t>Merchandise Terms of Trade</t>
  </si>
  <si>
    <t>TT.PRI.MRCH.XD.WB, GR</t>
  </si>
  <si>
    <t>Merchandise Trade: Other Price Indices</t>
  </si>
  <si>
    <t>TM.PRI.FOOD.XU, GR</t>
  </si>
  <si>
    <t xml:space="preserve">    Other consumer goods</t>
  </si>
  <si>
    <t>TM.PRI.NFCG.XU, GR</t>
  </si>
  <si>
    <t xml:space="preserve">    Primary goods</t>
  </si>
  <si>
    <t>TM.PRI.RAWP.XU, GR</t>
  </si>
  <si>
    <t xml:space="preserve">    Manufactured goods</t>
  </si>
  <si>
    <t>TM.PRI.MANF.XU, GR</t>
  </si>
  <si>
    <t xml:space="preserve">    POL and other energy</t>
  </si>
  <si>
    <t>TM.PRI.FUEL.XU, GR</t>
  </si>
  <si>
    <t xml:space="preserve">    Capital goods</t>
  </si>
  <si>
    <t>TM.PRI.KGDS.XU, GR</t>
  </si>
  <si>
    <t xml:space="preserve">    Commodity 1</t>
  </si>
  <si>
    <t>TX.PRI.CMD1.XU, GR</t>
  </si>
  <si>
    <t xml:space="preserve">    Commodity 2</t>
  </si>
  <si>
    <t>TX.PRI.CMD2.XU, GR</t>
  </si>
  <si>
    <t xml:space="preserve">    Commodity 3</t>
  </si>
  <si>
    <t>TX.PRI.CMD3.XU, GR</t>
  </si>
  <si>
    <t xml:space="preserve">    Commodity 4</t>
  </si>
  <si>
    <t>TX.PRI.CMD4.XU, GR</t>
  </si>
  <si>
    <t>TX.PRI.MANF.XU, GR</t>
  </si>
  <si>
    <t>Public Finance Data</t>
  </si>
  <si>
    <t>Input - RMSM</t>
  </si>
  <si>
    <t>2,1</t>
  </si>
  <si>
    <t>6,1</t>
  </si>
  <si>
    <t>8,1</t>
  </si>
  <si>
    <t>21,1</t>
  </si>
  <si>
    <t>2,2</t>
  </si>
  <si>
    <t>3,2</t>
  </si>
  <si>
    <t>4,2</t>
  </si>
  <si>
    <t>7,2</t>
  </si>
  <si>
    <t>8,2</t>
  </si>
  <si>
    <t>9,2</t>
  </si>
  <si>
    <t>10,2</t>
  </si>
  <si>
    <t>11,2</t>
  </si>
  <si>
    <t>12,2</t>
  </si>
  <si>
    <t>13,2</t>
  </si>
  <si>
    <t>14,2</t>
  </si>
  <si>
    <t>15,2</t>
  </si>
  <si>
    <t>16,2</t>
  </si>
  <si>
    <t>17,2</t>
  </si>
  <si>
    <t>18,2</t>
  </si>
  <si>
    <t>19,2</t>
  </si>
  <si>
    <t>20,2</t>
  </si>
  <si>
    <t>21,2</t>
  </si>
  <si>
    <t>22,2</t>
  </si>
  <si>
    <t>23,2</t>
  </si>
  <si>
    <t>24,2</t>
  </si>
  <si>
    <t>25,2</t>
  </si>
  <si>
    <t>26,2</t>
  </si>
  <si>
    <t>27,2</t>
  </si>
  <si>
    <t>28,2</t>
  </si>
  <si>
    <t>29,2</t>
  </si>
  <si>
    <t>30,2</t>
  </si>
  <si>
    <t>31,2</t>
  </si>
  <si>
    <t>32,2</t>
  </si>
  <si>
    <t>33,2</t>
  </si>
  <si>
    <t>34,2</t>
  </si>
  <si>
    <t>35,2</t>
  </si>
  <si>
    <t>36,2</t>
  </si>
  <si>
    <t>37,2</t>
  </si>
  <si>
    <t>38,2</t>
  </si>
  <si>
    <t>39,2</t>
  </si>
  <si>
    <t>40,2</t>
  </si>
  <si>
    <t>41,2</t>
  </si>
  <si>
    <t>42,2</t>
  </si>
  <si>
    <t>43,2</t>
  </si>
  <si>
    <t>44,2</t>
  </si>
  <si>
    <t>45,2</t>
  </si>
  <si>
    <t>46,2</t>
  </si>
  <si>
    <t>47,2</t>
  </si>
  <si>
    <t>48,2</t>
  </si>
  <si>
    <t>49,2</t>
  </si>
  <si>
    <t>50,2</t>
  </si>
  <si>
    <t>51,2</t>
  </si>
  <si>
    <t>52,2</t>
  </si>
  <si>
    <t>53,2</t>
  </si>
  <si>
    <t>54,2</t>
  </si>
  <si>
    <t>55,2</t>
  </si>
  <si>
    <t>56,2</t>
  </si>
  <si>
    <t>57,2</t>
  </si>
  <si>
    <t>58,2</t>
  </si>
  <si>
    <t>59,2</t>
  </si>
  <si>
    <t>60,2</t>
  </si>
  <si>
    <t>61,2</t>
  </si>
  <si>
    <t>62,2</t>
  </si>
  <si>
    <t>63,2</t>
  </si>
  <si>
    <t>64,2</t>
  </si>
  <si>
    <t>65,2</t>
  </si>
  <si>
    <t>66,2</t>
  </si>
  <si>
    <t>67,2</t>
  </si>
  <si>
    <t>68,2</t>
  </si>
  <si>
    <t>69,2</t>
  </si>
  <si>
    <t>70,2</t>
  </si>
  <si>
    <t>71,2</t>
  </si>
  <si>
    <t>72,2</t>
  </si>
  <si>
    <t>73,2</t>
  </si>
  <si>
    <t>74,2</t>
  </si>
  <si>
    <t>75,2</t>
  </si>
  <si>
    <t>76,2</t>
  </si>
  <si>
    <t>77,2</t>
  </si>
  <si>
    <t>78,2</t>
  </si>
  <si>
    <t>79,2</t>
  </si>
  <si>
    <t>80,2</t>
  </si>
  <si>
    <t>81,2</t>
  </si>
  <si>
    <t>82,2</t>
  </si>
  <si>
    <t>83,2</t>
  </si>
  <si>
    <t>84,2</t>
  </si>
  <si>
    <t>85,2</t>
  </si>
  <si>
    <t>86,2</t>
  </si>
  <si>
    <t>87,2</t>
  </si>
  <si>
    <t>88,2</t>
  </si>
  <si>
    <t>89,2</t>
  </si>
  <si>
    <t>90,2</t>
  </si>
  <si>
    <t>91,2</t>
  </si>
  <si>
    <t>92,2</t>
  </si>
  <si>
    <t>93,2</t>
  </si>
  <si>
    <t>94,2</t>
  </si>
  <si>
    <t>95,2</t>
  </si>
  <si>
    <t>96,2</t>
  </si>
  <si>
    <t>97,2</t>
  </si>
  <si>
    <t>98,2</t>
  </si>
  <si>
    <t>99,2</t>
  </si>
  <si>
    <t>100,2</t>
  </si>
  <si>
    <t>101,2</t>
  </si>
  <si>
    <t>102,2</t>
  </si>
  <si>
    <t>103,2</t>
  </si>
  <si>
    <t>104,2</t>
  </si>
  <si>
    <t>105,2</t>
  </si>
  <si>
    <t>106,2</t>
  </si>
  <si>
    <t>107,2</t>
  </si>
  <si>
    <t>108,2</t>
  </si>
  <si>
    <t>109,2</t>
  </si>
  <si>
    <t>110,2</t>
  </si>
  <si>
    <t>111,2</t>
  </si>
  <si>
    <t>112,2</t>
  </si>
  <si>
    <t>113,2</t>
  </si>
  <si>
    <t>114,2</t>
  </si>
  <si>
    <t>115,2</t>
  </si>
  <si>
    <t>116,2</t>
  </si>
  <si>
    <t>117,2</t>
  </si>
  <si>
    <t>118,2</t>
  </si>
  <si>
    <t>119,2</t>
  </si>
  <si>
    <t>120,2</t>
  </si>
  <si>
    <t>121,2</t>
  </si>
  <si>
    <t>2,3</t>
  </si>
  <si>
    <t>6,3</t>
  </si>
  <si>
    <t>13,3</t>
  </si>
  <si>
    <t>21,3</t>
  </si>
  <si>
    <t>72,3</t>
  </si>
  <si>
    <t>2,4</t>
  </si>
  <si>
    <t>6,4</t>
  </si>
  <si>
    <t>2,5</t>
  </si>
  <si>
    <t>3,5</t>
  </si>
  <si>
    <t>6,5</t>
  </si>
  <si>
    <t>3,6</t>
  </si>
  <si>
    <t>2,7</t>
  </si>
  <si>
    <t>5,7</t>
  </si>
  <si>
    <t>2,8</t>
  </si>
  <si>
    <t>2,9</t>
  </si>
  <si>
    <t>2,10</t>
  </si>
  <si>
    <t>2,11</t>
  </si>
  <si>
    <t>2,12</t>
  </si>
  <si>
    <t>2,13</t>
  </si>
  <si>
    <t>2,14</t>
  </si>
  <si>
    <t>Input - manual</t>
  </si>
  <si>
    <t>MACRO DATA</t>
  </si>
  <si>
    <t>SCENARIO</t>
  </si>
  <si>
    <t>5,2</t>
  </si>
  <si>
    <t>6,2</t>
  </si>
  <si>
    <t>133,2</t>
  </si>
  <si>
    <t>Population growth</t>
  </si>
  <si>
    <t>3. Inflation</t>
  </si>
  <si>
    <t>4. Real exchange rate</t>
  </si>
  <si>
    <t>5. Secondary enrollment</t>
  </si>
  <si>
    <t>6. Log Telephone lines/1000</t>
  </si>
  <si>
    <t>7. Terms of trade gain as % of GDP</t>
  </si>
  <si>
    <t>8. Interest on external debt, % of GDP</t>
  </si>
  <si>
    <t>9. OECD trading partner growth</t>
  </si>
  <si>
    <t>4. RER, 1995=100*</t>
  </si>
  <si>
    <t>5. Sec. enrollment, Gross, %</t>
  </si>
  <si>
    <t>6. Log # Tel. lines/1000 people</t>
  </si>
  <si>
    <t>*Easterly, 2001</t>
  </si>
  <si>
    <t>* Real over-valuation (???)</t>
  </si>
  <si>
    <t>135,2</t>
  </si>
  <si>
    <t>136,2</t>
  </si>
  <si>
    <t>137,2</t>
  </si>
  <si>
    <t>138,2</t>
  </si>
  <si>
    <t>1,3</t>
  </si>
  <si>
    <t>8,3</t>
  </si>
  <si>
    <t>10,3</t>
  </si>
  <si>
    <t>11,3</t>
  </si>
  <si>
    <t>14,3</t>
  </si>
  <si>
    <t>15,3</t>
  </si>
  <si>
    <t>16,3</t>
  </si>
  <si>
    <t>20,3</t>
  </si>
  <si>
    <t>22,3</t>
  </si>
  <si>
    <t>23,3</t>
  </si>
  <si>
    <t>24,3</t>
  </si>
  <si>
    <t>25,3</t>
  </si>
  <si>
    <t>26,3</t>
  </si>
  <si>
    <t>27,3</t>
  </si>
  <si>
    <t>28,3</t>
  </si>
  <si>
    <t>29,3</t>
  </si>
  <si>
    <t>30,3</t>
  </si>
  <si>
    <t>31,3</t>
  </si>
  <si>
    <t>32,3</t>
  </si>
  <si>
    <t>33,3</t>
  </si>
  <si>
    <t>34,3</t>
  </si>
  <si>
    <t>35,3</t>
  </si>
  <si>
    <t>36,3</t>
  </si>
  <si>
    <t>37,3</t>
  </si>
  <si>
    <t>38,3</t>
  </si>
  <si>
    <t>39,3</t>
  </si>
  <si>
    <t>40,3</t>
  </si>
  <si>
    <t>41,3</t>
  </si>
  <si>
    <t>42,3</t>
  </si>
  <si>
    <t>43,3</t>
  </si>
  <si>
    <t>44,3</t>
  </si>
  <si>
    <t>45,3</t>
  </si>
  <si>
    <t>46,3</t>
  </si>
  <si>
    <t>47,3</t>
  </si>
  <si>
    <t>49,3</t>
  </si>
  <si>
    <t>50,3</t>
  </si>
  <si>
    <t>51,3</t>
  </si>
  <si>
    <t>52,3</t>
  </si>
  <si>
    <t>53,3</t>
  </si>
  <si>
    <t>54,3</t>
  </si>
  <si>
    <t>55,3</t>
  </si>
  <si>
    <t>56,3</t>
  </si>
  <si>
    <t>57,3</t>
  </si>
  <si>
    <t>58,3</t>
  </si>
  <si>
    <t>59,3</t>
  </si>
  <si>
    <t>60,3</t>
  </si>
  <si>
    <t>62,3</t>
  </si>
  <si>
    <t>63,3</t>
  </si>
  <si>
    <t>64,3</t>
  </si>
  <si>
    <t>65,3</t>
  </si>
  <si>
    <t>66,3</t>
  </si>
  <si>
    <t>67,3</t>
  </si>
  <si>
    <t>68,3</t>
  </si>
  <si>
    <t>69,3</t>
  </si>
  <si>
    <t>70,3</t>
  </si>
  <si>
    <t>71,3</t>
  </si>
  <si>
    <t>73,3</t>
  </si>
  <si>
    <t>74,3</t>
  </si>
  <si>
    <t>75,3</t>
  </si>
  <si>
    <t>76,3</t>
  </si>
  <si>
    <t>77,3</t>
  </si>
  <si>
    <t>78,3</t>
  </si>
  <si>
    <t>79,3</t>
  </si>
  <si>
    <t>80,3</t>
  </si>
  <si>
    <t>81,3</t>
  </si>
  <si>
    <t>82,3</t>
  </si>
  <si>
    <t>83,3</t>
  </si>
  <si>
    <t>85,3</t>
  </si>
  <si>
    <t>86,3</t>
  </si>
  <si>
    <t>87,3</t>
  </si>
  <si>
    <t>89,3</t>
  </si>
  <si>
    <t>90,3</t>
  </si>
  <si>
    <t>92,3</t>
  </si>
  <si>
    <t>94,3</t>
  </si>
  <si>
    <t>95,3</t>
  </si>
  <si>
    <t>96,3</t>
  </si>
  <si>
    <t>97,3</t>
  </si>
  <si>
    <t>12,4</t>
  </si>
  <si>
    <t>47,1</t>
  </si>
  <si>
    <t>48,1</t>
  </si>
  <si>
    <t>49,1</t>
  </si>
  <si>
    <t>82,1</t>
  </si>
  <si>
    <t>83,1</t>
  </si>
  <si>
    <t>94,1</t>
  </si>
  <si>
    <t>106,1</t>
  </si>
  <si>
    <t>122,2</t>
  </si>
  <si>
    <t>123,2</t>
  </si>
  <si>
    <t>124,2</t>
  </si>
  <si>
    <t>125,2</t>
  </si>
  <si>
    <t>126,2</t>
  </si>
  <si>
    <t>127,2</t>
  </si>
  <si>
    <t>128,2</t>
  </si>
  <si>
    <t>129,2</t>
  </si>
  <si>
    <t>130,2</t>
  </si>
  <si>
    <t>132,2</t>
  </si>
  <si>
    <t>134,2</t>
  </si>
  <si>
    <t>139,2</t>
  </si>
  <si>
    <t>140,2</t>
  </si>
  <si>
    <t>141,2</t>
  </si>
  <si>
    <t>142,2</t>
  </si>
  <si>
    <t>143,2</t>
  </si>
  <si>
    <t>144,2</t>
  </si>
  <si>
    <t>145,2</t>
  </si>
  <si>
    <t>146,2</t>
  </si>
  <si>
    <t>147,2</t>
  </si>
  <si>
    <t>148,2</t>
  </si>
  <si>
    <t>4,3</t>
  </si>
  <si>
    <t>5,3</t>
  </si>
  <si>
    <t>12,3</t>
  </si>
  <si>
    <t>18,3</t>
  </si>
  <si>
    <t>19,3</t>
  </si>
  <si>
    <t>61,3</t>
  </si>
  <si>
    <t>10,5</t>
  </si>
  <si>
    <t>11,5</t>
  </si>
  <si>
    <t>12,5</t>
  </si>
  <si>
    <t>13,5</t>
  </si>
  <si>
    <t>14,5</t>
  </si>
  <si>
    <t>15,5</t>
  </si>
  <si>
    <t>16,5</t>
  </si>
  <si>
    <t>18,5</t>
  </si>
  <si>
    <t>27,5</t>
  </si>
  <si>
    <t>4,6</t>
  </si>
  <si>
    <t>8,6</t>
  </si>
  <si>
    <t>48,6</t>
  </si>
  <si>
    <t>119,6</t>
  </si>
  <si>
    <t>8,7</t>
  </si>
  <si>
    <t>82,7</t>
  </si>
  <si>
    <t>131,7</t>
  </si>
  <si>
    <t>132,7</t>
  </si>
  <si>
    <t>133,7</t>
  </si>
  <si>
    <t>8,8</t>
  </si>
  <si>
    <t>13,8</t>
  </si>
  <si>
    <t>33,8</t>
  </si>
  <si>
    <t>48,8</t>
  </si>
  <si>
    <t>129,8</t>
  </si>
  <si>
    <t>3,9</t>
  </si>
  <si>
    <t>4,9</t>
  </si>
  <si>
    <t>129,9</t>
  </si>
  <si>
    <t>3,10</t>
  </si>
  <si>
    <t>4,10</t>
  </si>
  <si>
    <t>128,10</t>
  </si>
  <si>
    <t>129,10</t>
  </si>
  <si>
    <t>129,11</t>
  </si>
  <si>
    <t>129,12</t>
  </si>
  <si>
    <t>129,13</t>
  </si>
  <si>
    <t>129,14</t>
  </si>
  <si>
    <t>128,15</t>
  </si>
  <si>
    <t>129,15</t>
  </si>
  <si>
    <t>129,16</t>
  </si>
  <si>
    <t>129,17</t>
  </si>
  <si>
    <t>129,18</t>
  </si>
  <si>
    <t>129,19</t>
  </si>
  <si>
    <t>HOUSEHOLD DATA</t>
  </si>
  <si>
    <t>1,2</t>
  </si>
  <si>
    <t>3,3</t>
  </si>
  <si>
    <t>17,3</t>
  </si>
  <si>
    <t>3,4</t>
  </si>
  <si>
    <t>4,4</t>
  </si>
  <si>
    <t>4,5</t>
  </si>
  <si>
    <t>3,7</t>
  </si>
  <si>
    <t>4,7</t>
  </si>
  <si>
    <t>3,8</t>
  </si>
  <si>
    <t>4,8</t>
  </si>
  <si>
    <t>3,11</t>
  </si>
  <si>
    <t>4,11</t>
  </si>
  <si>
    <t>3,12</t>
  </si>
  <si>
    <t>3,13</t>
  </si>
  <si>
    <t>3,14</t>
  </si>
  <si>
    <t>3,15</t>
  </si>
  <si>
    <t>4,15</t>
  </si>
  <si>
    <t>3,16</t>
  </si>
  <si>
    <t>4,16</t>
  </si>
  <si>
    <t>3,17</t>
  </si>
  <si>
    <t>4,17</t>
  </si>
  <si>
    <t>1,1</t>
  </si>
  <si>
    <t>4,1</t>
  </si>
  <si>
    <t>5,1</t>
  </si>
  <si>
    <t>11,1</t>
  </si>
  <si>
    <t>20,1</t>
  </si>
  <si>
    <t>39,1</t>
  </si>
  <si>
    <t>RESULTS</t>
  </si>
  <si>
    <t>3,1</t>
  </si>
  <si>
    <t>7,1</t>
  </si>
  <si>
    <t>9,1</t>
  </si>
  <si>
    <t>10,1</t>
  </si>
  <si>
    <t>12,1</t>
  </si>
  <si>
    <t>13,1</t>
  </si>
  <si>
    <t>14,1</t>
  </si>
  <si>
    <t>15,1</t>
  </si>
  <si>
    <t>16,1</t>
  </si>
  <si>
    <t>17,1</t>
  </si>
  <si>
    <t>18,1</t>
  </si>
  <si>
    <t>19,1</t>
  </si>
  <si>
    <t>22,1</t>
  </si>
  <si>
    <t>23,1</t>
  </si>
  <si>
    <t>24,1</t>
  </si>
  <si>
    <t>25,1</t>
  </si>
  <si>
    <t>26,1</t>
  </si>
  <si>
    <t>27,1</t>
  </si>
  <si>
    <t>28,1</t>
  </si>
  <si>
    <t>29,1</t>
  </si>
  <si>
    <t>30,1</t>
  </si>
  <si>
    <t>31,1</t>
  </si>
  <si>
    <t>32,1</t>
  </si>
  <si>
    <t>33,1</t>
  </si>
  <si>
    <t>34,1</t>
  </si>
  <si>
    <t>35,1</t>
  </si>
  <si>
    <t>36,1</t>
  </si>
  <si>
    <t>37,1</t>
  </si>
  <si>
    <t>38,1</t>
  </si>
  <si>
    <t>40,1</t>
  </si>
  <si>
    <t>41,1</t>
  </si>
  <si>
    <t>42,1</t>
  </si>
  <si>
    <t>43,1</t>
  </si>
  <si>
    <t>44,1</t>
  </si>
  <si>
    <t>45,1</t>
  </si>
  <si>
    <t>46,1</t>
  </si>
  <si>
    <t>50,1</t>
  </si>
  <si>
    <t>51,1</t>
  </si>
  <si>
    <t>76,1</t>
  </si>
  <si>
    <t>77,1</t>
  </si>
  <si>
    <t>78,1</t>
  </si>
  <si>
    <t>79,1</t>
  </si>
  <si>
    <t>80,1</t>
  </si>
  <si>
    <t>81,1</t>
  </si>
  <si>
    <t>84,1</t>
  </si>
  <si>
    <t>85,1</t>
  </si>
  <si>
    <t>86,1</t>
  </si>
  <si>
    <t>87,1</t>
  </si>
  <si>
    <t>88,1</t>
  </si>
  <si>
    <t>89,1</t>
  </si>
  <si>
    <t>90,1</t>
  </si>
  <si>
    <t>91,1</t>
  </si>
  <si>
    <t>92,1</t>
  </si>
  <si>
    <t>93,1</t>
  </si>
  <si>
    <t>95,1</t>
  </si>
  <si>
    <t>96,1</t>
  </si>
  <si>
    <t>97,1</t>
  </si>
  <si>
    <t>98,1</t>
  </si>
  <si>
    <t>99,1</t>
  </si>
  <si>
    <t>100,1</t>
  </si>
  <si>
    <t>101,1</t>
  </si>
  <si>
    <t>102,1</t>
  </si>
  <si>
    <t>103,1</t>
  </si>
  <si>
    <t>104,1</t>
  </si>
  <si>
    <t>105,1</t>
  </si>
  <si>
    <t>107,1</t>
  </si>
  <si>
    <t>108,1</t>
  </si>
  <si>
    <t>109,1</t>
  </si>
  <si>
    <t>110,1</t>
  </si>
  <si>
    <t>111,1</t>
  </si>
  <si>
    <t>7,3</t>
  </si>
  <si>
    <t>9,3</t>
  </si>
  <si>
    <t>analyze results</t>
  </si>
  <si>
    <t>28,4</t>
  </si>
  <si>
    <t>%-Deviations from prev. results</t>
  </si>
  <si>
    <t>112,1</t>
  </si>
  <si>
    <t>1,5</t>
  </si>
  <si>
    <t>Options Last Selected</t>
  </si>
  <si>
    <t>5,5</t>
  </si>
  <si>
    <t>7,5</t>
  </si>
  <si>
    <t>8,5</t>
  </si>
  <si>
    <t>9,5</t>
  </si>
  <si>
    <t>17,5</t>
  </si>
  <si>
    <t>Long-term shocks (if used) TO BE ADDED</t>
  </si>
  <si>
    <t>Options for the Base Case</t>
  </si>
  <si>
    <t>Total current revenues (incl. Current &amp; capital grants)</t>
  </si>
  <si>
    <t>GB.RVC.CTOT.CN, AS</t>
  </si>
  <si>
    <t>Total current revenues (incl. current grants)</t>
  </si>
  <si>
    <t>GB.RVC.IGRT.CN, AS</t>
  </si>
  <si>
    <t>Total Current Revenues, excluding Grants</t>
  </si>
  <si>
    <t>GB.REV.XGRT.CN, AS</t>
  </si>
  <si>
    <t>Current revenue, excluding grants (current LCU)</t>
  </si>
  <si>
    <t>GB.RVC.TOTL.CN, AS</t>
  </si>
  <si>
    <t>..Direct taxes</t>
  </si>
  <si>
    <t>GB.TAX.DRCT.CN, AS</t>
  </si>
  <si>
    <t>..Indirect taxes</t>
  </si>
  <si>
    <t>GB.TAX.IDRT.CN, AS</t>
  </si>
  <si>
    <t xml:space="preserve">    Taxes on international trade</t>
  </si>
  <si>
    <t>GB.TAX.INTT.CN, AS</t>
  </si>
  <si>
    <t xml:space="preserve">     Indirect taxes on dom. goods &amp; services</t>
  </si>
  <si>
    <t>GB.TAX.GSRV.CN, AS</t>
  </si>
  <si>
    <t xml:space="preserve">  Nontax Receipts, total</t>
  </si>
  <si>
    <t>GB.NTX.CIGR.CN, AS</t>
  </si>
  <si>
    <t>Grants, current  (current LCU)</t>
  </si>
  <si>
    <t>Growth Elasticity</t>
  </si>
  <si>
    <t>Normalized</t>
  </si>
  <si>
    <t>H. Exp to Avg. C</t>
  </si>
  <si>
    <t>Elasticity</t>
  </si>
  <si>
    <t>GB.GRT.CTOT.CN, AS</t>
  </si>
  <si>
    <t>Total current expenditures</t>
  </si>
  <si>
    <t>GB.XPC.TOTL.CN, AS</t>
  </si>
  <si>
    <t>..Interest on external debt</t>
  </si>
  <si>
    <t>GB.XPC.INTE.CN, AS</t>
  </si>
  <si>
    <t>..Interest on domestic debt</t>
  </si>
  <si>
    <t>GB.XPC.INTD.CN, AS</t>
  </si>
  <si>
    <t>..current transfers to NFPS</t>
  </si>
  <si>
    <t>GB.XPC.TRFN.CN, AS</t>
  </si>
  <si>
    <t>..Subsidies</t>
  </si>
  <si>
    <t>GB.XPC.SUBS.CN, AS</t>
  </si>
  <si>
    <t>..Consumption</t>
  </si>
  <si>
    <t>GB.XPC.GSRV.CN, AS</t>
  </si>
  <si>
    <t>....Wages and salaries</t>
  </si>
  <si>
    <t>GB.XPC.WAGE.CN, AS</t>
  </si>
  <si>
    <t>Capital revenues</t>
  </si>
  <si>
    <t xml:space="preserve">Averages for 1990-s for   </t>
  </si>
  <si>
    <t>Shock to baseline value (in respective units)</t>
  </si>
  <si>
    <t>REFERENCE:</t>
  </si>
  <si>
    <t>Average population growth, %</t>
  </si>
  <si>
    <t>Total effect, % pts.</t>
  </si>
  <si>
    <t>1. Black market premium (BMP)</t>
  </si>
  <si>
    <t>Enter desired shocks in green cells</t>
  </si>
  <si>
    <t>GDP growth: 1 - for baseline+ shocks, 2- for baseline only</t>
  </si>
  <si>
    <t>(except initial income)</t>
  </si>
  <si>
    <t>GDP growth deviations from the baseline projection caused by the chosen shocks to the short-term and the long-term components of GDP growth</t>
  </si>
  <si>
    <t xml:space="preserve">Long Run starts with period </t>
  </si>
  <si>
    <t>Short-term shocks (if used):</t>
  </si>
  <si>
    <t>Short-term shocks used in last run (if used):</t>
  </si>
  <si>
    <t>Current short-term shocks</t>
  </si>
  <si>
    <t>Short term (# of periods)</t>
  </si>
  <si>
    <t>Short Term</t>
  </si>
  <si>
    <t>Short-term adjustments to baseline GDP growth caused by the shock(s)</t>
  </si>
  <si>
    <t>GB.RVK.TOTL.CN, AS</t>
  </si>
  <si>
    <t>Expenditures and Net Lending</t>
  </si>
  <si>
    <t>GB.XPD.INLD.CN, AS</t>
  </si>
  <si>
    <t xml:space="preserve">   Total capital expenditures+net lending</t>
  </si>
  <si>
    <t>GB.XPK.INLD.CN, AS</t>
  </si>
  <si>
    <t xml:space="preserve">      Budgetary fixed investment</t>
  </si>
  <si>
    <t>GB.XPK.RINV.CN, AS</t>
  </si>
  <si>
    <t xml:space="preserve">   Capital Transfers to private sector</t>
  </si>
  <si>
    <t>GB.XPL.TRNL.CN, AS</t>
  </si>
  <si>
    <t>Official capital grants</t>
  </si>
  <si>
    <t>GB.GRT.KFRN.CN, AS</t>
  </si>
  <si>
    <t>Total government transfers</t>
  </si>
  <si>
    <t>GB.XPC.TRFO.CN, AS</t>
  </si>
  <si>
    <t>Government Finance:Overall</t>
  </si>
  <si>
    <t>Current budget balance, incl. curr. grants</t>
  </si>
  <si>
    <t>GB.BAL.CIGR.CN, AS</t>
  </si>
  <si>
    <t>Overall Surplus/Deficit</t>
  </si>
  <si>
    <t>GB.BAL.OVRL.CN, AS</t>
  </si>
  <si>
    <t>Overall Surplus/Deficit, excluding Grants</t>
  </si>
  <si>
    <t>GB.BAL.OVRX.CN, AS</t>
  </si>
  <si>
    <t>Primary Deficit, excluding interest</t>
  </si>
  <si>
    <t>GB.BAL.XINT.CN, AS</t>
  </si>
  <si>
    <t>Total Deficit Financing</t>
  </si>
  <si>
    <t>GB.FIN.IKFR.CN, AS</t>
  </si>
  <si>
    <t xml:space="preserve">   External borrowing (net)</t>
  </si>
  <si>
    <t>GB.FIN.ABRD.CN, AS</t>
  </si>
  <si>
    <t xml:space="preserve">   Monetary System Credit (net)</t>
  </si>
  <si>
    <t>GB.FIN.DMSY.CN, AS</t>
  </si>
  <si>
    <t xml:space="preserve">   Other Domestic Borrowing (net)</t>
  </si>
  <si>
    <t>GB.FIN.DNMS.CN, AS</t>
  </si>
  <si>
    <t>Government Finance: External &amp; domestic debt</t>
  </si>
  <si>
    <t>External debt in millions of US$</t>
  </si>
  <si>
    <t>GB.DOD.FRGN.CD, AS</t>
  </si>
  <si>
    <t>External debt in millions of LCUs</t>
  </si>
  <si>
    <t>GB.DOD.FRGN.CN, AS</t>
  </si>
  <si>
    <t>Total government debt (LCU mil)</t>
  </si>
  <si>
    <t>GB.DOD.TOTL.CN, AS</t>
  </si>
  <si>
    <t xml:space="preserve">    Domestic Debt: To Monetary System</t>
  </si>
  <si>
    <t>GB.DOD.DMSY.CN, AS</t>
  </si>
  <si>
    <t xml:space="preserve">    Domestic Debt: Other</t>
  </si>
  <si>
    <t>GB.DOD.DNMS.CN, AS</t>
  </si>
  <si>
    <t>Government Finance: Tariffs on imports</t>
  </si>
  <si>
    <t>Food</t>
  </si>
  <si>
    <t>TM.TAR.FOOD, AS</t>
  </si>
  <si>
    <t>Other consumer goods</t>
  </si>
  <si>
    <t>TM.TAR.NFCG, AS</t>
  </si>
  <si>
    <t>Primary goods</t>
  </si>
  <si>
    <t>TM.TAR.RAWP, AS</t>
  </si>
  <si>
    <t>Manufactured goods</t>
  </si>
  <si>
    <t>TM.TAR.MANF, AS</t>
  </si>
  <si>
    <t>POL and other energy</t>
  </si>
  <si>
    <t>TM.TAR.FUEL, AS</t>
  </si>
  <si>
    <t>Capital goods</t>
  </si>
  <si>
    <t>TM.TAR.KGDS, AS</t>
  </si>
  <si>
    <t>Nonfactor services</t>
  </si>
  <si>
    <t>TM.TAR.NFSV, AS</t>
  </si>
  <si>
    <t>Government Finance: Export subsidies (%)</t>
  </si>
  <si>
    <t>TX.SUB.CMD1.PC, AS</t>
  </si>
  <si>
    <t>TX.SUB.CMD2.PC, AS</t>
  </si>
  <si>
    <t>TX.SUB.CMD3.PC, AS</t>
  </si>
  <si>
    <t>TX.SUB.CMD4.PC, AS</t>
  </si>
  <si>
    <t>Manufacturing</t>
  </si>
  <si>
    <t>TX.SUB.MANF.PC, AS</t>
  </si>
  <si>
    <t>Other</t>
  </si>
  <si>
    <t>TX.SUB.OTHT.PC, AS</t>
  </si>
  <si>
    <t>TX.SUB.NFSV.PC, AS</t>
  </si>
  <si>
    <t>Money &amp; Credit: Annual Flows (LCUs)</t>
  </si>
  <si>
    <t>Total assets and foreign liabilities, flow (current LCU)</t>
  </si>
  <si>
    <t>Money</t>
  </si>
  <si>
    <t>FM.ASC.NFGD.CN, AS</t>
  </si>
  <si>
    <t>Net foreign assets, flow (current LCU)</t>
  </si>
  <si>
    <t>FM.ASC.NFRG.CN, AS</t>
  </si>
  <si>
    <t>Net domestic credit, flow (current LCU)</t>
  </si>
  <si>
    <t>FM.ASC.DOMS.CN, AS</t>
  </si>
  <si>
    <t xml:space="preserve">   To Non financial public sector</t>
  </si>
  <si>
    <t>FM.ASC.GOVT.CN, AS</t>
  </si>
  <si>
    <t>Claims on central government, flow (current LCU)</t>
  </si>
  <si>
    <t>FM.ASC.NCGV.CN, AS</t>
  </si>
  <si>
    <t>Delta</t>
  </si>
  <si>
    <t>Claims on other official entities, flow (current LCU)</t>
  </si>
  <si>
    <t>FM.ASC.OFFO.CN, AS</t>
  </si>
  <si>
    <t>Other financial institutions (flow)</t>
  </si>
  <si>
    <t>FM.ASC.OFIN.CN, AS</t>
  </si>
  <si>
    <t>Claims on private sector and other financial institutions, flow (current LCU)</t>
  </si>
  <si>
    <t>FM.ASC.TOTP.CN, AS</t>
  </si>
  <si>
    <t>Claims on private sector, flow (current LCU)</t>
  </si>
  <si>
    <t>FM.ASC.DOMO.CN, AS</t>
  </si>
  <si>
    <t>Money and quasi-money (M2), flow (current LCU)</t>
  </si>
  <si>
    <t>FM.LBC.MQMY.CN, AS</t>
  </si>
  <si>
    <t xml:space="preserve">        Demand deposits</t>
  </si>
  <si>
    <t>FS.XPC.DDPT.CN, AF</t>
  </si>
  <si>
    <t xml:space="preserve">        Time deposits</t>
  </si>
  <si>
    <t>FS.XPC.TDPT.CN, AF</t>
  </si>
  <si>
    <t>Other liabilities excluding M2, flow (current LCU)</t>
  </si>
  <si>
    <t>FM.LBC.XMQM.CN, AS</t>
  </si>
  <si>
    <t>Money &amp; Credit: End of Year Stocks (LCU)</t>
  </si>
  <si>
    <t>Total Assets &amp; Liabilities</t>
  </si>
  <si>
    <t>FM.AST.NFGD.CN, AS</t>
  </si>
  <si>
    <t>Net Foreign Assets (stock)</t>
  </si>
  <si>
    <t>FM.AST.NFRG.CN, AS</t>
  </si>
  <si>
    <t>Domestic credit (stock)</t>
  </si>
  <si>
    <t>FM.AST.DOMS.CN, AS</t>
  </si>
  <si>
    <t>..To Non-fin. Pub.sec (stock)</t>
  </si>
  <si>
    <t>FM.AST.GOVT.CN, AS</t>
  </si>
  <si>
    <t xml:space="preserve">       Government budget (stock)</t>
  </si>
  <si>
    <t>FM.AST.NCGV.CN, AS</t>
  </si>
  <si>
    <t xml:space="preserve">       Other non-fin pub. Sec</t>
  </si>
  <si>
    <t>FM.AST.OFFO.CN, AS</t>
  </si>
  <si>
    <t xml:space="preserve">  Other financial institutions(stock)</t>
  </si>
  <si>
    <t>FM.AST.OFIN.CN, AS</t>
  </si>
  <si>
    <t xml:space="preserve">  To Rest of Economy</t>
  </si>
  <si>
    <t>FM.AST.TOTP.CN, AS</t>
  </si>
  <si>
    <t xml:space="preserve">        Private Sector</t>
  </si>
  <si>
    <t>FM.AST.DOMO.CN, AS</t>
  </si>
  <si>
    <t>Money and quasimoney (stock)</t>
  </si>
  <si>
    <t>FM.LBL.MQMY.CN, AS</t>
  </si>
  <si>
    <t xml:space="preserve">    Other Liabilities</t>
  </si>
  <si>
    <t>FM.LBL.XMQM.CN, AS</t>
  </si>
  <si>
    <t>Net Intern'l Reserves Stock at end-of-year</t>
  </si>
  <si>
    <t>FM.AST.NFRG.CD, AS</t>
  </si>
  <si>
    <t>Money &amp; Credit: Real Interest Rates</t>
  </si>
  <si>
    <t xml:space="preserve">    Short term deposit</t>
  </si>
  <si>
    <t>FR.INR.DPST.DP, AS</t>
  </si>
  <si>
    <t xml:space="preserve">    Short term lending</t>
  </si>
  <si>
    <t>FR.INR.LEND, AS</t>
  </si>
  <si>
    <t>Time deposits interest rate (%)</t>
  </si>
  <si>
    <t>FR.INR.TDPT, AS</t>
  </si>
  <si>
    <t>Interest on bonds</t>
  </si>
  <si>
    <t>FR.INR.GBND, AS</t>
  </si>
  <si>
    <t>International interest rate (implicit)</t>
  </si>
  <si>
    <t>FR.INR.IMPL, AS</t>
  </si>
  <si>
    <t>Real interest rate</t>
  </si>
  <si>
    <t>FR.INR.RINR, AS</t>
  </si>
  <si>
    <t>Money market rate</t>
  </si>
  <si>
    <t>FR.INR.MMKT, AS</t>
  </si>
  <si>
    <t>Money &amp; Credit: Nominal Interest Rates</t>
  </si>
  <si>
    <t>Nominal interest rate</t>
  </si>
  <si>
    <t>FN.INR.RINR, AS</t>
  </si>
  <si>
    <t>FN.INR.DPST.DP, AS</t>
  </si>
  <si>
    <t>FN.INR.LEND, AS</t>
  </si>
  <si>
    <t>Interest on time deposits</t>
  </si>
  <si>
    <t>FN.INR.DPST.TD, AS</t>
  </si>
  <si>
    <t>FN.INR.GBND, AS</t>
  </si>
  <si>
    <t>FN.INR.MMKT, AS</t>
  </si>
  <si>
    <t>FN.INR.IMPL, AS</t>
  </si>
  <si>
    <t>Prices: Overall Price Indices</t>
  </si>
  <si>
    <t>GDP at market prices deflator (end period)</t>
  </si>
  <si>
    <t>NY.GDP.MKTP.XU.E, GR</t>
  </si>
  <si>
    <t>Consumer Price Index    (memo item)</t>
  </si>
  <si>
    <t>FP.CPI.TOTL, GR</t>
  </si>
  <si>
    <t>Wholesale price index (1987=100)</t>
  </si>
  <si>
    <t>FP.WPI.TOTL, GR</t>
  </si>
  <si>
    <t>Index of real wages</t>
  </si>
  <si>
    <t>FP.IND.RWAG, GR</t>
  </si>
  <si>
    <t xml:space="preserve">    General wage index</t>
  </si>
  <si>
    <t>FP.IND.GWAG, GR</t>
  </si>
  <si>
    <t xml:space="preserve">    Other index (urban, manuf. etc.)</t>
  </si>
  <si>
    <t>FP.IND.OTHR, GR</t>
  </si>
  <si>
    <t>MUV-Manuf. Index (1987=100)</t>
  </si>
  <si>
    <t>PX.MUV.TOTL, GR</t>
  </si>
  <si>
    <t>MUV-Manuf. (% change)</t>
  </si>
  <si>
    <t>PX.MUV.TOTL.XU, AS</t>
  </si>
  <si>
    <t>Exports of GNFS price index</t>
  </si>
  <si>
    <t>TX.PRI.GNFS.XU, GR</t>
  </si>
  <si>
    <t>Imports of GNFS price index</t>
  </si>
  <si>
    <t>TM.PRI.GNFS.XU, GR</t>
  </si>
  <si>
    <t>Prices: Exchange Rates</t>
  </si>
  <si>
    <t>Annual average (LCU/US$)</t>
  </si>
  <si>
    <t>PA.NUS.FCRF, AS</t>
  </si>
  <si>
    <t>At end-year (LCU/US$)</t>
  </si>
  <si>
    <t>PE.NUS.FCAE, AS</t>
  </si>
  <si>
    <t>Index real avg. X-rate (19XX = 100)</t>
  </si>
  <si>
    <t>PX.REC.REER, GR</t>
  </si>
  <si>
    <t>ATLAS exchange rate     (memo item)</t>
  </si>
  <si>
    <t>PA.NUS.ATLS, AS</t>
  </si>
  <si>
    <t>Prices: Others</t>
  </si>
  <si>
    <t>Ratio of domestic/intl. agricultural prices</t>
  </si>
  <si>
    <t>FP.PRI.OAGR, AS</t>
  </si>
  <si>
    <t>FP.PRI.CMD1, AS</t>
  </si>
  <si>
    <t>FP.PRI.CMD2, AS</t>
  </si>
  <si>
    <t>FP.PRI.CMD3, AS</t>
  </si>
  <si>
    <t>-----------Initial Estimates used as initial conditions for 1-2-3--------------</t>
  </si>
  <si>
    <t>billions kwacha</t>
  </si>
  <si>
    <t>Created by Delfin S. Go &amp; Leonid A. Koryukin</t>
  </si>
  <si>
    <t>Growth</t>
  </si>
  <si>
    <t>London gold price (US$ per ounce)</t>
  </si>
  <si>
    <t>PE.USG.LNDN, GR</t>
  </si>
  <si>
    <t>Memo Items</t>
  </si>
  <si>
    <t>Population              (memo item)</t>
  </si>
  <si>
    <t>Social</t>
  </si>
  <si>
    <t>SP.POP.TOTL, AS</t>
  </si>
  <si>
    <t>Per capita ATLAS GNP K$ (memo item)</t>
  </si>
  <si>
    <t>NY.GNP.PCAP.KD, GR</t>
  </si>
  <si>
    <t>$F$49,$F$50,$F$51,$F$52,$F$53,$F$54,$F$55,$F$56,$F$57,$F$58,$F$59,$F$60,$F$61,$F$62,$F$69,$F$68,$F$14,$F$23,$F$24,$F$25,$F$66,$F$13,$F$44,$F$32,$F$42,$F$26,$F$15</t>
  </si>
  <si>
    <t>COUNTRY=</t>
  </si>
  <si>
    <t>Scaling factor for data</t>
  </si>
  <si>
    <t>GDP ACCOUNT</t>
  </si>
  <si>
    <t>Base yr Inflation (%)</t>
  </si>
  <si>
    <t xml:space="preserve">Output elasticity of investment </t>
  </si>
  <si>
    <t>ICOR</t>
  </si>
  <si>
    <t>GDP at  market prices</t>
  </si>
  <si>
    <t xml:space="preserve">      Private consumption</t>
  </si>
  <si>
    <t xml:space="preserve">      Public consumption</t>
  </si>
  <si>
    <t xml:space="preserve">      Investment</t>
  </si>
  <si>
    <t xml:space="preserve">      Exports</t>
  </si>
  <si>
    <t xml:space="preserve">      Imports</t>
  </si>
  <si>
    <t xml:space="preserve">      Net indirect taxes</t>
  </si>
  <si>
    <t>GDP at factor prices</t>
  </si>
  <si>
    <t>FISCAL ACCOUNT</t>
  </si>
  <si>
    <t xml:space="preserve"> </t>
  </si>
  <si>
    <t>Revenue and grants</t>
  </si>
  <si>
    <t>Grants</t>
  </si>
  <si>
    <t>Revenue</t>
  </si>
  <si>
    <t xml:space="preserve">Non-tax revenue </t>
  </si>
  <si>
    <t>Tax revenue</t>
  </si>
  <si>
    <t xml:space="preserve">    Domestic indirect taxes</t>
  </si>
  <si>
    <t xml:space="preserve">    Customs duties</t>
  </si>
  <si>
    <t xml:space="preserve">    Export duties</t>
  </si>
  <si>
    <t xml:space="preserve">    Direct &amp; other taxes</t>
  </si>
  <si>
    <t>Current expenditure</t>
  </si>
  <si>
    <t>Goods and services</t>
  </si>
  <si>
    <t xml:space="preserve">    Wages and salaries</t>
  </si>
  <si>
    <t xml:space="preserve">    Other goods and services</t>
  </si>
  <si>
    <t>Subsidies and transfers</t>
  </si>
  <si>
    <t xml:space="preserve">     Export subsidies</t>
  </si>
  <si>
    <t xml:space="preserve">     Other subsidies</t>
  </si>
  <si>
    <t xml:space="preserve">     Other current transfers</t>
  </si>
  <si>
    <t>Interest on debt</t>
  </si>
  <si>
    <t xml:space="preserve">      Domestic debt</t>
  </si>
  <si>
    <t>Capital expenditure.</t>
  </si>
  <si>
    <t xml:space="preserve">      Public investment</t>
  </si>
  <si>
    <t xml:space="preserve">      Net lending</t>
  </si>
  <si>
    <t>Overall balance</t>
  </si>
  <si>
    <t>Total financing</t>
  </si>
  <si>
    <t>Domestic financing</t>
  </si>
  <si>
    <t xml:space="preserve">      Bank</t>
  </si>
  <si>
    <t>BOP ACCOUNT</t>
  </si>
  <si>
    <t>Imports prices(MUV)</t>
  </si>
  <si>
    <t>Exports prices</t>
  </si>
  <si>
    <t>Resource balance</t>
  </si>
  <si>
    <t xml:space="preserve">      Exports (g+nfs)</t>
  </si>
  <si>
    <t xml:space="preserve">      Imports (g+nfs)</t>
  </si>
  <si>
    <t>Net factor income</t>
  </si>
  <si>
    <t xml:space="preserve">      Net profit remittances</t>
  </si>
  <si>
    <t>Net foreign transfers</t>
  </si>
  <si>
    <t xml:space="preserve">       Official transfers</t>
  </si>
  <si>
    <t xml:space="preserve">       Private transfers </t>
  </si>
  <si>
    <t>Current account balance</t>
  </si>
  <si>
    <t>Capital account</t>
  </si>
  <si>
    <t>Financing</t>
  </si>
  <si>
    <t xml:space="preserve">       Other net liabilities</t>
  </si>
  <si>
    <t>TRADE ELASTICITIES (123 Model)</t>
  </si>
  <si>
    <t xml:space="preserve">     Exports (CET)</t>
  </si>
  <si>
    <t xml:space="preserve">     Imports (CES)</t>
  </si>
  <si>
    <t>Private saving rate</t>
  </si>
  <si>
    <t>MONETARY ACCOUNT</t>
  </si>
  <si>
    <t>Money supply (M2)</t>
  </si>
  <si>
    <t>Velocity</t>
  </si>
  <si>
    <t>GDP, Inflation, Investment</t>
  </si>
  <si>
    <t>percent change</t>
  </si>
  <si>
    <t>Inflation</t>
  </si>
  <si>
    <t>Investment</t>
  </si>
  <si>
    <t>Investment/GDP</t>
  </si>
  <si>
    <t>ratio to GDP</t>
  </si>
  <si>
    <t>tax/(C+G+I)</t>
  </si>
  <si>
    <t>tax/Imports</t>
  </si>
  <si>
    <t>tax/Exports</t>
  </si>
  <si>
    <t>tax/income</t>
  </si>
  <si>
    <t>ratio to exports</t>
  </si>
  <si>
    <t>ratio to C+I+G</t>
  </si>
  <si>
    <t>Overall fiscal balance</t>
  </si>
  <si>
    <t>Basic Parameters</t>
  </si>
  <si>
    <t>Current/Simulation Year</t>
  </si>
  <si>
    <t>yr</t>
  </si>
  <si>
    <t>Elasticity for CET  (st)</t>
  </si>
  <si>
    <t>st</t>
  </si>
  <si>
    <t>Elasticity for CES/Q (sq)</t>
  </si>
  <si>
    <t>sq</t>
  </si>
  <si>
    <t>Exogenous Variables</t>
  </si>
  <si>
    <t>Base Year</t>
  </si>
  <si>
    <t>Current</t>
  </si>
  <si>
    <t>Cur/Base</t>
  </si>
  <si>
    <t>GDP at market price</t>
  </si>
  <si>
    <t>GDP0</t>
  </si>
  <si>
    <t>GDP</t>
  </si>
  <si>
    <t>Real GDP Index</t>
  </si>
  <si>
    <t>RGDP0</t>
  </si>
  <si>
    <t>RGDP</t>
  </si>
  <si>
    <t>GDP deflator Index</t>
  </si>
  <si>
    <t>PGDP0</t>
  </si>
  <si>
    <t>PGDP</t>
  </si>
  <si>
    <t>Output (GDP at factor cost)</t>
  </si>
  <si>
    <t>X0</t>
  </si>
  <si>
    <t>X</t>
  </si>
  <si>
    <t>Price of Output</t>
  </si>
  <si>
    <t>Px0</t>
  </si>
  <si>
    <t>Px</t>
  </si>
  <si>
    <t xml:space="preserve">Investment </t>
  </si>
  <si>
    <t>Z0</t>
  </si>
  <si>
    <t>Z</t>
  </si>
  <si>
    <t xml:space="preserve">Private savings rate </t>
  </si>
  <si>
    <t>sy0</t>
  </si>
  <si>
    <t>sy</t>
  </si>
  <si>
    <t>Fiscal Account</t>
  </si>
  <si>
    <t>Import Tariffs</t>
  </si>
  <si>
    <t>tm0</t>
  </si>
  <si>
    <t>tm</t>
  </si>
  <si>
    <t>Export Duties</t>
  </si>
  <si>
    <t>te0</t>
  </si>
  <si>
    <t>te</t>
  </si>
  <si>
    <t>Indirect Taxes</t>
  </si>
  <si>
    <t>ts0</t>
  </si>
  <si>
    <t>ts</t>
  </si>
  <si>
    <t>Direct Taxes</t>
  </si>
  <si>
    <t>ty0</t>
  </si>
  <si>
    <t>ty</t>
  </si>
  <si>
    <t>Govt. Consumption</t>
  </si>
  <si>
    <t>G0</t>
  </si>
  <si>
    <t>G</t>
  </si>
  <si>
    <t xml:space="preserve">Govt. Transfers </t>
  </si>
  <si>
    <t>tr0</t>
  </si>
  <si>
    <t>tr</t>
  </si>
  <si>
    <t>Export subsidies  rate</t>
  </si>
  <si>
    <t>se0</t>
  </si>
  <si>
    <t>se</t>
  </si>
  <si>
    <t>Other Subsidies</t>
  </si>
  <si>
    <t>su0</t>
  </si>
  <si>
    <t>su</t>
  </si>
  <si>
    <t>Govt. consumption/GDP</t>
  </si>
  <si>
    <t>grat0</t>
  </si>
  <si>
    <t>grat</t>
  </si>
  <si>
    <t>Government transfers / GDP</t>
  </si>
  <si>
    <t>trat0</t>
  </si>
  <si>
    <t>trat</t>
  </si>
  <si>
    <t>Export subsidies/GDP</t>
  </si>
  <si>
    <t>erat0</t>
  </si>
  <si>
    <t>erat</t>
  </si>
  <si>
    <t>Other subsidies / GDP</t>
  </si>
  <si>
    <t>srat0</t>
  </si>
  <si>
    <t>srat</t>
  </si>
  <si>
    <t>Capital expenditure / GDP</t>
  </si>
  <si>
    <t>crat0</t>
  </si>
  <si>
    <t>crat</t>
  </si>
  <si>
    <t>Overall fiscal balance / GDP</t>
  </si>
  <si>
    <t>fbal0</t>
  </si>
  <si>
    <t>fbal</t>
  </si>
  <si>
    <t>Gfd0</t>
  </si>
  <si>
    <t>Gfd</t>
  </si>
  <si>
    <t>BOP Account</t>
  </si>
  <si>
    <t xml:space="preserve">World Price of Imports </t>
  </si>
  <si>
    <t>wm0</t>
  </si>
  <si>
    <t>wm</t>
  </si>
  <si>
    <t>World Price of Exports</t>
  </si>
  <si>
    <t>we0</t>
  </si>
  <si>
    <t>we</t>
  </si>
  <si>
    <t>Net Factor Income to Govt.</t>
  </si>
  <si>
    <t>nfyg0</t>
  </si>
  <si>
    <t>nfyg</t>
  </si>
  <si>
    <t>Net Factor Income to PS</t>
  </si>
  <si>
    <t>nfyp0</t>
  </si>
  <si>
    <t>nfyp</t>
  </si>
  <si>
    <t>Net Official Grants/Transfers</t>
  </si>
  <si>
    <t>nctg0</t>
  </si>
  <si>
    <t>nctg</t>
  </si>
  <si>
    <t xml:space="preserve">Net Private Transfers </t>
  </si>
  <si>
    <t>nctp0</t>
  </si>
  <si>
    <t>nctp</t>
  </si>
  <si>
    <t xml:space="preserve">Foreign Savings </t>
  </si>
  <si>
    <t>B0</t>
  </si>
  <si>
    <t>B</t>
  </si>
  <si>
    <t>Foreign Savings /GDP</t>
  </si>
  <si>
    <t>brat0</t>
  </si>
  <si>
    <t>brat</t>
  </si>
  <si>
    <t>Export Good (E)</t>
  </si>
  <si>
    <t>E0</t>
  </si>
  <si>
    <t>E</t>
  </si>
  <si>
    <t>Import Good (M)</t>
  </si>
  <si>
    <t>M0</t>
  </si>
  <si>
    <t>M</t>
  </si>
  <si>
    <t>Supply of Domestic Good (Ds)</t>
  </si>
  <si>
    <t>Ds0</t>
  </si>
  <si>
    <t>Ds</t>
  </si>
  <si>
    <t>Demand of Domestic Good (Dd)</t>
  </si>
  <si>
    <t>Dd0</t>
  </si>
  <si>
    <t>Dd</t>
  </si>
  <si>
    <t>Supply of Composite Good (Qs)</t>
  </si>
  <si>
    <t>Qs0</t>
  </si>
  <si>
    <t>Qs</t>
  </si>
  <si>
    <t>Demand of Composite Good (Qd)</t>
  </si>
  <si>
    <t>Qd0</t>
  </si>
  <si>
    <t>Qd</t>
  </si>
  <si>
    <t>Total Income (Y)</t>
  </si>
  <si>
    <t>Y0</t>
  </si>
  <si>
    <t>Y</t>
  </si>
  <si>
    <t>Aggregate Savings (S)</t>
  </si>
  <si>
    <t>S0</t>
  </si>
  <si>
    <t>S</t>
  </si>
  <si>
    <t>Consumption (Cn)</t>
  </si>
  <si>
    <t>Cn0</t>
  </si>
  <si>
    <t>Cn</t>
  </si>
  <si>
    <t>Import Price (Pm)</t>
  </si>
  <si>
    <t>Pm0</t>
  </si>
  <si>
    <t>Pm</t>
  </si>
  <si>
    <t>Export Price (Pe)</t>
  </si>
  <si>
    <t>Pe0</t>
  </si>
  <si>
    <t>Pe</t>
  </si>
  <si>
    <t>Sales Price (Pt)</t>
  </si>
  <si>
    <t>Pt0</t>
  </si>
  <si>
    <t>Pt</t>
  </si>
  <si>
    <t>Price of Supply (Pq)</t>
  </si>
  <si>
    <t>Pq0</t>
  </si>
  <si>
    <t>Pq</t>
  </si>
  <si>
    <t>Price of Dom. Good (Pd)</t>
  </si>
  <si>
    <t>Pd0</t>
  </si>
  <si>
    <t>Pd</t>
  </si>
  <si>
    <t>Gross Price of Output</t>
  </si>
  <si>
    <t>Py0</t>
  </si>
  <si>
    <t>Py</t>
  </si>
  <si>
    <t>Er0</t>
  </si>
  <si>
    <t>Er</t>
  </si>
  <si>
    <t>Real Exchange Rate (PPP)</t>
  </si>
  <si>
    <t>Rer0</t>
  </si>
  <si>
    <t>Rer</t>
  </si>
  <si>
    <t>Investment (Z)</t>
  </si>
  <si>
    <t>Money Supply</t>
  </si>
  <si>
    <t>MS0</t>
  </si>
  <si>
    <t>MS</t>
  </si>
  <si>
    <t>Money Velocity</t>
  </si>
  <si>
    <t>ve0</t>
  </si>
  <si>
    <t>ve</t>
  </si>
  <si>
    <t>Tax Revenue (TAX)</t>
  </si>
  <si>
    <t>Tax0</t>
  </si>
  <si>
    <t>Tax</t>
  </si>
  <si>
    <t>Government Savings (Sg)</t>
  </si>
  <si>
    <t>Sg0</t>
  </si>
  <si>
    <t>Sg</t>
  </si>
  <si>
    <t>Tax Adjustment</t>
  </si>
  <si>
    <t>taj0</t>
  </si>
  <si>
    <t>taj</t>
  </si>
  <si>
    <t xml:space="preserve">   Dom Tax Adjustment</t>
  </si>
  <si>
    <t>tad0</t>
  </si>
  <si>
    <t>tad</t>
  </si>
  <si>
    <t xml:space="preserve">   Adjusted import tariffs</t>
  </si>
  <si>
    <t>tm'</t>
  </si>
  <si>
    <t xml:space="preserve">   Adjusted export duties</t>
  </si>
  <si>
    <t>te'</t>
  </si>
  <si>
    <t xml:space="preserve">   Adjusted indirect taxes</t>
  </si>
  <si>
    <t>ts'</t>
  </si>
  <si>
    <t xml:space="preserve">   Adjusted direct taxes</t>
  </si>
  <si>
    <t>ty'</t>
  </si>
  <si>
    <t>Eq.#</t>
  </si>
  <si>
    <t>Equations</t>
  </si>
  <si>
    <t>Precision=</t>
  </si>
  <si>
    <t>acc</t>
  </si>
  <si>
    <t>Real Flows</t>
  </si>
  <si>
    <t>CET  Transformation</t>
  </si>
  <si>
    <t>a1_CET</t>
  </si>
  <si>
    <t xml:space="preserve">Supply of Goods </t>
  </si>
  <si>
    <t>a2_ARMG</t>
  </si>
  <si>
    <t xml:space="preserve">Domestic Demand </t>
  </si>
  <si>
    <t>a3_DEM</t>
  </si>
  <si>
    <t xml:space="preserve">E/D Ratio </t>
  </si>
  <si>
    <t>a4_EDRAT</t>
  </si>
  <si>
    <t xml:space="preserve">M/D Ratio </t>
  </si>
  <si>
    <t>a5_MDRAT</t>
  </si>
  <si>
    <t>Private Budget</t>
  </si>
  <si>
    <t xml:space="preserve">Total Income Equation </t>
  </si>
  <si>
    <t>a6_INC</t>
  </si>
  <si>
    <t xml:space="preserve"> Savings Equation </t>
  </si>
  <si>
    <t>a7_SAV</t>
  </si>
  <si>
    <t xml:space="preserve">Consumption Function </t>
  </si>
  <si>
    <t>a8_CONS</t>
  </si>
  <si>
    <t>Prices</t>
  </si>
  <si>
    <t xml:space="preserve">Import Price Equation </t>
  </si>
  <si>
    <t>a9_PM</t>
  </si>
  <si>
    <t xml:space="preserve">Export Price Equation </t>
  </si>
  <si>
    <t>b10_PE</t>
  </si>
  <si>
    <t xml:space="preserve">Sales Price Equation </t>
  </si>
  <si>
    <t>b11_PT</t>
  </si>
  <si>
    <t xml:space="preserve">Output Price Equation </t>
  </si>
  <si>
    <t>b12_PX</t>
  </si>
  <si>
    <t xml:space="preserve">Supply Price Equation </t>
  </si>
  <si>
    <t>b13_PQ</t>
  </si>
  <si>
    <t>Equilibrium Conditions</t>
  </si>
  <si>
    <t xml:space="preserve">Domestic Good Market </t>
  </si>
  <si>
    <t>b14_DEQ</t>
  </si>
  <si>
    <t xml:space="preserve">Composite Good Market </t>
  </si>
  <si>
    <t>b15_QEQ</t>
  </si>
  <si>
    <t>Current Account  Balance</t>
  </si>
  <si>
    <t>b16_CABAL</t>
  </si>
  <si>
    <t>Period</t>
  </si>
  <si>
    <t>Revenue Equation</t>
  </si>
  <si>
    <t>b17_TAX</t>
  </si>
  <si>
    <t>Government Budget</t>
  </si>
  <si>
    <t>b18_GBUD</t>
  </si>
  <si>
    <t>G/GDP</t>
  </si>
  <si>
    <t>b19_GC</t>
  </si>
  <si>
    <t xml:space="preserve">Tr/GDP </t>
  </si>
  <si>
    <t>b20_Trns</t>
  </si>
  <si>
    <t>Xsubsidy/GDP</t>
  </si>
  <si>
    <t>b21_se</t>
  </si>
  <si>
    <t xml:space="preserve">Osubsidy/GDP </t>
  </si>
  <si>
    <t>b22_su</t>
  </si>
  <si>
    <t>Fiscal Balance/GDP</t>
  </si>
  <si>
    <t>b23_Fbal</t>
  </si>
  <si>
    <t>Other Equations</t>
  </si>
  <si>
    <t>Money Equation</t>
  </si>
  <si>
    <t>b24_Money</t>
  </si>
  <si>
    <t>GDP Equation</t>
  </si>
  <si>
    <t>b25_GDP</t>
  </si>
  <si>
    <t>B/GDP</t>
  </si>
  <si>
    <t>b26_BOR</t>
  </si>
  <si>
    <t>GDP Deflator</t>
  </si>
  <si>
    <t>b27_Py</t>
  </si>
  <si>
    <t>REQ</t>
  </si>
  <si>
    <t>Output Price Equation (PXEQ)</t>
  </si>
  <si>
    <t>Numeraire (REQ)</t>
  </si>
  <si>
    <t xml:space="preserve">Net Output Price Equation </t>
  </si>
  <si>
    <t>PNEQ</t>
  </si>
  <si>
    <t>Derived Parameters</t>
  </si>
  <si>
    <t>Scale for CET (at)</t>
  </si>
  <si>
    <t>at</t>
  </si>
  <si>
    <t>Share for CET (bt)</t>
  </si>
  <si>
    <t>bt</t>
  </si>
  <si>
    <t>Rho for CET (rt)</t>
  </si>
  <si>
    <t>rt</t>
  </si>
  <si>
    <t>Scale for CES/Q (aq)</t>
  </si>
  <si>
    <t>aq</t>
  </si>
  <si>
    <t>Share for CES/Q (bq)</t>
  </si>
  <si>
    <t>bq</t>
  </si>
  <si>
    <t>Rho for CES/Q (rq)</t>
  </si>
  <si>
    <t>rq</t>
  </si>
  <si>
    <t>#</t>
  </si>
  <si>
    <t>MODELS - mode of adjustment to shocks</t>
  </si>
  <si>
    <t>A.   Adjust total investment                                    (savings driven)</t>
  </si>
  <si>
    <t>B.   Seek alternative investment financing thru      (investment driven)</t>
  </si>
  <si>
    <t xml:space="preserve">       i.   Foreign borrowing </t>
  </si>
  <si>
    <t xml:space="preserve">       ii.  Government savings</t>
  </si>
  <si>
    <t>visible</t>
  </si>
  <si>
    <t>Copy your VAR impulse responses from E-views into the green cells, keeping the shocks and the variables in columns AS INDICATED IN THE TWO LINES BELOW (select relevant range in the E-views output, use copy as formatted and then paste). Make sure that period 1 is in line 7, period 2 is in line 9, and so on... Responses for the first two out of the three variables are mandatory.</t>
  </si>
  <si>
    <t xml:space="preserve">               Expenditure adjustment      (public consumption)</t>
  </si>
  <si>
    <t xml:space="preserve">               Tax adjustment</t>
  </si>
  <si>
    <t xml:space="preserve">                     all taxes (incl. import tariffs and export duties)</t>
  </si>
  <si>
    <t xml:space="preserve">                     all domestic taxes</t>
  </si>
  <si>
    <t xml:space="preserve">                     domestic indirect taxes</t>
  </si>
  <si>
    <t xml:space="preserve">                     direct taxes</t>
  </si>
  <si>
    <t xml:space="preserve">  </t>
  </si>
  <si>
    <t xml:space="preserve">       iii. Targeted fiscal balance (foreign financing endogenous), adjusting</t>
  </si>
  <si>
    <t>ACCOUNT</t>
  </si>
  <si>
    <t>CATEGORY</t>
  </si>
  <si>
    <t>INDIVIDUAL ITEMS</t>
  </si>
  <si>
    <t>FISCAL</t>
  </si>
  <si>
    <t>I.  Revenue</t>
  </si>
  <si>
    <t>1. Revenue and grants</t>
  </si>
  <si>
    <t>2. Grants</t>
  </si>
  <si>
    <t>3. Revenue, before grants</t>
  </si>
  <si>
    <t>4. Revenue/GDPm  ( %)</t>
  </si>
  <si>
    <t xml:space="preserve">5. Non-tax revenue </t>
  </si>
  <si>
    <t>6. Tax revenue</t>
  </si>
  <si>
    <t>7. Tax revenue/GDPm (%)</t>
  </si>
  <si>
    <t>8.    Domestic indirect taxes</t>
  </si>
  <si>
    <t>9.    Customs duties</t>
  </si>
  <si>
    <t>10.   Export duties</t>
  </si>
  <si>
    <t>11.   Direct &amp; other taxes</t>
  </si>
  <si>
    <t>II.  Current expenditure</t>
  </si>
  <si>
    <t>1.  Current expenditure</t>
  </si>
  <si>
    <t>2.  Goods and services</t>
  </si>
  <si>
    <t>3.     Wages and salaries</t>
  </si>
  <si>
    <t>4.     Other goods and services</t>
  </si>
  <si>
    <t>5.  Subsidies and transfers</t>
  </si>
  <si>
    <t>6.      Export subsidies</t>
  </si>
  <si>
    <t>7.      Other subsidies</t>
  </si>
  <si>
    <t>8.      Other current transfers</t>
  </si>
  <si>
    <t>9.   Interest on debt</t>
  </si>
  <si>
    <t>III.  Capital expenditure</t>
  </si>
  <si>
    <t>IV.  Fiscal balance</t>
  </si>
  <si>
    <t>V.  Financing</t>
  </si>
  <si>
    <t>I.  GDP &amp; inflatiom</t>
  </si>
  <si>
    <t>GDP growth (%)</t>
  </si>
  <si>
    <t>Inflation (%)</t>
  </si>
  <si>
    <t>II.  Current prices</t>
  </si>
  <si>
    <t xml:space="preserve">          Public investment</t>
  </si>
  <si>
    <t>Domestic absorption</t>
  </si>
  <si>
    <t>III. Constant prices</t>
  </si>
  <si>
    <t>BOP</t>
  </si>
  <si>
    <t>I. CURRENT ACCOUNT</t>
  </si>
  <si>
    <t>II. CAPITAL ACCOUNT</t>
  </si>
  <si>
    <t>III. FINANCING</t>
  </si>
  <si>
    <t>Data</t>
  </si>
  <si>
    <t xml:space="preserve">           2000</t>
  </si>
  <si>
    <t xml:space="preserve">           2001</t>
  </si>
  <si>
    <t xml:space="preserve">           2002</t>
  </si>
  <si>
    <t xml:space="preserve">           2003</t>
  </si>
  <si>
    <t>revenue</t>
  </si>
  <si>
    <t>expenditure</t>
  </si>
  <si>
    <t>Current GDP at factor cost</t>
  </si>
  <si>
    <t>INITIAL YEARs</t>
  </si>
  <si>
    <t>Debt relief (flow/stock resch)</t>
  </si>
  <si>
    <t>Historical  Data   Base Year</t>
  </si>
  <si>
    <t>Foreign Debt</t>
  </si>
  <si>
    <t>External Debt</t>
  </si>
  <si>
    <t>Interest on Foreign debt</t>
  </si>
  <si>
    <t>Interest on Domestic debt</t>
  </si>
  <si>
    <t>index</t>
  </si>
  <si>
    <t>Nom. Foreign Exchange Rate</t>
  </si>
  <si>
    <t>base yr exch. Rate</t>
  </si>
  <si>
    <t>cur. yr. exch. rate</t>
  </si>
  <si>
    <t>Endogenous Variables / Results</t>
  </si>
  <si>
    <t>Financing gap</t>
  </si>
  <si>
    <t>Foreign Exchange Rate Index(Er)</t>
  </si>
  <si>
    <t>Output elasticity of investment</t>
  </si>
  <si>
    <t>Balance-of-Payments Equation</t>
  </si>
  <si>
    <t>b16_BOP</t>
  </si>
  <si>
    <t>Net Capital Inflows</t>
  </si>
  <si>
    <t>ncap</t>
  </si>
  <si>
    <t>ncap0</t>
  </si>
  <si>
    <t>gap0</t>
  </si>
  <si>
    <t>gap</t>
  </si>
  <si>
    <t>Financing gap /GDP</t>
  </si>
  <si>
    <t>Reserves as month of imports</t>
  </si>
  <si>
    <t>IV. Exchange Rate</t>
  </si>
  <si>
    <t>exo</t>
  </si>
  <si>
    <t>ben</t>
  </si>
  <si>
    <t>een</t>
  </si>
  <si>
    <t>ZAMBIA</t>
  </si>
  <si>
    <t>ZM</t>
  </si>
  <si>
    <t>Foreign exchange rate ('000 k/$)</t>
  </si>
  <si>
    <t>Expenditure and Lending</t>
  </si>
  <si>
    <t>Capital expenditure &amp; net lending</t>
  </si>
  <si>
    <t>Contingency</t>
  </si>
  <si>
    <t>Payment of domestic arrears</t>
  </si>
  <si>
    <t xml:space="preserve">    of which : payments of domestic arreas</t>
  </si>
  <si>
    <t>2. M2 as % of GDP</t>
  </si>
  <si>
    <t>1. BMP, %-points</t>
  </si>
  <si>
    <t>This sheet is not for data input !</t>
  </si>
  <si>
    <t xml:space="preserve">Change in balances/other </t>
  </si>
  <si>
    <t>Domestic balance, cash basis</t>
  </si>
  <si>
    <t>Overall balance, cash basis</t>
  </si>
  <si>
    <t xml:space="preserve">      Foreign debt </t>
  </si>
  <si>
    <t xml:space="preserve">           of which foreign financed</t>
  </si>
  <si>
    <t>External financing</t>
  </si>
  <si>
    <t xml:space="preserve">      Program loans</t>
  </si>
  <si>
    <t xml:space="preserve">      Project loans</t>
  </si>
  <si>
    <t xml:space="preserve">      Amortization due</t>
  </si>
  <si>
    <t xml:space="preserve">           of which foreign financed (ZCCM)</t>
  </si>
  <si>
    <t xml:space="preserve">      Net interest income (payment)</t>
  </si>
  <si>
    <t>Net current transfers</t>
  </si>
  <si>
    <t>Overall fiscal balance, before grants</t>
  </si>
  <si>
    <t>Primary fiscal balance</t>
  </si>
  <si>
    <t>Primary fiscal balance, before grants</t>
  </si>
  <si>
    <t>Net loan disburshment</t>
  </si>
  <si>
    <t xml:space="preserve">            Project loans</t>
  </si>
  <si>
    <t>ST capital/ errors &amp; omissions</t>
  </si>
  <si>
    <t>LT financial account</t>
  </si>
  <si>
    <t>Cur.account balance after grants</t>
  </si>
  <si>
    <t xml:space="preserve">    of which: project grants</t>
  </si>
  <si>
    <t>Cur.account balance</t>
  </si>
  <si>
    <t xml:space="preserve">       Of which official capital grants etc.</t>
  </si>
  <si>
    <t>Net changes in arrears</t>
  </si>
  <si>
    <t>Change in net int'l reserves</t>
  </si>
  <si>
    <t xml:space="preserve">       Change in gross reserves</t>
  </si>
  <si>
    <t>IMF credit (net)</t>
  </si>
  <si>
    <t>BOP support grants</t>
  </si>
  <si>
    <t>BOP support loans</t>
  </si>
  <si>
    <t xml:space="preserve">        Multilateral</t>
  </si>
  <si>
    <t xml:space="preserve">        Bilateral</t>
  </si>
  <si>
    <t xml:space="preserve">       source 1</t>
  </si>
  <si>
    <t xml:space="preserve">       source 2</t>
  </si>
  <si>
    <t xml:space="preserve">       source 3</t>
  </si>
  <si>
    <t xml:space="preserve">        Source 1</t>
  </si>
  <si>
    <t xml:space="preserve">        Source 2</t>
  </si>
  <si>
    <t xml:space="preserve">        Source 3</t>
  </si>
  <si>
    <t>Measurement Units</t>
  </si>
  <si>
    <t xml:space="preserve"> cty code=</t>
  </si>
  <si>
    <t>Definition/Unit</t>
  </si>
  <si>
    <t>Other fiscal financing</t>
  </si>
  <si>
    <t>Other BOP financing</t>
  </si>
  <si>
    <t xml:space="preserve">        before cap. grants</t>
  </si>
  <si>
    <t xml:space="preserve">    of which Wages and salaries</t>
  </si>
  <si>
    <t>$F$49,$F$50,$F$51,$F$52,$F$53,$F$54,$F$55,$F$56,$F$57,$F$58,$F$59,$F$60,$F$61,$F$62,$F$69,$F$68,$F$14,$F$23,$F$24,$F$25,$F$66,$F$10,$F$44,$F$32,$F$42,$F$26,$F$15</t>
  </si>
  <si>
    <t xml:space="preserve">    foreign current and project grants</t>
  </si>
  <si>
    <t>amount</t>
  </si>
  <si>
    <t xml:space="preserve">       Net profit remittances</t>
  </si>
  <si>
    <t xml:space="preserve">       Net interest income</t>
  </si>
  <si>
    <t>billions kwa</t>
  </si>
  <si>
    <t xml:space="preserve">BOP ACCOUNT </t>
  </si>
  <si>
    <t>million US$</t>
  </si>
  <si>
    <t>version=</t>
  </si>
  <si>
    <t>Checks</t>
  </si>
  <si>
    <t>Walras' law</t>
  </si>
  <si>
    <t>Z*Pt-S=</t>
  </si>
  <si>
    <t>GDP=</t>
  </si>
  <si>
    <t>foreign capital grant /GDP</t>
  </si>
  <si>
    <t>kgr0</t>
  </si>
  <si>
    <t>kgr</t>
  </si>
  <si>
    <t>fbal=</t>
  </si>
  <si>
    <t>E,M,Ds,Dd,Qs,Qd,Y,S,Cn,Pm,Pe,Pt,Pq,Pd,Tax,Sg,Er,tr,se,su,MS,GDP,gap,fbal,brat,grat,B</t>
  </si>
  <si>
    <t>Nominal Exchange Rate</t>
  </si>
  <si>
    <t xml:space="preserve">    domestic/intergovt. grants</t>
  </si>
  <si>
    <t xml:space="preserve">            of which foreign financed</t>
  </si>
  <si>
    <t>Main export comm (copper) price</t>
  </si>
  <si>
    <t>Exchange Rate (kwa/$)</t>
  </si>
  <si>
    <t>Exchange Rate (Index)</t>
  </si>
  <si>
    <t>Total</t>
  </si>
  <si>
    <t>Income</t>
  </si>
  <si>
    <t>Deciles</t>
  </si>
  <si>
    <t xml:space="preserve"> Profit D</t>
  </si>
  <si>
    <t>Profit E</t>
  </si>
  <si>
    <t>Wage</t>
  </si>
  <si>
    <t>Total Y</t>
  </si>
  <si>
    <t>PiD</t>
  </si>
  <si>
    <t>PiE</t>
  </si>
  <si>
    <t>W</t>
  </si>
  <si>
    <t xml:space="preserve">       Share</t>
  </si>
  <si>
    <t>Yh</t>
  </si>
  <si>
    <t>Exp M</t>
  </si>
  <si>
    <t>Exp D</t>
  </si>
  <si>
    <t>Total Exp</t>
  </si>
  <si>
    <t>Household Data</t>
  </si>
  <si>
    <t>Percent Changes in</t>
  </si>
  <si>
    <t xml:space="preserve">Pe </t>
  </si>
  <si>
    <t xml:space="preserve">Pm </t>
  </si>
  <si>
    <t xml:space="preserve">M </t>
  </si>
  <si>
    <t>D</t>
  </si>
  <si>
    <t>Household Expenditures</t>
  </si>
  <si>
    <t>Decile 1</t>
  </si>
  <si>
    <t>Decile 2</t>
  </si>
  <si>
    <t>Decile 3</t>
  </si>
  <si>
    <t>Decile 4</t>
  </si>
  <si>
    <t>Decile 5</t>
  </si>
  <si>
    <t>Decile 6</t>
  </si>
  <si>
    <t>Decile 7</t>
  </si>
  <si>
    <t>Decile 8</t>
  </si>
  <si>
    <t>Decile 9</t>
  </si>
  <si>
    <t>Decile 10</t>
  </si>
  <si>
    <t>Percent change in Real</t>
  </si>
  <si>
    <t>alpha</t>
  </si>
  <si>
    <t>beta</t>
  </si>
  <si>
    <t>lambda</t>
  </si>
  <si>
    <t>Real Wage</t>
  </si>
  <si>
    <t>Labor in E</t>
  </si>
  <si>
    <t>Labor in D</t>
  </si>
  <si>
    <t>Profits in E</t>
  </si>
  <si>
    <t>Profits in D</t>
  </si>
  <si>
    <t>Real Profits in E</t>
  </si>
  <si>
    <t>Real Profits in D</t>
  </si>
  <si>
    <t>Household Income</t>
  </si>
  <si>
    <t>12.  Capital expenditure.</t>
  </si>
  <si>
    <t>10.     Foreign debt</t>
  </si>
  <si>
    <t>11.     Domestic debt</t>
  </si>
  <si>
    <t>13.     Public investment</t>
  </si>
  <si>
    <t>14.     Net lending</t>
  </si>
  <si>
    <t>1.  Fiscal balance</t>
  </si>
  <si>
    <t>2.  Fiscal balance/GDPm (%)</t>
  </si>
  <si>
    <t>3.  Fiscal bal. excl. grants</t>
  </si>
  <si>
    <t>4.  Fiscal bal. excl. grnts/GDPm (%)</t>
  </si>
  <si>
    <t>5.  Fiscal balance, cash basis</t>
  </si>
  <si>
    <t>6.  Fiscal balance, cash basis /GDPm(%)</t>
  </si>
  <si>
    <t>7.  Dom. balance, cash basis</t>
  </si>
  <si>
    <t>8.  Dom. balance, cash basis /GDPm(%)</t>
  </si>
  <si>
    <t>Base year</t>
  </si>
  <si>
    <t>Last year</t>
  </si>
  <si>
    <t>Horizon chosen</t>
  </si>
  <si>
    <t>Adjustment type Last selected (X)</t>
  </si>
  <si>
    <t>Press to start solving</t>
  </si>
  <si>
    <t>Final distribution of Real</t>
  </si>
  <si>
    <t>Final non-normalized Real</t>
  </si>
  <si>
    <t>Inv.  Adj</t>
  </si>
  <si>
    <t>B Adj</t>
  </si>
  <si>
    <t>All taxes adj</t>
  </si>
  <si>
    <t>G adj</t>
  </si>
  <si>
    <t>Foreign Borrowing Fixed</t>
  </si>
  <si>
    <t>Fiscal Balance/GDP fixed but foreign borrowing free</t>
  </si>
  <si>
    <t>Dir. tax adj</t>
  </si>
  <si>
    <t>Ind. tax adj</t>
  </si>
  <si>
    <t>Dmtax adj</t>
  </si>
  <si>
    <t>Lists</t>
  </si>
  <si>
    <t>Max</t>
  </si>
  <si>
    <t>Count</t>
  </si>
  <si>
    <t>Real Exchange Rate Equation</t>
  </si>
  <si>
    <t>$F$49,$F$50,$F$51,$F$52,$F$53,$F$54,$F$55,$F$56,$F$57,$F$58,$F$59,$F$60,$F$61,$F$62,$F$69,$F$68,$F$14,$F$23,$F$24,$F$25,$F$66,$F$10,$F$44,$F$32,$F$42,$F$26,$F$41</t>
  </si>
  <si>
    <t>$F$49,$F$50,$F$51,$F$52,$F$53,$F$54,$F$55,$F$56,$F$57,$F$58,$F$59,$F$60,$F$61,$F$62,$F$69,$F$68,$F$14,$F$23,$F$24,$F$25,$F$66,$F$10,$F$44,$F$32,$F$42,$F$26,$F$22</t>
  </si>
  <si>
    <t>$F$49,$F$50,$F$51,$F$52,$F$53,$F$54,$F$55,$F$56,$F$57,$F$58,$F$59,$F$60,$F$61,$F$62,$F$69,$F$68,$F$14,$F$23,$F$24,$F$25,$F$66,$F$10,$F$44,$F$32,$F$42,$F$26,$F$70</t>
  </si>
  <si>
    <t>$F$49,$F$50,$F$51,$F$52,$F$53,$F$54,$F$55,$F$56,$F$57,$F$58,$F$59,$F$60,$F$61,$F$62,$F$69,$F$68,$F$14,$F$23,$F$24,$F$25,$F$66,$F$10,$F$44,$F$32,$F$42,$F$26,$F$20</t>
  </si>
  <si>
    <t>$F$49,$F$50,$F$51,$F$52,$F$53,$F$54,$F$55,$F$56,$F$57,$F$58,$F$59,$F$60,$F$61,$F$62,$F$69,$F$68,$F$14,$F$23,$F$24,$F$25,$F$66,$F$10,$F$44,$F$32,$F$42,$F$26,$F$21</t>
  </si>
  <si>
    <t>$F$49,$F$50,$F$51,$F$52,$F$53,$F$54,$F$55,$F$56,$F$57,$F$58,$F$59,$F$60,$F$61,$F$62,$F$69,$F$68,$F$14,$F$23,$F$24,$F$25,$F$66,$F$10,$F$44,$F$42,$F$26,$F$41,$F$22</t>
  </si>
  <si>
    <t>$F$49,$F$50,$F$51,$F$52,$F$53,$F$54,$F$55,$F$56,$F$57,$F$58,$F$59,$F$60,$F$61,$F$62,$F$69,$F$68,$F$14,$F$23,$F$24,$F$25,$F$66,$F$10,$F$44,$F$42,$F$26,$F$41,$F$70</t>
  </si>
  <si>
    <t>$F$49,$F$50,$F$51,$F$52,$F$53,$F$54,$F$55,$F$56,$F$57,$F$58,$F$59,$F$60,$F$61,$F$62,$F$69,$F$68,$F$14,$F$23,$F$24,$F$25,$F$66,$F$10,$F$44,$F$42,$F$26,$F$41,$F$71</t>
  </si>
  <si>
    <t>$F$49,$F$50,$F$51,$F$52,$F$53,$F$54,$F$55,$F$56,$F$57,$F$58,$F$59,$F$60,$F$61,$F$62,$F$69,$F$68,$F$14,$F$23,$F$24,$F$25,$F$66,$F$10,$F$44,$F$42,$F$26,$F$41,$F$20</t>
  </si>
  <si>
    <t>$F$49,$F$50,$F$51,$F$52,$F$53,$F$54,$F$55,$F$56,$F$57,$F$58,$F$59,$F$60,$F$61,$F$62,$F$69,$F$68,$F$14,$F$23,$F$24,$F$25,$F$66,$F$10,$F$44,$F$42,$F$26,$F$41,$F$21</t>
  </si>
  <si>
    <t>$F$49,$F$50,$F$51,$F$52,$F$53,$F$54,$F$55,$F$56,$F$57,$F$58,$F$59,$F$60,$F$61,$F$62,$F$69,$F$68,$F$14,$F$23,$F$24,$F$25,$F$66,$F$10,$F$44,$F$32,$F$42,$F$26,$F$71</t>
  </si>
  <si>
    <t>1000 K/US$</t>
  </si>
  <si>
    <t>Sourced from RMSM's ORD</t>
  </si>
  <si>
    <t>Sourced from RMSM's GOV</t>
  </si>
  <si>
    <t xml:space="preserve">      Nonbank and others per RMSM (accrual)</t>
  </si>
  <si>
    <t xml:space="preserve">            Amortization (incl. Program loans, excl. IMF)</t>
  </si>
  <si>
    <t>Change in net foreign assets of com.  banks</t>
  </si>
  <si>
    <t>Sourced from RMSM's BOP</t>
  </si>
  <si>
    <t>Financing gap= actual gap+(payments of dom. Arr. +changes in balances)</t>
  </si>
  <si>
    <t>Private foreign direct &amp; portf. investment</t>
  </si>
  <si>
    <t>Adjustments to scheduled debt service</t>
  </si>
  <si>
    <t>Enter additional data in green cells</t>
  </si>
  <si>
    <t>Sourced from RMSM's SNA</t>
  </si>
  <si>
    <t>-----------Bank/IMF Staff Estimates used as initial conditions for 1-2-3--------------</t>
  </si>
  <si>
    <t>Enter data in green cells</t>
  </si>
  <si>
    <t>Sourced from RMSM's ASU - 123</t>
  </si>
  <si>
    <t>Base yr real GDP growth (%) -- mkt pr.</t>
  </si>
  <si>
    <t>Financing gap= actual gap (zero per RMSM)+(payments of dom. Arr. +changes in balances)</t>
  </si>
  <si>
    <t xml:space="preserve">       Of which official capital grants</t>
  </si>
  <si>
    <t>Sourced from RMSM's CASLINK</t>
  </si>
  <si>
    <t>Sourced from RMSM's MON</t>
  </si>
  <si>
    <t>External Debt w/o arrears</t>
  </si>
  <si>
    <t>????</t>
  </si>
  <si>
    <t>Real GDP at market prices</t>
  </si>
  <si>
    <t>Base yr real GDP growth (%), mkt prices</t>
  </si>
  <si>
    <t>-----------Initial RMSM Estimates used as initial conditions for 1-2-3--------------</t>
  </si>
  <si>
    <t>Imports prices(GNFS)</t>
  </si>
  <si>
    <t>Exports prices(GNFS)</t>
  </si>
  <si>
    <t>Sourced from RMSM's PIT</t>
  </si>
  <si>
    <t>Deflator (Px)</t>
  </si>
  <si>
    <t>Imports prices</t>
  </si>
  <si>
    <t>Solving year:</t>
  </si>
  <si>
    <t>Solution watch</t>
  </si>
  <si>
    <t>Effect on GDP and prices</t>
  </si>
  <si>
    <t>Inflation (GDP deflator) (%) - growth px</t>
  </si>
  <si>
    <t>Nominal exchange rate index (1st step)</t>
  </si>
  <si>
    <t xml:space="preserve">Impulse response elasticities of the cyclical components of: </t>
  </si>
  <si>
    <t xml:space="preserve"> ToT (copper price)</t>
  </si>
  <si>
    <t xml:space="preserve">Gov-t exp. (consumption) </t>
  </si>
  <si>
    <t>LGDPKC</t>
  </si>
  <si>
    <t>LCOPKC</t>
  </si>
  <si>
    <t>LGEKC</t>
  </si>
  <si>
    <t>LRERC</t>
  </si>
  <si>
    <t xml:space="preserve"> Period</t>
  </si>
  <si>
    <t>Effect of one st. dev. Innovation in LCOPKC</t>
  </si>
  <si>
    <t xml:space="preserve"> Ordering: LGEKC LGDPKC LRERC LCOPKC</t>
  </si>
  <si>
    <t>Effect of one st. dev. Innovation in LGEKC</t>
  </si>
  <si>
    <t xml:space="preserve"> Ordering: LGDPKC LGEKC LRERC LCOPKC</t>
  </si>
  <si>
    <t>to an impulse shock in period 1 to the cyclical component of:</t>
  </si>
  <si>
    <t>TOT (copper price)</t>
  </si>
  <si>
    <t>Used in calibration to external TOT projections</t>
  </si>
  <si>
    <t>Simulating unexpected disturbances to:</t>
  </si>
  <si>
    <t>TOT</t>
  </si>
  <si>
    <t>Propagation: effect on GDP growth (not level)</t>
  </si>
  <si>
    <t>TOTAL IMPACT</t>
  </si>
  <si>
    <t>Year (up to the model horizon)</t>
  </si>
  <si>
    <t>Nominal exchange rate (after 2 step)</t>
  </si>
  <si>
    <t>Nominal exchange rate (after 1 steps)</t>
  </si>
  <si>
    <t>World price of exports (% growth)</t>
  </si>
  <si>
    <t xml:space="preserve">World price of exports </t>
  </si>
  <si>
    <t>If I recalculate Pe (after 2 step)</t>
  </si>
  <si>
    <t>Price of exports in local currency Pe (growth)</t>
  </si>
  <si>
    <t>Domestic price (growth) Pd</t>
  </si>
  <si>
    <t>Pe/Pd</t>
  </si>
  <si>
    <t>Pm/Pd</t>
  </si>
  <si>
    <t>Px/Pd</t>
  </si>
  <si>
    <t>Real Sector</t>
  </si>
  <si>
    <t>E/X</t>
  </si>
  <si>
    <t>M/A</t>
  </si>
  <si>
    <t>E/D</t>
  </si>
  <si>
    <t>M/D</t>
  </si>
  <si>
    <t xml:space="preserve">Household data </t>
  </si>
  <si>
    <t>%change in income</t>
  </si>
  <si>
    <t>Share</t>
  </si>
  <si>
    <t>Year</t>
  </si>
  <si>
    <t>Income Deciles</t>
  </si>
  <si>
    <t>If I calculate Pe (after 1 step)</t>
  </si>
  <si>
    <t>Results II</t>
  </si>
  <si>
    <t>Results I</t>
  </si>
  <si>
    <t>Current:</t>
  </si>
  <si>
    <t>Adjust ?</t>
  </si>
  <si>
    <t>Adjust ? 1 - No, 2- Yes</t>
  </si>
  <si>
    <t>GENERAL ASSUMPTIONS</t>
  </si>
  <si>
    <t>Outcomes</t>
  </si>
  <si>
    <t>=</t>
  </si>
  <si>
    <t>Copy all irrelevant items from ASU-RMSM</t>
  </si>
  <si>
    <t>CLOSURE</t>
  </si>
  <si>
    <t>CLOSURE=</t>
  </si>
  <si>
    <t>Private</t>
  </si>
  <si>
    <t>Scale of US$ values</t>
  </si>
  <si>
    <t>(6=millions, 9=billions, 12=trillions)</t>
  </si>
  <si>
    <t>Scale of LCU values</t>
  </si>
  <si>
    <t>A NY GDP MKTP ZG</t>
  </si>
  <si>
    <t>GDP Growth (Public &amp; Private closure)</t>
  </si>
  <si>
    <t>A NY GDP MKTP ZG A</t>
  </si>
  <si>
    <t>GDP Inflation (p.a.) (Public &amp; Private closure)</t>
  </si>
  <si>
    <t>A NE GDI ICOR KN</t>
  </si>
  <si>
    <t xml:space="preserve">ICOR </t>
  </si>
  <si>
    <t>A PX MUV TOTL ZG</t>
  </si>
  <si>
    <t>MUV Growth Rate</t>
  </si>
  <si>
    <t>A SP POP TOTL ZG</t>
  </si>
  <si>
    <t>Population Growth</t>
  </si>
  <si>
    <t>A PA NUS FCRF ZG</t>
  </si>
  <si>
    <t>Nominal Devaluation Rate of the period average exchange rate</t>
  </si>
  <si>
    <t>(#BLANK means Real Exchange Rate is constant)</t>
  </si>
  <si>
    <t>EXTERNAL SECTOR</t>
  </si>
  <si>
    <t>-</t>
  </si>
  <si>
    <t>(a) Trade Balance</t>
  </si>
  <si>
    <t>RER-Elasticity of Imports:</t>
  </si>
  <si>
    <t>A PM RER FOOD KE</t>
  </si>
  <si>
    <t xml:space="preserve">  Food</t>
  </si>
  <si>
    <t>A PM RER NFCG KE</t>
  </si>
  <si>
    <t xml:space="preserve">  Other Consumer Goods</t>
  </si>
  <si>
    <t>A PM RER RAWP KE</t>
  </si>
  <si>
    <t xml:space="preserve">  Primary Goods</t>
  </si>
  <si>
    <t>A PM RER MANF KE</t>
  </si>
  <si>
    <t xml:space="preserve">  Manufactured Goods</t>
  </si>
  <si>
    <t>A PM RER FUEL KE</t>
  </si>
  <si>
    <t xml:space="preserve">  POL and Other Energy</t>
  </si>
  <si>
    <t>A PM RER KGDS KE</t>
  </si>
  <si>
    <t xml:space="preserve">  Capital Goods</t>
  </si>
  <si>
    <t>A PM RER NFSV KE</t>
  </si>
  <si>
    <t xml:space="preserve">  Nonfactor Services</t>
  </si>
  <si>
    <t>GDP-Elasticity of:</t>
  </si>
  <si>
    <t>A NY GDP FOOD KE</t>
  </si>
  <si>
    <t>A NY GDP NFCG KE</t>
  </si>
  <si>
    <t>A NY GDP RAWP KE</t>
  </si>
  <si>
    <t>A NY GDP MANF KE</t>
  </si>
  <si>
    <t>A NY GDP FUEL KE</t>
  </si>
  <si>
    <t>A NY GDP KGDS KE</t>
  </si>
  <si>
    <t xml:space="preserve">  Capital Goods (Policy closure)</t>
  </si>
  <si>
    <t>A NY GDP NFSV KE</t>
  </si>
  <si>
    <t xml:space="preserve">  Non-Factor Services</t>
  </si>
  <si>
    <t>GDI-Elasticity of:</t>
  </si>
  <si>
    <t>A NE GDI KGDS KE</t>
  </si>
  <si>
    <t xml:space="preserve">  Capital Goods (in Public &amp; Private closure)</t>
  </si>
  <si>
    <t>RER-Elasticity of Exports:</t>
  </si>
  <si>
    <t>A PX RER MANF KE</t>
  </si>
  <si>
    <t xml:space="preserve">  Manufacturing</t>
  </si>
  <si>
    <t>Foreign Income Elasticity of:</t>
  </si>
  <si>
    <t>A FY GDP MANF KE</t>
  </si>
  <si>
    <t xml:space="preserve">                   Manufacturing</t>
  </si>
  <si>
    <t>A FY GDP MKTP ZG</t>
  </si>
  <si>
    <t>Foreign Income Growth</t>
  </si>
  <si>
    <t xml:space="preserve">Growth rates for Exports </t>
  </si>
  <si>
    <t>A TX QTY CMD1 ZG</t>
  </si>
  <si>
    <t xml:space="preserve">    Com 1/Copper</t>
  </si>
  <si>
    <t>A TX QTY CMD2 ZG</t>
  </si>
  <si>
    <t xml:space="preserve">    Com 2/ Cobalt</t>
  </si>
  <si>
    <t>A TX QTY CMD3 ZG</t>
  </si>
  <si>
    <t xml:space="preserve">    Com 3 Lead</t>
  </si>
  <si>
    <t>A TX QTY CMD4 ZG</t>
  </si>
  <si>
    <t xml:space="preserve">    Com 4 Other Metals (incl. Zinc)</t>
  </si>
  <si>
    <t xml:space="preserve">  Other Commodities</t>
  </si>
  <si>
    <t>A TX QTY OTHT ZG</t>
  </si>
  <si>
    <t xml:space="preserve">  Other Exports (NTE)</t>
  </si>
  <si>
    <t>A TX QTY NFSV ZG</t>
  </si>
  <si>
    <t>Tariff  and Subsidy Changes</t>
  </si>
  <si>
    <t>Tariffs on Imports  (% change)</t>
  </si>
  <si>
    <t>A TM TAR FOOD</t>
  </si>
  <si>
    <t xml:space="preserve">  Food (Maize)</t>
  </si>
  <si>
    <t>A TM TAR NFCG</t>
  </si>
  <si>
    <t>A TM TAR RAWP</t>
  </si>
  <si>
    <t>A TM TAR MANF</t>
  </si>
  <si>
    <t>A TM TAR FUEL</t>
  </si>
  <si>
    <t>A TM TAR KGDS</t>
  </si>
  <si>
    <t>A TM TAR NFSV</t>
  </si>
  <si>
    <t>Subsidies on Exports (% change)</t>
  </si>
  <si>
    <t>A TX SUB CMD1 PC</t>
  </si>
  <si>
    <t>A TX SUB CMD2 PC</t>
  </si>
  <si>
    <t>A TX SUB CMD3 PC</t>
  </si>
  <si>
    <t>A TX SUB CMD4 PC</t>
  </si>
  <si>
    <t xml:space="preserve">   Other Commodities</t>
  </si>
  <si>
    <t>A TX SUB MANF PC</t>
  </si>
  <si>
    <t xml:space="preserve">   Manufacturing Exports</t>
  </si>
  <si>
    <t>A TX SUB OTHT PC</t>
  </si>
  <si>
    <t xml:space="preserve">   Other Exports</t>
  </si>
  <si>
    <t>A TX SUB NFSV PC</t>
  </si>
  <si>
    <t xml:space="preserve">   Nonfactor Services</t>
  </si>
  <si>
    <t>International Prices on:</t>
  </si>
  <si>
    <t xml:space="preserve"> Import Products:</t>
  </si>
  <si>
    <t>A TM PRI FOOD ZG</t>
  </si>
  <si>
    <t xml:space="preserve">  Food </t>
  </si>
  <si>
    <t>A TM PRI NFCG ZG</t>
  </si>
  <si>
    <t>A TM PRI RAWP ZG</t>
  </si>
  <si>
    <t xml:space="preserve">  Primary Goods (Fertilizer)</t>
  </si>
  <si>
    <t>A TM PRI MANF ZG</t>
  </si>
  <si>
    <t>A TM PRI FUEL ZG</t>
  </si>
  <si>
    <t>Oil</t>
  </si>
  <si>
    <t>A TM PRI KGDS ZG</t>
  </si>
  <si>
    <t>A TM PRI NFSV ZG</t>
  </si>
  <si>
    <t xml:space="preserve"> Export Products:</t>
  </si>
  <si>
    <t>A TX PRI CMD1 ZG</t>
  </si>
  <si>
    <t>A TX PRI CMD2 ZG</t>
  </si>
  <si>
    <t>A TX PRI CMD3 ZG</t>
  </si>
  <si>
    <t>A TX PRI CMD4 ZG</t>
  </si>
  <si>
    <t>Zinc</t>
  </si>
  <si>
    <t>A TX PRI MANF ZG</t>
  </si>
  <si>
    <t>A TX PRI OTHT ZG</t>
  </si>
  <si>
    <t xml:space="preserve">  Other Exports</t>
  </si>
  <si>
    <t>A TX PRI NFSV ZG</t>
  </si>
  <si>
    <t>(b) Current Account (Mll of US$)</t>
  </si>
  <si>
    <t>A BM GSR SHIP RI</t>
  </si>
  <si>
    <t xml:space="preserve"> Freight and Insurance/Merch Imports CIF</t>
  </si>
  <si>
    <t>A FR INR IMPL</t>
  </si>
  <si>
    <t xml:space="preserve"> Interest Rate on Foreign Reserves (%)</t>
  </si>
  <si>
    <t>A FR INR INYD</t>
  </si>
  <si>
    <t xml:space="preserve"> Return on DFI/Portfolio Inv. (Profit Remit.)  (%)</t>
  </si>
  <si>
    <t>A BX TRF OFFT CD</t>
  </si>
  <si>
    <t>A BX TRF PXWR CD</t>
  </si>
  <si>
    <t xml:space="preserve"> Foreign Transfers to Private Sector (US$)</t>
  </si>
  <si>
    <t>A BX TRF OFDC CD</t>
  </si>
  <si>
    <t xml:space="preserve"> Current Official Grants (US$)</t>
  </si>
  <si>
    <t>A GC GRT CTOT RT</t>
  </si>
  <si>
    <t xml:space="preserve"> Budgetary Current Grants/Total Current Grants</t>
  </si>
  <si>
    <t>Growth Rates for:</t>
  </si>
  <si>
    <t>A BX TRF PWKR ZG</t>
  </si>
  <si>
    <t xml:space="preserve"> Workers Remittances</t>
  </si>
  <si>
    <t>A BX GSR INYD ZG</t>
  </si>
  <si>
    <t xml:space="preserve"> Foreign Profits Remittances (receipts)</t>
  </si>
  <si>
    <t>A BM TRF OFFT ZG</t>
  </si>
  <si>
    <t xml:space="preserve"> Government Transfers to Foreign Sector</t>
  </si>
  <si>
    <t>A BM TRF PRVT ZG</t>
  </si>
  <si>
    <t xml:space="preserve"> Private Transfers to Foreign Sector</t>
  </si>
  <si>
    <t>(c) Capital Account (Mll of US$)</t>
  </si>
  <si>
    <t>A BX KLT DINV CD</t>
  </si>
  <si>
    <t xml:space="preserve"> Direct Foreign Investment (US$)</t>
  </si>
  <si>
    <t xml:space="preserve"> Portfolio Investment (US$)</t>
  </si>
  <si>
    <t>A BN TRF KOGT CD</t>
  </si>
  <si>
    <t xml:space="preserve"> Capital Official Grants (US$)</t>
  </si>
  <si>
    <t>A GC GRT KFRN RT</t>
  </si>
  <si>
    <t xml:space="preserve"> Budgetary Capital Grants/Total Capital Grants</t>
  </si>
  <si>
    <t xml:space="preserve"> Capital n.e.i. (asset accumulation)</t>
  </si>
  <si>
    <t xml:space="preserve"> Reserves Asset Changes of Com. Banks (-=increase)</t>
  </si>
  <si>
    <t>A BN KAC EOMS CD</t>
  </si>
  <si>
    <t xml:space="preserve"> Errors &amp; Omissions (US$)</t>
  </si>
  <si>
    <t>(d) Stocks of Foreign Reserves (Mll of US$)</t>
  </si>
  <si>
    <t>A FI RES MTHM</t>
  </si>
  <si>
    <t xml:space="preserve"> For. Res. of the Mon Auth. excl Gold as Months of Imports (GFS)</t>
  </si>
  <si>
    <t xml:space="preserve"> Gold (Troy ounces)</t>
  </si>
  <si>
    <t xml:space="preserve"> Percentage Change Gold price (London end of period)</t>
  </si>
  <si>
    <t>NATIONAL ACCOUNTS</t>
  </si>
  <si>
    <t>(a) Investment (in constant base year prices)</t>
  </si>
  <si>
    <t>A NE GDI PRVT RG</t>
  </si>
  <si>
    <t xml:space="preserve">   Private Investment/GDPmp (Public closure) </t>
  </si>
  <si>
    <t>A NE GDI GOVT RG</t>
  </si>
  <si>
    <t xml:space="preserve">   Public Investment/GDPmp (Private &amp; Policy closure)</t>
  </si>
  <si>
    <t xml:space="preserve">   Changes in Stocks/GDPmp</t>
  </si>
  <si>
    <t>(b) Consumption (in constant base year prices)</t>
  </si>
  <si>
    <t>A NE CON PETC RN</t>
  </si>
  <si>
    <t xml:space="preserve">   Private Consumption/Dis Inc (Public  &amp; Policy closure)</t>
  </si>
  <si>
    <t>A NE CON GOVT RG</t>
  </si>
  <si>
    <t xml:space="preserve">   Gov't Consumption/GDPmp (Private &amp; Policy closure)</t>
  </si>
  <si>
    <t>(c) Value Added growth rates for: (Note: if ORD!D6 = VAB, growth at constant factor cost prices)</t>
  </si>
  <si>
    <t>A NV AGR TOTL ZG</t>
  </si>
  <si>
    <t xml:space="preserve">    Agriculture, forestry &amp; fishing</t>
  </si>
  <si>
    <t>Mining and quarrying</t>
  </si>
  <si>
    <t>A NV IND MANF ZG</t>
  </si>
  <si>
    <t xml:space="preserve">    Industry, including construction</t>
  </si>
  <si>
    <t>A NV IND MINQ ZG</t>
  </si>
  <si>
    <t xml:space="preserve">     o.w.  Manufacturing</t>
  </si>
  <si>
    <t>Growth rate of Prices:(Note: if ORD!D6 = VAB, change in factor cost prices)</t>
  </si>
  <si>
    <t>A NV AGR TOTL XU</t>
  </si>
  <si>
    <t>A NV IND MANF XU</t>
  </si>
  <si>
    <t>A NV IND MINQ XU</t>
  </si>
  <si>
    <t>CENTRAL GOVERNMENT</t>
  </si>
  <si>
    <t>(a) Current Account</t>
  </si>
  <si>
    <t>Propagation: effect on Gexp growth (not level)</t>
  </si>
  <si>
    <t>Shock to ToT</t>
  </si>
  <si>
    <t>Shock to GEXP</t>
  </si>
  <si>
    <t>Input your shocks in cells G5:P6</t>
  </si>
  <si>
    <t>TOT and GEXP</t>
  </si>
  <si>
    <t>ad-hoc shock to GEXP</t>
  </si>
  <si>
    <t>ad-hoc shock to TOT</t>
  </si>
  <si>
    <t>GEXP</t>
  </si>
  <si>
    <t>A GC TAX DRCT RG</t>
  </si>
  <si>
    <t>Direct Taxes/GDPfc</t>
  </si>
  <si>
    <t>A GC TAX INTT RI</t>
  </si>
  <si>
    <t>Taxes on Inter'l Trade/Merch. Imports (CIF)</t>
  </si>
  <si>
    <t>A GC TAX OTHT RG</t>
  </si>
  <si>
    <t>Other Indirect Taxes/GDPmp</t>
  </si>
  <si>
    <t>A GC NTX CIGR RG</t>
  </si>
  <si>
    <t>Non-Tax Revenues/GDPmp</t>
  </si>
  <si>
    <t>Wages &amp; Salaries/Total Gov't Consumption</t>
  </si>
  <si>
    <t>A GC XPC SUBS RG</t>
  </si>
  <si>
    <t>Subsidies/GDPmp</t>
  </si>
  <si>
    <t>A GC XPC SUBF RX</t>
  </si>
  <si>
    <t>Export Subsidies/Exports GNFS</t>
  </si>
  <si>
    <t>A GC XPC TRFO ZG</t>
  </si>
  <si>
    <t>Transfers to Private Sector /GDPmp</t>
  </si>
  <si>
    <t>Transfers to Other NFPS/GDPmp</t>
  </si>
  <si>
    <t>(b) Capital Account</t>
  </si>
  <si>
    <t>A GC REV KTOT CN</t>
  </si>
  <si>
    <t xml:space="preserve">  Capital revenues (LCU)</t>
  </si>
  <si>
    <t>A GC XPK TRFP CN</t>
  </si>
  <si>
    <t xml:space="preserve">  Capital Transfers to Private Sector (LCU)</t>
  </si>
  <si>
    <t xml:space="preserve">  Monetary Fin./Gov't Financing requirements (before grants)</t>
  </si>
  <si>
    <t>MONETARY SECTOR</t>
  </si>
  <si>
    <t>(a) Credit ratios</t>
  </si>
  <si>
    <t>A FM AST PRVT RC</t>
  </si>
  <si>
    <t xml:space="preserve"> Private Credit/Total Credit (Public closure)</t>
  </si>
  <si>
    <t xml:space="preserve"> Other non-financial public Sector/Total Credit</t>
  </si>
  <si>
    <t xml:space="preserve"> Other Financial Institutions/Total Credit</t>
  </si>
  <si>
    <t>(b) Real Interest Rate of:</t>
  </si>
  <si>
    <t>A FR INR DPST DP</t>
  </si>
  <si>
    <t xml:space="preserve"> Demand Deposits</t>
  </si>
  <si>
    <t>A FR INR DPST TD</t>
  </si>
  <si>
    <t xml:space="preserve"> Time Deposits</t>
  </si>
  <si>
    <t>A FR INR GBND</t>
  </si>
  <si>
    <t xml:space="preserve"> Public Bonds/Gov't borrowing from Private Sec.</t>
  </si>
  <si>
    <t>A FR INR LEND</t>
  </si>
  <si>
    <t xml:space="preserve"> Monetary Sector Lending Rate to Priv sec.</t>
  </si>
  <si>
    <t xml:space="preserve"> Monetary Sector Lending Rate to gov't sec.</t>
  </si>
  <si>
    <t>(c) Others</t>
  </si>
  <si>
    <t>A NY GDP MKTP RQ</t>
  </si>
  <si>
    <t xml:space="preserve"> Velocity of Money wrt M2</t>
  </si>
  <si>
    <t>A GC LBC DP&amp;L RT</t>
  </si>
  <si>
    <t xml:space="preserve"> Share of Profit &amp; Losses for Cent. Gov.</t>
  </si>
  <si>
    <t>A FM LBL MQMY ZG</t>
  </si>
  <si>
    <t xml:space="preserve"> Growthrate of Money Stock (Policy closure)</t>
  </si>
  <si>
    <t>A FM LBL CURR RQ</t>
  </si>
  <si>
    <t xml:space="preserve"> Currency in Circulation/M2</t>
  </si>
  <si>
    <t>A FM LBL TDPT RQ</t>
  </si>
  <si>
    <t xml:space="preserve"> Time Deposits/M2</t>
  </si>
  <si>
    <t xml:space="preserve"> Capital transfers from the Private Sector</t>
  </si>
  <si>
    <t>A FM BAL MONY CN</t>
  </si>
  <si>
    <t xml:space="preserve"> Monetary Savings</t>
  </si>
  <si>
    <t>GDP basis</t>
  </si>
  <si>
    <t>??</t>
  </si>
  <si>
    <t>100% recom</t>
  </si>
  <si>
    <t>?</t>
  </si>
  <si>
    <t>None</t>
  </si>
  <si>
    <t xml:space="preserve"> Official Transfers to other sectors (than Gov't)(US$)</t>
  </si>
  <si>
    <t>Required Projection Data</t>
  </si>
  <si>
    <t>National Accounts Current price data</t>
  </si>
  <si>
    <t>GDP at market prices (cn)</t>
  </si>
  <si>
    <t>SNA</t>
  </si>
  <si>
    <t>zmb</t>
  </si>
  <si>
    <t>NY.GDP.MKTP.CN, AS</t>
  </si>
  <si>
    <t>Net indirect taxes (cn)</t>
  </si>
  <si>
    <t>NY.TAX.NIND.CN, AS</t>
  </si>
  <si>
    <t xml:space="preserve">    Indirect taxes</t>
  </si>
  <si>
    <t>NY.TAX.IDRT.CN, AS</t>
  </si>
  <si>
    <t xml:space="preserve">    Subsidies</t>
  </si>
  <si>
    <t>NY.TAX.SUBS.CN, AS</t>
  </si>
  <si>
    <t>GDP at factor cost (cn)</t>
  </si>
  <si>
    <t>NY.GDP.FCST.CN, AS</t>
  </si>
  <si>
    <t>....Agriculture (cn)</t>
  </si>
  <si>
    <t>NV.AGR.TOTL.CN, AS</t>
  </si>
  <si>
    <t>....Industry (cn)</t>
  </si>
  <si>
    <t>NV.IND.TOTL.CN, AS</t>
  </si>
  <si>
    <t>......of which manufacturing (cn)</t>
  </si>
  <si>
    <t>NV.IND.MANF.CN, AS</t>
  </si>
  <si>
    <t>Changes in the cyclical component of (log) GDP in response to the above shocks:</t>
  </si>
  <si>
    <t xml:space="preserve">Impulse response elasticities of the cyclical components of GDP to a shock to the cyclical component of: </t>
  </si>
  <si>
    <t>Initial disturbance:</t>
  </si>
  <si>
    <t>Input your shocks in cells G5:P5</t>
  </si>
  <si>
    <t>Propagation: effect on ToT growth (not level)</t>
  </si>
  <si>
    <t>Derived additional disturbance to ToT implied by external projections</t>
  </si>
  <si>
    <t>Projected growth</t>
  </si>
  <si>
    <t>Deriving implied additional shocks to ToT:</t>
  </si>
  <si>
    <t>Implied additional disturbance to TOT:</t>
  </si>
  <si>
    <t>Calibrating cyclical component of GDP growth:</t>
  </si>
  <si>
    <t>Adjust to external ToT projections ? (1- Yes, 0 -No):</t>
  </si>
  <si>
    <t>Total adjustment to steady-state GDP growth:</t>
  </si>
  <si>
    <t>Previously selected sheet by default is</t>
  </si>
  <si>
    <t>Adjustment to steady-state GDP growth caused by shocks in G5:P5</t>
  </si>
  <si>
    <t>Calibrating adjustment to GDP growth:*</t>
  </si>
  <si>
    <t>* Does not account for shocks in G5:P5</t>
  </si>
  <si>
    <t>Calibrating GDP growth to reflect external projections for TOT growth</t>
  </si>
  <si>
    <t>Get Real Model: regression coefficients*</t>
  </si>
  <si>
    <t>*Easterly, 1999</t>
  </si>
  <si>
    <t>Variable</t>
  </si>
  <si>
    <t>Coefficient</t>
  </si>
  <si>
    <t xml:space="preserve">Variable values for   </t>
  </si>
  <si>
    <t>Value</t>
  </si>
  <si>
    <t>Total GDP growth after short-run adjustments</t>
  </si>
  <si>
    <t>Household Expenditure</t>
  </si>
  <si>
    <t>GINI coefficient (exp)</t>
  </si>
  <si>
    <t>GINI coefficient (inc.)</t>
  </si>
  <si>
    <t>Final (non-normalized) real household expenditure</t>
  </si>
  <si>
    <t>Get Real GDP growth                        (steady-state growth):</t>
  </si>
  <si>
    <t>1. Black market premium</t>
  </si>
  <si>
    <t>2. M2/GDP</t>
  </si>
  <si>
    <t>3. Real exchange rate</t>
  </si>
  <si>
    <t>4. Secondary enrollment</t>
  </si>
  <si>
    <t>5. Telephone lines/1000</t>
  </si>
  <si>
    <t>6. Constant ???</t>
  </si>
  <si>
    <t>1. %-points ?</t>
  </si>
  <si>
    <t>2. Ratio, not % (?)</t>
  </si>
  <si>
    <t>3. Defined as…, (19XX=100)</t>
  </si>
  <si>
    <t>4. Gross/ net (?) in % (?)</t>
  </si>
  <si>
    <t>5. # Tel. lines/1000 people</t>
  </si>
  <si>
    <t>Unit (as used in Easterly, 1999)</t>
  </si>
  <si>
    <t>Minimum number of years for which VAR adjustments are to be used:</t>
  </si>
  <si>
    <t>After this period, abandon VAR adjustments when they are smaller than:</t>
  </si>
  <si>
    <t>Abandon VAR (&gt;0), Use VAR (0)</t>
  </si>
  <si>
    <t>Abandon VAR (0), Use VAR (1)</t>
  </si>
  <si>
    <t>GDP growth: 1 - for VAR+Get Real, 2- for initial projections</t>
  </si>
  <si>
    <t>Gov-t exp.</t>
  </si>
  <si>
    <t>RER</t>
  </si>
  <si>
    <t>Effect of one st. dev. Innovation in TOT</t>
  </si>
  <si>
    <t>Effect of one st. dev. Innovation in gov-t exp.</t>
  </si>
  <si>
    <t>(do not move cell C2)</t>
  </si>
  <si>
    <t>Do not move, delete, or insert cells in this sheet !</t>
  </si>
  <si>
    <t>Do not rename worksheets !</t>
  </si>
  <si>
    <t>Do not move cell C20</t>
  </si>
  <si>
    <t>Do not move cell N19</t>
  </si>
  <si>
    <t>Do not move cells</t>
  </si>
  <si>
    <t>E-views VAR impulse responses</t>
  </si>
  <si>
    <t>5,4</t>
  </si>
  <si>
    <t>28,7</t>
  </si>
  <si>
    <t>5,8</t>
  </si>
  <si>
    <t>5,9</t>
  </si>
  <si>
    <t>5,10</t>
  </si>
  <si>
    <t>5,11</t>
  </si>
  <si>
    <t>VAR-based GDP growth adjustment</t>
  </si>
  <si>
    <t>18,4</t>
  </si>
  <si>
    <t>19,4</t>
  </si>
  <si>
    <t>20,4</t>
  </si>
  <si>
    <t>21,4</t>
  </si>
  <si>
    <t>22,4</t>
  </si>
  <si>
    <t>5,17</t>
  </si>
  <si>
    <t>TOT calibration 1</t>
  </si>
  <si>
    <t>6,7</t>
  </si>
  <si>
    <t>5,19</t>
  </si>
  <si>
    <t>TOT calibration 2</t>
  </si>
  <si>
    <t>GDP growth GET REAL + VAR</t>
  </si>
  <si>
    <t>17,13</t>
  </si>
  <si>
    <t>48,3</t>
  </si>
  <si>
    <t>88,3</t>
  </si>
  <si>
    <t>93,3</t>
  </si>
  <si>
    <t>6,6</t>
  </si>
  <si>
    <t>7,6</t>
  </si>
  <si>
    <t>Cumulative</t>
  </si>
  <si>
    <t>year</t>
  </si>
  <si>
    <t xml:space="preserve">    Services, etc</t>
  </si>
  <si>
    <t>NV.SRV.TETC.CN, AS</t>
  </si>
  <si>
    <t>NE.RSB.GNFS.CN, AS</t>
  </si>
  <si>
    <t>Exports (GNFS) (cn)</t>
  </si>
  <si>
    <t>NE.EXP.GNFS.CN, AS</t>
  </si>
  <si>
    <t>Imports (GNFS) (cn)</t>
  </si>
  <si>
    <t>NE.IMP.GNFS.CN, AS</t>
  </si>
  <si>
    <t>Total Expenditures</t>
  </si>
  <si>
    <t>NE.DAB.TOTL.CN, AS</t>
  </si>
  <si>
    <t>Total consumption, etc. (cn)</t>
  </si>
  <si>
    <t>NE.CON.TETC.CN, AS</t>
  </si>
  <si>
    <t xml:space="preserve">     Total consumption</t>
  </si>
  <si>
    <t>NE.CON.TOTL.CN, AS</t>
  </si>
  <si>
    <t xml:space="preserve">        ..General  Government (cn)</t>
  </si>
  <si>
    <t>NE.CON.GOVT.CN, AS</t>
  </si>
  <si>
    <t xml:space="preserve">        ..Private Consumption etc (cn)</t>
  </si>
  <si>
    <t>NE.CON.PETC.CN, AS</t>
  </si>
  <si>
    <t xml:space="preserve">             Private consumption</t>
  </si>
  <si>
    <t>NE.CON.PRVT.CN, AS</t>
  </si>
  <si>
    <t xml:space="preserve">             Statistical discrepancy</t>
  </si>
  <si>
    <t>NY.GDP.DISC.CN, AS</t>
  </si>
  <si>
    <t>Gross Domestic Investment (cn)</t>
  </si>
  <si>
    <t>NE.GDI.TOTL.CN, AS</t>
  </si>
  <si>
    <t xml:space="preserve">  Gross domestic fixed investment</t>
  </si>
  <si>
    <t>NE.GDI.FTOT.CN, AS</t>
  </si>
  <si>
    <t xml:space="preserve">    Nonfinancial public sector, GDFI</t>
  </si>
  <si>
    <t>NE.GDI.FPUB.CN, AS</t>
  </si>
  <si>
    <t xml:space="preserve">       General government GDFI</t>
  </si>
  <si>
    <t>NE.GDI.FGOV.CN, AS</t>
  </si>
  <si>
    <t xml:space="preserve">           Central government, GDFI</t>
  </si>
  <si>
    <t>NE.GDI.FCGV.CN, AS</t>
  </si>
  <si>
    <t xml:space="preserve">           State and local government, GDFI</t>
  </si>
  <si>
    <t>NE.GDI.FLGV.CN, AS</t>
  </si>
  <si>
    <t xml:space="preserve">       Nonfinancial public enterprises, GDFI</t>
  </si>
  <si>
    <t>NE.GDI.FPBE.CN, AS</t>
  </si>
  <si>
    <t xml:space="preserve">  Private Sector GDFI (cn)</t>
  </si>
  <si>
    <t>NE.GDI.FPRV.CN, AS</t>
  </si>
  <si>
    <t xml:space="preserve">  Change in total stocks (cn)</t>
  </si>
  <si>
    <t>NE.GDI.STKB.CN, AS</t>
  </si>
  <si>
    <t xml:space="preserve">    Public sector (change in stocks)</t>
  </si>
  <si>
    <t>NE.GDI.STPB.CN, AS</t>
  </si>
  <si>
    <t xml:space="preserve">    Private sector (change in stocks)</t>
  </si>
  <si>
    <t>NE.GDI.STPV.CN, AS</t>
  </si>
  <si>
    <t>Net factor income (NFY) (cn)</t>
  </si>
  <si>
    <t>NY.GSR.NFCY.CN, AS</t>
  </si>
  <si>
    <t>Net current transfers (NCT) (cn)</t>
  </si>
  <si>
    <t>NY.TRF.NCTR.CN, AS</t>
  </si>
  <si>
    <t>Gross domestic savings</t>
  </si>
  <si>
    <t>NY.GDS.TOTL.CN, AS</t>
  </si>
  <si>
    <t xml:space="preserve">    Public, GDS</t>
  </si>
  <si>
    <t>NY.GDS.PUBL.CN, AS</t>
  </si>
  <si>
    <t xml:space="preserve">    Private, GDS</t>
  </si>
  <si>
    <t>NY.GDS.PRVT.CN, AS</t>
  </si>
  <si>
    <t>Gross national savings</t>
  </si>
  <si>
    <t>NY.GNS.ICTR.CN, AS</t>
  </si>
  <si>
    <t xml:space="preserve">    Public</t>
  </si>
  <si>
    <t>NY.GNS.PUBL.CN, AS</t>
  </si>
  <si>
    <t xml:space="preserve">    Private</t>
  </si>
  <si>
    <t>NY.GNS.PRVT.CN, AS</t>
  </si>
  <si>
    <t>Gross national product</t>
  </si>
  <si>
    <t>NY.GNP.MKTP.CN, AS</t>
  </si>
  <si>
    <t>Gross national disposable income</t>
  </si>
  <si>
    <t>NY.GNY.TOTL.CN</t>
  </si>
  <si>
    <t>National Accounts Other Series</t>
  </si>
  <si>
    <t xml:space="preserve">  GDP at market prices (curr US$)</t>
  </si>
  <si>
    <t>NY.GDP.MKTP.CD, AS</t>
  </si>
  <si>
    <t xml:space="preserve">  GNP per capita, Atlas method ( curr US$)  </t>
  </si>
  <si>
    <t>NY.GNP.PCAP.CD.AT, AS</t>
  </si>
  <si>
    <t xml:space="preserve">  Share of foreign savings in GDI</t>
  </si>
  <si>
    <t>NE.GDI.FRSV.ZS, AS</t>
  </si>
  <si>
    <t>National Accounts Constant Price Data</t>
  </si>
  <si>
    <t>GDP at market prices (kn)</t>
  </si>
  <si>
    <t>NY.GDP.MKTP.KN, GR</t>
  </si>
  <si>
    <t xml:space="preserve">    Net indirect taxes</t>
  </si>
  <si>
    <t>NY.TAX.NIND.KN, GR</t>
  </si>
  <si>
    <t>GDP at factor cost (kn)</t>
  </si>
  <si>
    <t>NY.GDP.FCST.KN, GR</t>
  </si>
  <si>
    <t>..Agriculture (kn)</t>
  </si>
  <si>
    <t>NV.AGR.TOTL.KN, GR</t>
  </si>
  <si>
    <t>..Industry (kn)</t>
  </si>
  <si>
    <t>NV.IND.TOTL.KN, GR</t>
  </si>
  <si>
    <t>....of which manufacturing (kn)</t>
  </si>
  <si>
    <t>NV.IND.MANF.KN, GR</t>
  </si>
  <si>
    <t>Sourced from RMSM's DIT</t>
  </si>
  <si>
    <t>NV.SRV.TETC.KN, GR</t>
  </si>
  <si>
    <t>NE.RSB.GNFS.KN, GR</t>
  </si>
  <si>
    <t>Exports (GNFS) (kn)</t>
  </si>
  <si>
    <t>NE.EXP.GNFS.KN, GR</t>
  </si>
  <si>
    <t>Imports (GNFS) (kn)</t>
  </si>
  <si>
    <t>NE.IMP.GNFS.KN, GR</t>
  </si>
  <si>
    <t>NE.DAB.TOTL.KN, GR</t>
  </si>
</sst>
</file>

<file path=xl/styles.xml><?xml version="1.0" encoding="utf-8"?>
<styleSheet xmlns="http://schemas.openxmlformats.org/spreadsheetml/2006/main">
  <numFmts count="16">
    <numFmt numFmtId="44" formatCode="_(&quot;$&quot;* #,##0.00_);_(&quot;$&quot;* \(#,##0.00\);_(&quot;$&quot;* &quot;-&quot;??_);_(@_)"/>
    <numFmt numFmtId="164" formatCode="0.0%"/>
    <numFmt numFmtId="165" formatCode="0.0"/>
    <numFmt numFmtId="166" formatCode="0.000"/>
    <numFmt numFmtId="167" formatCode="0.0000"/>
    <numFmt numFmtId="168" formatCode="#,##0.000_);\(#,##0.000\)"/>
    <numFmt numFmtId="169" formatCode="0.00000"/>
    <numFmt numFmtId="170" formatCode="0.00000000"/>
    <numFmt numFmtId="171" formatCode="mm/dd/yy"/>
    <numFmt numFmtId="172" formatCode="0.0000000000000000"/>
    <numFmt numFmtId="173" formatCode="0.0000000000000000000"/>
    <numFmt numFmtId="174" formatCode="mmmm\ d\,\ yyyy"/>
    <numFmt numFmtId="183" formatCode="0.00_)"/>
    <numFmt numFmtId="184" formatCode="0.0_)"/>
    <numFmt numFmtId="185" formatCode="General_)"/>
    <numFmt numFmtId="186" formatCode="_(* #,##0.000_);_(* \(#,##0.000\);_(* &quot;-&quot;???_);_(@_)"/>
  </numFmts>
  <fonts count="65">
    <font>
      <sz val="10"/>
      <name val="Arial"/>
    </font>
    <font>
      <sz val="10"/>
      <name val="Arial"/>
    </font>
    <font>
      <sz val="8"/>
      <color indexed="12"/>
      <name val="Helv"/>
    </font>
    <font>
      <sz val="10"/>
      <name val="Geneva"/>
    </font>
    <font>
      <sz val="10"/>
      <name val="MS Sans Serif"/>
      <family val="2"/>
    </font>
    <font>
      <sz val="8"/>
      <color indexed="8"/>
      <name val="Helv"/>
    </font>
    <font>
      <sz val="10"/>
      <name val="Times New Roman"/>
      <family val="1"/>
    </font>
    <font>
      <sz val="10"/>
      <color indexed="10"/>
      <name val="MS Sans Serif"/>
      <family val="2"/>
    </font>
    <font>
      <sz val="8"/>
      <name val="Helv"/>
    </font>
    <font>
      <b/>
      <sz val="10"/>
      <name val="Arial"/>
      <family val="2"/>
    </font>
    <font>
      <sz val="10"/>
      <name val="Arial"/>
      <family val="2"/>
    </font>
    <font>
      <b/>
      <sz val="8.5"/>
      <name val="MS Sans Serif"/>
      <family val="2"/>
    </font>
    <font>
      <b/>
      <sz val="8.5"/>
      <color indexed="8"/>
      <name val="MS Sans Serif"/>
      <family val="2"/>
    </font>
    <font>
      <b/>
      <sz val="14"/>
      <name val="MS Sans Serif"/>
      <family val="2"/>
    </font>
    <font>
      <b/>
      <sz val="10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9"/>
      <name val="Arial"/>
      <family val="2"/>
    </font>
    <font>
      <i/>
      <sz val="10"/>
      <name val="Times New Roman"/>
      <family val="1"/>
    </font>
    <font>
      <b/>
      <sz val="10"/>
      <name val="MS Sans Serif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6"/>
      <color indexed="81"/>
      <name val="Tahoma"/>
      <family val="2"/>
    </font>
    <font>
      <b/>
      <sz val="6"/>
      <color indexed="81"/>
      <name val="Tahoma"/>
      <family val="2"/>
    </font>
    <font>
      <sz val="11"/>
      <name val="Arial"/>
      <family val="2"/>
    </font>
    <font>
      <b/>
      <sz val="6"/>
      <color indexed="81"/>
      <name val="Arial"/>
      <family val="2"/>
    </font>
    <font>
      <sz val="11"/>
      <name val="Antique Olive"/>
    </font>
    <font>
      <sz val="9"/>
      <name val="Times New Roman"/>
      <family val="1"/>
    </font>
    <font>
      <sz val="8"/>
      <name val="Times New Roman"/>
      <family val="1"/>
    </font>
    <font>
      <sz val="12"/>
      <name val="Arial"/>
      <family val="2"/>
    </font>
    <font>
      <b/>
      <sz val="12"/>
      <name val="Arial"/>
      <family val="2"/>
    </font>
    <font>
      <b/>
      <sz val="10"/>
      <name val="MS Sans Serif"/>
      <family val="2"/>
    </font>
    <font>
      <b/>
      <sz val="10"/>
      <name val="Arial"/>
      <family val="2"/>
    </font>
    <font>
      <b/>
      <u/>
      <sz val="12"/>
      <name val="Times New Roman"/>
      <family val="1"/>
    </font>
    <font>
      <b/>
      <sz val="14"/>
      <color indexed="16"/>
      <name val="Times New Roman"/>
      <family val="1"/>
    </font>
    <font>
      <sz val="9"/>
      <name val="MS Sans Serif"/>
      <family val="2"/>
    </font>
    <font>
      <b/>
      <sz val="14"/>
      <name val="Arial"/>
      <family val="2"/>
    </font>
    <font>
      <b/>
      <sz val="12"/>
      <name val="Times New Roman"/>
      <family val="1"/>
    </font>
    <font>
      <b/>
      <sz val="8"/>
      <color indexed="81"/>
      <name val="Tahoma"/>
      <family val="2"/>
    </font>
    <font>
      <b/>
      <sz val="14"/>
      <name val="Times New Roman"/>
      <family val="1"/>
    </font>
    <font>
      <b/>
      <i/>
      <u/>
      <sz val="11"/>
      <name val="Times New Roman"/>
      <family val="1"/>
    </font>
    <font>
      <sz val="10"/>
      <color indexed="10"/>
      <name val="Arial"/>
      <family val="2"/>
    </font>
    <font>
      <b/>
      <sz val="10"/>
      <color indexed="10"/>
      <name val="Times New Roman"/>
      <family val="1"/>
    </font>
    <font>
      <b/>
      <sz val="10"/>
      <color indexed="16"/>
      <name val="Times New Roman"/>
      <family val="1"/>
    </font>
    <font>
      <b/>
      <sz val="10"/>
      <name val="Times New Roman"/>
      <family val="1"/>
    </font>
    <font>
      <b/>
      <sz val="10"/>
      <color indexed="10"/>
      <name val="Times New Roman"/>
      <family val="1"/>
    </font>
    <font>
      <sz val="9.5"/>
      <name val="Times New Roman"/>
      <family val="1"/>
    </font>
    <font>
      <sz val="10"/>
      <color indexed="10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14"/>
      <name val="Times New Roman"/>
      <family val="1"/>
    </font>
    <font>
      <sz val="10"/>
      <color indexed="12"/>
      <name val="Times New Roman"/>
      <family val="1"/>
    </font>
    <font>
      <i/>
      <sz val="10"/>
      <name val="Times New Roman"/>
      <family val="1"/>
    </font>
    <font>
      <b/>
      <sz val="8"/>
      <name val="Times New Roman"/>
      <family val="1"/>
    </font>
    <font>
      <b/>
      <sz val="12"/>
      <name val="MS Sans Serif"/>
      <family val="2"/>
    </font>
    <font>
      <sz val="16"/>
      <name val="Times New Roman"/>
      <family val="1"/>
    </font>
    <font>
      <sz val="10"/>
      <color indexed="9"/>
      <name val="Arial"/>
      <family val="2"/>
    </font>
    <font>
      <sz val="10"/>
      <color indexed="9"/>
      <name val="Times New Roman"/>
      <family val="1"/>
    </font>
    <font>
      <b/>
      <sz val="11"/>
      <color indexed="16"/>
      <name val="Times New Roman"/>
      <family val="1"/>
    </font>
    <font>
      <sz val="10"/>
      <color indexed="9"/>
      <name val="Arial"/>
      <family val="2"/>
    </font>
    <font>
      <b/>
      <sz val="9"/>
      <name val="Arial"/>
      <family val="2"/>
    </font>
    <font>
      <b/>
      <sz val="12"/>
      <color indexed="53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8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1">
      <protection hidden="1"/>
    </xf>
    <xf numFmtId="0" fontId="3" fillId="2" borderId="1" applyNumberFormat="0" applyFont="0" applyBorder="0" applyAlignment="0" applyProtection="0">
      <protection hidden="1"/>
    </xf>
    <xf numFmtId="44" fontId="1" fillId="0" borderId="0" applyFont="0" applyFill="0" applyBorder="0" applyAlignment="0" applyProtection="0"/>
    <xf numFmtId="0" fontId="5" fillId="0" borderId="1">
      <alignment horizontal="left"/>
      <protection locked="0"/>
    </xf>
    <xf numFmtId="0" fontId="4" fillId="0" borderId="0"/>
    <xf numFmtId="165" fontId="6" fillId="0" borderId="0"/>
    <xf numFmtId="165" fontId="6" fillId="0" borderId="0"/>
    <xf numFmtId="9" fontId="1" fillId="0" borderId="0" applyFont="0" applyFill="0" applyBorder="0" applyAlignment="0" applyProtection="0"/>
    <xf numFmtId="0" fontId="7" fillId="0" borderId="1" applyNumberFormat="0" applyFill="0" applyBorder="0" applyAlignment="0" applyProtection="0">
      <protection hidden="1"/>
    </xf>
    <xf numFmtId="0" fontId="8" fillId="2" borderId="1"/>
  </cellStyleXfs>
  <cellXfs count="954">
    <xf numFmtId="0" fontId="0" fillId="0" borderId="0" xfId="0"/>
    <xf numFmtId="165" fontId="9" fillId="0" borderId="0" xfId="7" quotePrefix="1" applyNumberFormat="1" applyFont="1" applyAlignment="1" applyProtection="1">
      <alignment horizontal="left"/>
    </xf>
    <xf numFmtId="165" fontId="6" fillId="0" borderId="0" xfId="7" applyNumberFormat="1" applyFont="1"/>
    <xf numFmtId="165" fontId="6" fillId="0" borderId="0" xfId="7" applyNumberFormat="1"/>
    <xf numFmtId="165" fontId="6" fillId="0" borderId="0" xfId="7" applyNumberFormat="1" applyFont="1" applyAlignment="1" applyProtection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5" fontId="9" fillId="0" borderId="0" xfId="7" applyNumberFormat="1" applyFont="1" applyAlignment="1">
      <alignment horizontal="left"/>
    </xf>
    <xf numFmtId="1" fontId="6" fillId="0" borderId="0" xfId="7" applyNumberFormat="1" applyFont="1"/>
    <xf numFmtId="0" fontId="0" fillId="0" borderId="8" xfId="0" applyBorder="1"/>
    <xf numFmtId="0" fontId="0" fillId="0" borderId="9" xfId="0" applyBorder="1"/>
    <xf numFmtId="165" fontId="0" fillId="0" borderId="0" xfId="0" applyNumberFormat="1"/>
    <xf numFmtId="0" fontId="0" fillId="0" borderId="4" xfId="0" applyBorder="1"/>
    <xf numFmtId="1" fontId="9" fillId="0" borderId="0" xfId="7" applyNumberFormat="1" applyFont="1" applyAlignment="1" applyProtection="1">
      <alignment horizontal="right"/>
    </xf>
    <xf numFmtId="2" fontId="6" fillId="0" borderId="0" xfId="5" applyNumberFormat="1" applyFont="1" applyFill="1" applyAlignment="1">
      <alignment horizontal="left"/>
    </xf>
    <xf numFmtId="1" fontId="6" fillId="0" borderId="0" xfId="7" applyNumberFormat="1" applyFont="1" applyFill="1" applyAlignment="1" applyProtection="1">
      <alignment horizontal="left"/>
    </xf>
    <xf numFmtId="1" fontId="10" fillId="0" borderId="0" xfId="7" applyNumberFormat="1" applyFont="1" applyFill="1" applyAlignment="1" applyProtection="1">
      <alignment horizontal="left"/>
    </xf>
    <xf numFmtId="2" fontId="4" fillId="0" borderId="0" xfId="5" applyNumberFormat="1" applyFont="1"/>
    <xf numFmtId="2" fontId="9" fillId="0" borderId="0" xfId="5" applyNumberFormat="1" applyFont="1" applyAlignment="1">
      <alignment horizontal="left"/>
    </xf>
    <xf numFmtId="0" fontId="0" fillId="0" borderId="0" xfId="0" applyFill="1"/>
    <xf numFmtId="1" fontId="9" fillId="3" borderId="0" xfId="0" applyNumberFormat="1" applyFont="1" applyFill="1"/>
    <xf numFmtId="165" fontId="6" fillId="4" borderId="0" xfId="7" applyNumberFormat="1" applyFill="1"/>
    <xf numFmtId="165" fontId="6" fillId="0" borderId="0" xfId="5" applyNumberFormat="1" applyFont="1"/>
    <xf numFmtId="2" fontId="6" fillId="0" borderId="0" xfId="5" applyNumberFormat="1" applyFont="1"/>
    <xf numFmtId="165" fontId="0" fillId="4" borderId="0" xfId="0" applyNumberFormat="1" applyFill="1"/>
    <xf numFmtId="165" fontId="6" fillId="0" borderId="0" xfId="7" applyNumberFormat="1" applyFill="1"/>
    <xf numFmtId="165" fontId="6" fillId="4" borderId="0" xfId="5" applyNumberFormat="1" applyFont="1" applyFill="1"/>
    <xf numFmtId="0" fontId="6" fillId="0" borderId="0" xfId="0" applyFont="1" applyAlignment="1" applyProtection="1">
      <alignment horizontal="left"/>
    </xf>
    <xf numFmtId="165" fontId="6" fillId="0" borderId="0" xfId="7" applyNumberFormat="1" applyFont="1" applyFill="1" applyAlignment="1" applyProtection="1">
      <alignment horizontal="left"/>
    </xf>
    <xf numFmtId="165" fontId="16" fillId="0" borderId="0" xfId="7" applyNumberFormat="1" applyFont="1" applyAlignment="1" applyProtection="1">
      <alignment horizontal="left"/>
    </xf>
    <xf numFmtId="165" fontId="6" fillId="0" borderId="0" xfId="5" applyNumberFormat="1" applyFont="1" applyFill="1"/>
    <xf numFmtId="2" fontId="9" fillId="3" borderId="0" xfId="5" applyNumberFormat="1" applyFont="1" applyFill="1"/>
    <xf numFmtId="0" fontId="9" fillId="3" borderId="0" xfId="0" applyFont="1" applyFill="1"/>
    <xf numFmtId="2" fontId="0" fillId="0" borderId="0" xfId="0" applyNumberFormat="1"/>
    <xf numFmtId="0" fontId="9" fillId="3" borderId="0" xfId="0" applyFont="1" applyFill="1" applyAlignment="1" applyProtection="1">
      <alignment horizontal="left"/>
    </xf>
    <xf numFmtId="2" fontId="16" fillId="0" borderId="0" xfId="5" applyNumberFormat="1" applyFont="1" applyFill="1"/>
    <xf numFmtId="2" fontId="6" fillId="0" borderId="0" xfId="5" applyNumberFormat="1" applyFont="1" applyAlignment="1">
      <alignment horizontal="left"/>
    </xf>
    <xf numFmtId="167" fontId="0" fillId="0" borderId="0" xfId="0" applyNumberFormat="1" applyFill="1"/>
    <xf numFmtId="2" fontId="0" fillId="4" borderId="0" xfId="0" applyNumberFormat="1" applyFill="1"/>
    <xf numFmtId="167" fontId="4" fillId="0" borderId="0" xfId="5" applyNumberFormat="1" applyFont="1" applyFill="1"/>
    <xf numFmtId="167" fontId="6" fillId="0" borderId="0" xfId="8" applyNumberFormat="1" applyFont="1" applyFill="1"/>
    <xf numFmtId="164" fontId="6" fillId="0" borderId="0" xfId="8" applyNumberFormat="1" applyFont="1"/>
    <xf numFmtId="165" fontId="6" fillId="0" borderId="0" xfId="8" applyNumberFormat="1" applyFont="1"/>
    <xf numFmtId="172" fontId="9" fillId="0" borderId="0" xfId="5" applyNumberFormat="1" applyFont="1" applyAlignment="1">
      <alignment horizontal="left"/>
    </xf>
    <xf numFmtId="173" fontId="9" fillId="0" borderId="0" xfId="5" applyNumberFormat="1" applyFont="1" applyAlignment="1">
      <alignment horizontal="left"/>
    </xf>
    <xf numFmtId="165" fontId="0" fillId="0" borderId="2" xfId="0" applyNumberFormat="1" applyBorder="1"/>
    <xf numFmtId="165" fontId="0" fillId="0" borderId="3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10" xfId="0" applyNumberFormat="1" applyBorder="1"/>
    <xf numFmtId="0" fontId="0" fillId="0" borderId="0" xfId="0" applyAlignment="1"/>
    <xf numFmtId="167" fontId="9" fillId="0" borderId="0" xfId="0" applyNumberFormat="1" applyFont="1" applyFill="1" applyAlignment="1">
      <alignment horizontal="right"/>
    </xf>
    <xf numFmtId="166" fontId="0" fillId="4" borderId="0" xfId="0" applyNumberFormat="1" applyFill="1"/>
    <xf numFmtId="2" fontId="6" fillId="4" borderId="0" xfId="7" applyNumberFormat="1" applyFill="1"/>
    <xf numFmtId="164" fontId="6" fillId="4" borderId="0" xfId="8" applyNumberFormat="1" applyFont="1" applyFill="1"/>
    <xf numFmtId="2" fontId="6" fillId="4" borderId="0" xfId="8" applyNumberFormat="1" applyFont="1" applyFill="1"/>
    <xf numFmtId="167" fontId="21" fillId="0" borderId="0" xfId="5" applyNumberFormat="1" applyFont="1" applyFill="1"/>
    <xf numFmtId="167" fontId="21" fillId="0" borderId="0" xfId="8" applyNumberFormat="1" applyFont="1" applyFill="1"/>
    <xf numFmtId="167" fontId="21" fillId="0" borderId="0" xfId="0" applyNumberFormat="1" applyFont="1" applyFill="1"/>
    <xf numFmtId="2" fontId="21" fillId="0" borderId="0" xfId="5" applyNumberFormat="1" applyFont="1" applyAlignment="1">
      <alignment horizontal="left"/>
    </xf>
    <xf numFmtId="0" fontId="21" fillId="0" borderId="0" xfId="0" applyFont="1"/>
    <xf numFmtId="0" fontId="6" fillId="0" borderId="0" xfId="0" applyFont="1"/>
    <xf numFmtId="0" fontId="6" fillId="0" borderId="0" xfId="0" applyFont="1" applyFill="1"/>
    <xf numFmtId="10" fontId="6" fillId="0" borderId="0" xfId="0" applyNumberFormat="1" applyFont="1" applyFill="1"/>
    <xf numFmtId="10" fontId="6" fillId="0" borderId="0" xfId="8" applyNumberFormat="1" applyFont="1" applyFill="1"/>
    <xf numFmtId="165" fontId="6" fillId="0" borderId="0" xfId="8" applyNumberFormat="1" applyFont="1" applyFill="1"/>
    <xf numFmtId="10" fontId="6" fillId="0" borderId="0" xfId="5" applyNumberFormat="1" applyFont="1" applyAlignment="1">
      <alignment horizontal="left"/>
    </xf>
    <xf numFmtId="10" fontId="6" fillId="0" borderId="0" xfId="0" applyNumberFormat="1" applyFont="1"/>
    <xf numFmtId="10" fontId="6" fillId="0" borderId="0" xfId="8" applyNumberFormat="1" applyFont="1"/>
    <xf numFmtId="165" fontId="6" fillId="4" borderId="0" xfId="0" applyNumberFormat="1" applyFont="1" applyFill="1"/>
    <xf numFmtId="165" fontId="6" fillId="0" borderId="0" xfId="0" applyNumberFormat="1" applyFont="1" applyFill="1"/>
    <xf numFmtId="165" fontId="0" fillId="0" borderId="0" xfId="0" applyNumberFormat="1" applyFill="1"/>
    <xf numFmtId="165" fontId="4" fillId="0" borderId="0" xfId="5" applyNumberFormat="1" applyFont="1"/>
    <xf numFmtId="165" fontId="6" fillId="4" borderId="0" xfId="5" applyNumberFormat="1" applyFont="1" applyFill="1" applyProtection="1">
      <protection locked="0"/>
    </xf>
    <xf numFmtId="165" fontId="6" fillId="4" borderId="0" xfId="7" applyNumberFormat="1" applyFont="1" applyFill="1"/>
    <xf numFmtId="0" fontId="16" fillId="0" borderId="0" xfId="0" applyFont="1" applyFill="1" applyAlignment="1" applyProtection="1">
      <alignment horizontal="left"/>
    </xf>
    <xf numFmtId="165" fontId="6" fillId="5" borderId="0" xfId="7" applyNumberFormat="1" applyFont="1" applyFill="1"/>
    <xf numFmtId="167" fontId="21" fillId="5" borderId="0" xfId="8" applyNumberFormat="1" applyFont="1" applyFill="1"/>
    <xf numFmtId="10" fontId="6" fillId="5" borderId="0" xfId="0" applyNumberFormat="1" applyFont="1" applyFill="1"/>
    <xf numFmtId="2" fontId="6" fillId="5" borderId="0" xfId="5" applyNumberFormat="1" applyFont="1" applyFill="1" applyAlignment="1">
      <alignment horizontal="left"/>
    </xf>
    <xf numFmtId="10" fontId="6" fillId="5" borderId="0" xfId="8" applyNumberFormat="1" applyFont="1" applyFill="1"/>
    <xf numFmtId="165" fontId="6" fillId="5" borderId="0" xfId="7" applyNumberFormat="1" applyFont="1" applyFill="1" applyAlignment="1" applyProtection="1">
      <alignment horizontal="left"/>
    </xf>
    <xf numFmtId="2" fontId="21" fillId="5" borderId="0" xfId="5" applyNumberFormat="1" applyFont="1" applyFill="1" applyAlignment="1">
      <alignment horizontal="left"/>
    </xf>
    <xf numFmtId="165" fontId="6" fillId="5" borderId="0" xfId="8" applyNumberFormat="1" applyFont="1" applyFill="1"/>
    <xf numFmtId="165" fontId="16" fillId="5" borderId="0" xfId="7" applyNumberFormat="1" applyFont="1" applyFill="1" applyAlignment="1" applyProtection="1">
      <alignment horizontal="left"/>
    </xf>
    <xf numFmtId="167" fontId="21" fillId="5" borderId="0" xfId="0" applyNumberFormat="1" applyFont="1" applyFill="1"/>
    <xf numFmtId="10" fontId="6" fillId="5" borderId="0" xfId="5" applyNumberFormat="1" applyFont="1" applyFill="1" applyAlignment="1">
      <alignment horizontal="right"/>
    </xf>
    <xf numFmtId="165" fontId="6" fillId="5" borderId="0" xfId="5" applyNumberFormat="1" applyFont="1" applyFill="1" applyAlignment="1">
      <alignment horizontal="right"/>
    </xf>
    <xf numFmtId="165" fontId="16" fillId="5" borderId="0" xfId="7" applyNumberFormat="1" applyFont="1" applyFill="1"/>
    <xf numFmtId="165" fontId="16" fillId="0" borderId="0" xfId="7" applyNumberFormat="1" applyFont="1" applyFill="1" applyAlignment="1" applyProtection="1">
      <alignment horizontal="left"/>
    </xf>
    <xf numFmtId="1" fontId="0" fillId="0" borderId="0" xfId="0" applyNumberFormat="1"/>
    <xf numFmtId="2" fontId="16" fillId="5" borderId="0" xfId="5" applyNumberFormat="1" applyFont="1" applyFill="1"/>
    <xf numFmtId="166" fontId="6" fillId="5" borderId="0" xfId="5" applyNumberFormat="1" applyFont="1" applyFill="1" applyAlignment="1">
      <alignment horizontal="right"/>
    </xf>
    <xf numFmtId="166" fontId="6" fillId="5" borderId="0" xfId="0" applyNumberFormat="1" applyFont="1" applyFill="1" applyAlignment="1">
      <alignment horizontal="right"/>
    </xf>
    <xf numFmtId="0" fontId="16" fillId="5" borderId="0" xfId="0" applyFont="1" applyFill="1" applyAlignment="1" applyProtection="1">
      <alignment horizontal="left"/>
    </xf>
    <xf numFmtId="165" fontId="6" fillId="0" borderId="0" xfId="7" applyNumberFormat="1" applyFont="1" applyAlignment="1" applyProtection="1">
      <alignment horizontal="right"/>
    </xf>
    <xf numFmtId="2" fontId="6" fillId="5" borderId="0" xfId="0" applyNumberFormat="1" applyFont="1" applyFill="1"/>
    <xf numFmtId="166" fontId="6" fillId="0" borderId="0" xfId="7" applyNumberFormat="1"/>
    <xf numFmtId="164" fontId="6" fillId="6" borderId="0" xfId="7" applyNumberFormat="1" applyFill="1"/>
    <xf numFmtId="166" fontId="6" fillId="0" borderId="0" xfId="8" applyNumberFormat="1" applyFont="1" applyFill="1"/>
    <xf numFmtId="165" fontId="6" fillId="0" borderId="0" xfId="5" applyNumberFormat="1" applyFont="1" applyFill="1" applyProtection="1"/>
    <xf numFmtId="165" fontId="6" fillId="0" borderId="0" xfId="5" applyNumberFormat="1" applyFont="1" applyFill="1" applyProtection="1">
      <protection locked="0"/>
    </xf>
    <xf numFmtId="165" fontId="26" fillId="0" borderId="0" xfId="7" applyNumberFormat="1" applyFont="1" applyAlignment="1" applyProtection="1">
      <alignment horizontal="left"/>
    </xf>
    <xf numFmtId="2" fontId="0" fillId="0" borderId="0" xfId="0" applyNumberFormat="1" applyFill="1"/>
    <xf numFmtId="165" fontId="28" fillId="0" borderId="0" xfId="7" applyNumberFormat="1" applyFont="1" applyAlignment="1" applyProtection="1">
      <alignment horizontal="left"/>
    </xf>
    <xf numFmtId="2" fontId="26" fillId="0" borderId="0" xfId="5" applyNumberFormat="1" applyFont="1" applyFill="1" applyAlignment="1">
      <alignment horizontal="left"/>
    </xf>
    <xf numFmtId="165" fontId="26" fillId="0" borderId="0" xfId="7" applyNumberFormat="1" applyFont="1"/>
    <xf numFmtId="165" fontId="6" fillId="4" borderId="0" xfId="7" applyNumberFormat="1" applyFont="1" applyFill="1" applyAlignment="1" applyProtection="1">
      <alignment horizontal="left"/>
    </xf>
    <xf numFmtId="0" fontId="6" fillId="4" borderId="0" xfId="0" applyFont="1" applyFill="1"/>
    <xf numFmtId="166" fontId="6" fillId="0" borderId="0" xfId="8" applyNumberFormat="1" applyFont="1" applyFill="1" applyAlignment="1">
      <alignment horizontal="right"/>
    </xf>
    <xf numFmtId="165" fontId="6" fillId="0" borderId="0" xfId="7" applyNumberFormat="1" applyFont="1" applyFill="1"/>
    <xf numFmtId="1" fontId="6" fillId="0" borderId="0" xfId="7" applyNumberFormat="1" applyFont="1" applyFill="1"/>
    <xf numFmtId="0" fontId="6" fillId="0" borderId="0" xfId="0" applyFont="1" applyFill="1" applyAlignment="1" applyProtection="1">
      <alignment horizontal="left"/>
    </xf>
    <xf numFmtId="2" fontId="21" fillId="0" borderId="0" xfId="5" applyNumberFormat="1" applyFont="1" applyFill="1" applyAlignment="1">
      <alignment horizontal="left"/>
    </xf>
    <xf numFmtId="0" fontId="6" fillId="0" borderId="11" xfId="0" applyFont="1" applyBorder="1"/>
    <xf numFmtId="10" fontId="6" fillId="0" borderId="11" xfId="0" applyNumberFormat="1" applyFont="1" applyFill="1" applyBorder="1"/>
    <xf numFmtId="10" fontId="6" fillId="5" borderId="11" xfId="0" applyNumberFormat="1" applyFont="1" applyFill="1" applyBorder="1"/>
    <xf numFmtId="10" fontId="6" fillId="0" borderId="11" xfId="8" applyNumberFormat="1" applyFont="1" applyFill="1" applyBorder="1"/>
    <xf numFmtId="10" fontId="6" fillId="5" borderId="11" xfId="8" applyNumberFormat="1" applyFont="1" applyFill="1" applyBorder="1"/>
    <xf numFmtId="165" fontId="6" fillId="0" borderId="11" xfId="8" applyNumberFormat="1" applyFont="1" applyFill="1" applyBorder="1"/>
    <xf numFmtId="10" fontId="6" fillId="0" borderId="11" xfId="0" applyNumberFormat="1" applyFont="1" applyBorder="1"/>
    <xf numFmtId="165" fontId="6" fillId="0" borderId="11" xfId="0" applyNumberFormat="1" applyFont="1" applyFill="1" applyBorder="1"/>
    <xf numFmtId="165" fontId="6" fillId="5" borderId="11" xfId="8" applyNumberFormat="1" applyFont="1" applyFill="1" applyBorder="1"/>
    <xf numFmtId="10" fontId="6" fillId="0" borderId="11" xfId="8" applyNumberFormat="1" applyFont="1" applyBorder="1"/>
    <xf numFmtId="165" fontId="6" fillId="0" borderId="11" xfId="8" applyNumberFormat="1" applyFont="1" applyBorder="1"/>
    <xf numFmtId="10" fontId="6" fillId="5" borderId="11" xfId="5" applyNumberFormat="1" applyFont="1" applyFill="1" applyBorder="1" applyAlignment="1">
      <alignment horizontal="right"/>
    </xf>
    <xf numFmtId="0" fontId="6" fillId="0" borderId="11" xfId="0" applyFont="1" applyFill="1" applyBorder="1"/>
    <xf numFmtId="0" fontId="0" fillId="0" borderId="11" xfId="0" applyBorder="1"/>
    <xf numFmtId="165" fontId="16" fillId="0" borderId="0" xfId="7" applyNumberFormat="1" applyFont="1" applyAlignment="1" applyProtection="1">
      <alignment horizontal="right"/>
    </xf>
    <xf numFmtId="165" fontId="16" fillId="5" borderId="0" xfId="7" applyNumberFormat="1" applyFont="1" applyFill="1" applyAlignment="1" applyProtection="1">
      <alignment horizontal="right"/>
    </xf>
    <xf numFmtId="0" fontId="21" fillId="5" borderId="0" xfId="0" applyFont="1" applyFill="1"/>
    <xf numFmtId="165" fontId="16" fillId="0" borderId="0" xfId="7" applyNumberFormat="1" applyFont="1" applyFill="1" applyAlignment="1" applyProtection="1">
      <alignment horizontal="right"/>
    </xf>
    <xf numFmtId="165" fontId="16" fillId="0" borderId="0" xfId="0" applyNumberFormat="1" applyFont="1" applyFill="1"/>
    <xf numFmtId="2" fontId="6" fillId="5" borderId="11" xfId="0" applyNumberFormat="1" applyFont="1" applyFill="1" applyBorder="1"/>
    <xf numFmtId="1" fontId="29" fillId="4" borderId="0" xfId="5" applyNumberFormat="1" applyFont="1" applyFill="1" applyAlignment="1" applyProtection="1">
      <alignment horizontal="right"/>
      <protection locked="0"/>
    </xf>
    <xf numFmtId="2" fontId="16" fillId="0" borderId="0" xfId="5" applyNumberFormat="1" applyFont="1" applyFill="1" applyAlignment="1">
      <alignment horizontal="left"/>
    </xf>
    <xf numFmtId="165" fontId="16" fillId="0" borderId="0" xfId="7" applyNumberFormat="1" applyFont="1" applyFill="1"/>
    <xf numFmtId="2" fontId="6" fillId="0" borderId="0" xfId="5" applyNumberFormat="1" applyFont="1" applyAlignment="1">
      <alignment horizontal="right"/>
    </xf>
    <xf numFmtId="2" fontId="6" fillId="0" borderId="0" xfId="5" applyNumberFormat="1" applyFont="1" applyFill="1"/>
    <xf numFmtId="0" fontId="9" fillId="5" borderId="0" xfId="0" applyFont="1" applyFill="1" applyAlignment="1" applyProtection="1">
      <alignment horizontal="left"/>
    </xf>
    <xf numFmtId="164" fontId="6" fillId="5" borderId="0" xfId="8" applyNumberFormat="1" applyFont="1" applyFill="1"/>
    <xf numFmtId="164" fontId="6" fillId="5" borderId="11" xfId="8" applyNumberFormat="1" applyFont="1" applyFill="1" applyBorder="1"/>
    <xf numFmtId="2" fontId="9" fillId="4" borderId="0" xfId="5" applyNumberFormat="1" applyFont="1" applyFill="1" applyAlignment="1" applyProtection="1">
      <alignment horizontal="left"/>
      <protection locked="0"/>
    </xf>
    <xf numFmtId="166" fontId="10" fillId="0" borderId="0" xfId="5" applyNumberFormat="1" applyFont="1" applyAlignment="1">
      <alignment horizontal="right"/>
    </xf>
    <xf numFmtId="174" fontId="17" fillId="3" borderId="0" xfId="5" applyNumberFormat="1" applyFont="1" applyFill="1" applyAlignment="1">
      <alignment horizontal="left"/>
    </xf>
    <xf numFmtId="165" fontId="26" fillId="4" borderId="0" xfId="7" applyNumberFormat="1" applyFont="1" applyFill="1" applyAlignment="1" applyProtection="1">
      <alignment horizontal="left"/>
    </xf>
    <xf numFmtId="164" fontId="6" fillId="0" borderId="0" xfId="8" applyNumberFormat="1" applyFont="1" applyFill="1"/>
    <xf numFmtId="167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4" fontId="0" fillId="0" borderId="0" xfId="8" applyNumberFormat="1" applyFont="1"/>
    <xf numFmtId="10" fontId="0" fillId="0" borderId="0" xfId="8" applyNumberFormat="1" applyFont="1"/>
    <xf numFmtId="164" fontId="1" fillId="0" borderId="0" xfId="8" applyNumberFormat="1"/>
    <xf numFmtId="0" fontId="0" fillId="7" borderId="0" xfId="0" applyFill="1"/>
    <xf numFmtId="1" fontId="9" fillId="7" borderId="0" xfId="0" applyNumberFormat="1" applyFont="1" applyFill="1"/>
    <xf numFmtId="0" fontId="31" fillId="7" borderId="0" xfId="0" applyFont="1" applyFill="1"/>
    <xf numFmtId="166" fontId="0" fillId="0" borderId="0" xfId="8" applyNumberFormat="1" applyFont="1"/>
    <xf numFmtId="1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1" fontId="19" fillId="0" borderId="12" xfId="5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" fontId="19" fillId="0" borderId="13" xfId="5" applyNumberFormat="1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" fillId="0" borderId="13" xfId="0" applyFont="1" applyBorder="1"/>
    <xf numFmtId="0" fontId="9" fillId="0" borderId="15" xfId="0" applyFont="1" applyBorder="1" applyAlignment="1">
      <alignment horizontal="center"/>
    </xf>
    <xf numFmtId="0" fontId="1" fillId="0" borderId="16" xfId="0" applyFont="1" applyBorder="1"/>
    <xf numFmtId="0" fontId="0" fillId="0" borderId="0" xfId="0" applyAlignment="1">
      <alignment horizontal="center"/>
    </xf>
    <xf numFmtId="0" fontId="32" fillId="0" borderId="0" xfId="0" applyFont="1" applyAlignment="1">
      <alignment horizontal="center"/>
    </xf>
    <xf numFmtId="1" fontId="9" fillId="0" borderId="0" xfId="5" applyNumberFormat="1" applyFont="1"/>
    <xf numFmtId="0" fontId="32" fillId="0" borderId="17" xfId="0" applyFont="1" applyBorder="1"/>
    <xf numFmtId="0" fontId="9" fillId="0" borderId="18" xfId="0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9" fillId="0" borderId="20" xfId="0" applyFont="1" applyBorder="1"/>
    <xf numFmtId="164" fontId="0" fillId="0" borderId="0" xfId="0" applyNumberFormat="1"/>
    <xf numFmtId="0" fontId="9" fillId="0" borderId="0" xfId="0" applyFont="1"/>
    <xf numFmtId="10" fontId="6" fillId="0" borderId="0" xfId="5" applyNumberFormat="1" applyFont="1"/>
    <xf numFmtId="1" fontId="6" fillId="4" borderId="0" xfId="5" applyNumberFormat="1" applyFont="1" applyFill="1" applyAlignment="1" applyProtection="1">
      <alignment horizontal="center"/>
      <protection locked="0"/>
    </xf>
    <xf numFmtId="1" fontId="6" fillId="0" borderId="0" xfId="5" applyNumberFormat="1" applyFont="1" applyAlignment="1" applyProtection="1">
      <alignment horizontal="center"/>
      <protection locked="0"/>
    </xf>
    <xf numFmtId="165" fontId="6" fillId="0" borderId="0" xfId="5" applyNumberFormat="1" applyFont="1" applyAlignment="1" applyProtection="1">
      <alignment horizontal="center"/>
      <protection locked="0"/>
    </xf>
    <xf numFmtId="2" fontId="6" fillId="0" borderId="0" xfId="5" applyNumberFormat="1" applyFont="1" applyAlignment="1" applyProtection="1">
      <alignment horizontal="center"/>
      <protection locked="0"/>
    </xf>
    <xf numFmtId="2" fontId="6" fillId="0" borderId="0" xfId="5" applyNumberFormat="1" applyFont="1" applyProtection="1">
      <protection locked="0"/>
    </xf>
    <xf numFmtId="1" fontId="6" fillId="0" borderId="0" xfId="5" applyNumberFormat="1" applyFont="1" applyProtection="1">
      <protection locked="0"/>
    </xf>
    <xf numFmtId="0" fontId="15" fillId="0" borderId="0" xfId="0" applyFont="1" applyProtection="1">
      <protection locked="0"/>
    </xf>
    <xf numFmtId="166" fontId="14" fillId="0" borderId="0" xfId="5" applyNumberFormat="1" applyFont="1" applyAlignment="1" applyProtection="1">
      <alignment horizontal="centerContinuous"/>
      <protection locked="0"/>
    </xf>
    <xf numFmtId="2" fontId="9" fillId="3" borderId="0" xfId="5" applyNumberFormat="1" applyFont="1" applyFill="1" applyAlignment="1" applyProtection="1">
      <alignment horizontal="left"/>
      <protection locked="0"/>
    </xf>
    <xf numFmtId="2" fontId="9" fillId="3" borderId="0" xfId="5" applyNumberFormat="1" applyFont="1" applyFill="1" applyAlignment="1" applyProtection="1">
      <alignment horizontal="center"/>
      <protection locked="0"/>
    </xf>
    <xf numFmtId="166" fontId="14" fillId="3" borderId="0" xfId="5" applyNumberFormat="1" applyFont="1" applyFill="1" applyAlignment="1" applyProtection="1">
      <alignment horizontal="center"/>
      <protection locked="0"/>
    </xf>
    <xf numFmtId="166" fontId="22" fillId="0" borderId="0" xfId="5" applyNumberFormat="1" applyFont="1" applyAlignment="1" applyProtection="1">
      <alignment horizontal="right"/>
      <protection locked="0"/>
    </xf>
    <xf numFmtId="174" fontId="22" fillId="0" borderId="0" xfId="5" applyNumberFormat="1" applyFont="1" applyAlignment="1" applyProtection="1">
      <alignment horizontal="center"/>
      <protection locked="0"/>
    </xf>
    <xf numFmtId="1" fontId="6" fillId="0" borderId="0" xfId="5" applyNumberFormat="1" applyFont="1" applyAlignment="1" applyProtection="1">
      <alignment horizontal="centerContinuous"/>
      <protection locked="0"/>
    </xf>
    <xf numFmtId="1" fontId="9" fillId="3" borderId="0" xfId="5" applyNumberFormat="1" applyFont="1" applyFill="1" applyAlignment="1" applyProtection="1">
      <alignment horizontal="center"/>
      <protection locked="0"/>
    </xf>
    <xf numFmtId="2" fontId="4" fillId="0" borderId="0" xfId="5" applyNumberFormat="1" applyFont="1" applyProtection="1">
      <protection locked="0"/>
    </xf>
    <xf numFmtId="2" fontId="21" fillId="0" borderId="0" xfId="5" applyNumberFormat="1" applyFont="1" applyAlignment="1" applyProtection="1">
      <alignment horizontal="right"/>
      <protection locked="0"/>
    </xf>
    <xf numFmtId="166" fontId="6" fillId="0" borderId="0" xfId="5" applyNumberFormat="1" applyFont="1" applyProtection="1">
      <protection locked="0"/>
    </xf>
    <xf numFmtId="171" fontId="6" fillId="0" borderId="0" xfId="5" applyNumberFormat="1" applyFont="1" applyAlignment="1" applyProtection="1">
      <alignment horizontal="centerContinuous"/>
      <protection locked="0"/>
    </xf>
    <xf numFmtId="1" fontId="6" fillId="0" borderId="0" xfId="5" applyNumberFormat="1" applyFont="1" applyAlignment="1" applyProtection="1">
      <protection locked="0"/>
    </xf>
    <xf numFmtId="2" fontId="9" fillId="3" borderId="0" xfId="5" applyNumberFormat="1" applyFont="1" applyFill="1" applyProtection="1">
      <protection locked="0"/>
    </xf>
    <xf numFmtId="2" fontId="9" fillId="0" borderId="0" xfId="5" applyNumberFormat="1" applyFont="1" applyAlignment="1" applyProtection="1">
      <alignment horizontal="center"/>
      <protection locked="0"/>
    </xf>
    <xf numFmtId="166" fontId="6" fillId="0" borderId="0" xfId="5" applyNumberFormat="1" applyFont="1" applyAlignment="1" applyProtection="1">
      <alignment horizontal="center"/>
      <protection locked="0"/>
    </xf>
    <xf numFmtId="2" fontId="9" fillId="8" borderId="0" xfId="5" applyNumberFormat="1" applyFont="1" applyFill="1" applyProtection="1">
      <protection locked="0"/>
    </xf>
    <xf numFmtId="166" fontId="6" fillId="8" borderId="0" xfId="5" applyNumberFormat="1" applyFont="1" applyFill="1" applyProtection="1">
      <protection locked="0"/>
    </xf>
    <xf numFmtId="166" fontId="6" fillId="4" borderId="0" xfId="8" applyNumberFormat="1" applyFont="1" applyFill="1" applyAlignment="1" applyProtection="1">
      <alignment horizontal="center"/>
      <protection locked="0"/>
    </xf>
    <xf numFmtId="2" fontId="6" fillId="0" borderId="0" xfId="5" applyNumberFormat="1" applyFont="1" applyAlignment="1" applyProtection="1">
      <alignment horizontal="centerContinuous"/>
      <protection locked="0"/>
    </xf>
    <xf numFmtId="166" fontId="6" fillId="0" borderId="0" xfId="8" applyNumberFormat="1" applyFont="1" applyFill="1" applyAlignment="1" applyProtection="1">
      <alignment horizontal="center"/>
      <protection locked="0"/>
    </xf>
    <xf numFmtId="166" fontId="9" fillId="0" borderId="0" xfId="5" applyNumberFormat="1" applyFont="1" applyAlignment="1" applyProtection="1">
      <alignment horizontal="center"/>
      <protection locked="0"/>
    </xf>
    <xf numFmtId="2" fontId="9" fillId="0" borderId="0" xfId="5" applyNumberFormat="1" applyFont="1" applyAlignment="1" applyProtection="1">
      <alignment horizontal="centerContinuous"/>
      <protection locked="0"/>
    </xf>
    <xf numFmtId="166" fontId="9" fillId="0" borderId="0" xfId="5" applyNumberFormat="1" applyFont="1" applyAlignment="1" applyProtection="1">
      <alignment horizontal="centerContinuous"/>
      <protection locked="0"/>
    </xf>
    <xf numFmtId="166" fontId="10" fillId="0" borderId="0" xfId="5" applyNumberFormat="1" applyFont="1" applyAlignment="1" applyProtection="1">
      <alignment horizontal="center"/>
      <protection locked="0"/>
    </xf>
    <xf numFmtId="1" fontId="9" fillId="0" borderId="0" xfId="5" applyNumberFormat="1" applyFont="1" applyFill="1" applyAlignment="1" applyProtection="1">
      <alignment horizontal="center"/>
      <protection locked="0"/>
    </xf>
    <xf numFmtId="2" fontId="4" fillId="0" borderId="0" xfId="5" quotePrefix="1" applyNumberFormat="1" applyFont="1" applyProtection="1">
      <protection locked="0"/>
    </xf>
    <xf numFmtId="2" fontId="18" fillId="0" borderId="0" xfId="5" applyNumberFormat="1" applyFont="1" applyAlignment="1" applyProtection="1">
      <alignment horizontal="center"/>
      <protection locked="0"/>
    </xf>
    <xf numFmtId="166" fontId="6" fillId="0" borderId="0" xfId="5" applyNumberFormat="1" applyFont="1" applyFill="1" applyAlignment="1" applyProtection="1">
      <alignment horizontal="center"/>
      <protection locked="0"/>
    </xf>
    <xf numFmtId="166" fontId="6" fillId="0" borderId="0" xfId="0" applyNumberFormat="1" applyFont="1" applyFill="1" applyAlignment="1" applyProtection="1">
      <alignment horizontal="center"/>
      <protection locked="0"/>
    </xf>
    <xf numFmtId="165" fontId="6" fillId="0" borderId="0" xfId="7" applyNumberFormat="1" applyFont="1" applyProtection="1">
      <protection locked="0"/>
    </xf>
    <xf numFmtId="169" fontId="6" fillId="0" borderId="0" xfId="5" applyNumberFormat="1" applyFont="1" applyProtection="1">
      <protection locked="0"/>
    </xf>
    <xf numFmtId="165" fontId="6" fillId="0" borderId="0" xfId="7" applyNumberFormat="1" applyFont="1" applyAlignment="1" applyProtection="1">
      <alignment horizontal="left"/>
      <protection locked="0"/>
    </xf>
    <xf numFmtId="1" fontId="33" fillId="0" borderId="0" xfId="5" applyNumberFormat="1" applyFont="1" applyProtection="1">
      <protection locked="0"/>
    </xf>
    <xf numFmtId="1" fontId="9" fillId="0" borderId="0" xfId="5" applyNumberFormat="1" applyFont="1" applyProtection="1">
      <protection locked="0"/>
    </xf>
    <xf numFmtId="1" fontId="9" fillId="0" borderId="0" xfId="5" applyNumberFormat="1" applyFont="1" applyAlignment="1" applyProtection="1">
      <alignment horizontal="center"/>
      <protection locked="0"/>
    </xf>
    <xf numFmtId="1" fontId="14" fillId="0" borderId="0" xfId="5" applyNumberFormat="1" applyFont="1" applyAlignment="1" applyProtection="1">
      <alignment horizontal="left"/>
      <protection locked="0"/>
    </xf>
    <xf numFmtId="1" fontId="14" fillId="0" borderId="0" xfId="5" applyNumberFormat="1" applyFont="1" applyAlignment="1" applyProtection="1">
      <alignment horizontal="center"/>
      <protection locked="0"/>
    </xf>
    <xf numFmtId="1" fontId="14" fillId="0" borderId="0" xfId="5" applyNumberFormat="1" applyFont="1" applyProtection="1">
      <protection locked="0"/>
    </xf>
    <xf numFmtId="1" fontId="35" fillId="8" borderId="0" xfId="5" applyNumberFormat="1" applyFont="1" applyFill="1" applyProtection="1">
      <protection locked="0"/>
    </xf>
    <xf numFmtId="1" fontId="34" fillId="0" borderId="0" xfId="0" applyNumberFormat="1" applyFont="1" applyProtection="1">
      <protection locked="0"/>
    </xf>
    <xf numFmtId="166" fontId="6" fillId="0" borderId="0" xfId="5" applyNumberFormat="1" applyFont="1" applyAlignment="1" applyProtection="1">
      <alignment horizontal="centerContinuous"/>
      <protection locked="0"/>
    </xf>
    <xf numFmtId="168" fontId="6" fillId="0" borderId="0" xfId="3" applyNumberFormat="1" applyFont="1" applyFill="1" applyAlignment="1" applyProtection="1">
      <alignment horizontal="center"/>
      <protection locked="0"/>
    </xf>
    <xf numFmtId="2" fontId="4" fillId="4" borderId="0" xfId="5" applyNumberFormat="1" applyFont="1" applyFill="1" applyProtection="1">
      <protection locked="0"/>
    </xf>
    <xf numFmtId="2" fontId="6" fillId="4" borderId="0" xfId="5" applyNumberFormat="1" applyFont="1" applyFill="1" applyProtection="1">
      <protection locked="0"/>
    </xf>
    <xf numFmtId="2" fontId="6" fillId="4" borderId="0" xfId="5" applyNumberFormat="1" applyFont="1" applyFill="1" applyAlignment="1" applyProtection="1">
      <alignment horizontal="center"/>
      <protection locked="0"/>
    </xf>
    <xf numFmtId="166" fontId="6" fillId="4" borderId="0" xfId="5" applyNumberFormat="1" applyFont="1" applyFill="1" applyAlignment="1" applyProtection="1">
      <alignment horizontal="center"/>
      <protection locked="0"/>
    </xf>
    <xf numFmtId="2" fontId="9" fillId="0" borderId="0" xfId="5" applyNumberFormat="1" applyFont="1" applyAlignment="1" applyProtection="1">
      <alignment horizontal="left"/>
      <protection locked="0"/>
    </xf>
    <xf numFmtId="2" fontId="14" fillId="0" borderId="0" xfId="5" applyNumberFormat="1" applyFont="1" applyAlignment="1" applyProtection="1">
      <alignment horizontal="center"/>
      <protection locked="0"/>
    </xf>
    <xf numFmtId="2" fontId="6" fillId="0" borderId="0" xfId="5" applyNumberFormat="1" applyFont="1" applyAlignment="1" applyProtection="1">
      <alignment horizontal="left"/>
      <protection locked="0"/>
    </xf>
    <xf numFmtId="166" fontId="6" fillId="0" borderId="0" xfId="5" applyNumberFormat="1" applyFont="1" applyAlignment="1" applyProtection="1">
      <alignment horizontal="left"/>
      <protection locked="0"/>
    </xf>
    <xf numFmtId="0" fontId="6" fillId="0" borderId="0" xfId="5" applyFont="1" applyAlignment="1" applyProtection="1">
      <alignment horizontal="center"/>
      <protection locked="0"/>
    </xf>
    <xf numFmtId="0" fontId="18" fillId="0" borderId="0" xfId="5" applyFont="1" applyAlignment="1" applyProtection="1">
      <alignment horizontal="center"/>
      <protection locked="0"/>
    </xf>
    <xf numFmtId="0" fontId="6" fillId="0" borderId="0" xfId="5" applyFont="1" applyAlignment="1" applyProtection="1">
      <alignment horizontal="left"/>
      <protection locked="0"/>
    </xf>
    <xf numFmtId="2" fontId="18" fillId="0" borderId="0" xfId="5" applyNumberFormat="1" applyFont="1" applyAlignment="1" applyProtection="1">
      <alignment horizontal="left"/>
      <protection locked="0"/>
    </xf>
    <xf numFmtId="166" fontId="6" fillId="0" borderId="0" xfId="5" quotePrefix="1" applyNumberFormat="1" applyFont="1" applyProtection="1">
      <protection locked="0"/>
    </xf>
    <xf numFmtId="0" fontId="18" fillId="0" borderId="0" xfId="5" applyFont="1" applyAlignment="1" applyProtection="1">
      <alignment horizontal="left"/>
      <protection locked="0"/>
    </xf>
    <xf numFmtId="0" fontId="6" fillId="0" borderId="0" xfId="5" applyFont="1" applyProtection="1">
      <protection locked="0"/>
    </xf>
    <xf numFmtId="1" fontId="4" fillId="0" borderId="0" xfId="5" applyNumberFormat="1" applyFont="1" applyProtection="1">
      <protection locked="0"/>
    </xf>
    <xf numFmtId="2" fontId="9" fillId="0" borderId="0" xfId="5" applyNumberFormat="1" applyFont="1" applyProtection="1">
      <protection locked="0"/>
    </xf>
    <xf numFmtId="170" fontId="6" fillId="0" borderId="0" xfId="5" applyNumberFormat="1" applyFont="1" applyAlignment="1" applyProtection="1">
      <alignment horizontal="center"/>
      <protection locked="0"/>
    </xf>
    <xf numFmtId="1" fontId="6" fillId="5" borderId="0" xfId="5" applyNumberFormat="1" applyFont="1" applyFill="1" applyProtection="1">
      <protection locked="0"/>
    </xf>
    <xf numFmtId="2" fontId="6" fillId="5" borderId="0" xfId="5" applyNumberFormat="1" applyFont="1" applyFill="1" applyAlignment="1" applyProtection="1">
      <alignment horizontal="center"/>
      <protection locked="0"/>
    </xf>
    <xf numFmtId="2" fontId="6" fillId="3" borderId="0" xfId="5" applyNumberFormat="1" applyFont="1" applyFill="1" applyAlignment="1" applyProtection="1">
      <alignment horizontal="center"/>
      <protection locked="0"/>
    </xf>
    <xf numFmtId="1" fontId="6" fillId="5" borderId="0" xfId="5" applyNumberFormat="1" applyFont="1" applyFill="1" applyAlignment="1" applyProtection="1">
      <alignment horizontal="center"/>
      <protection locked="0"/>
    </xf>
    <xf numFmtId="1" fontId="6" fillId="3" borderId="0" xfId="5" applyNumberFormat="1" applyFont="1" applyFill="1" applyAlignment="1" applyProtection="1">
      <alignment horizontal="left"/>
      <protection locked="0"/>
    </xf>
    <xf numFmtId="2" fontId="6" fillId="3" borderId="0" xfId="5" applyNumberFormat="1" applyFont="1" applyFill="1" applyProtection="1">
      <protection locked="0"/>
    </xf>
    <xf numFmtId="1" fontId="6" fillId="4" borderId="0" xfId="5" applyNumberFormat="1" applyFont="1" applyFill="1" applyAlignment="1" applyProtection="1">
      <alignment horizontal="left"/>
      <protection locked="0"/>
    </xf>
    <xf numFmtId="2" fontId="19" fillId="0" borderId="0" xfId="5" applyNumberFormat="1" applyFont="1" applyAlignment="1" applyProtection="1">
      <alignment horizontal="center"/>
      <protection locked="0"/>
    </xf>
    <xf numFmtId="2" fontId="20" fillId="0" borderId="0" xfId="5" applyNumberFormat="1" applyFont="1" applyAlignment="1" applyProtection="1">
      <alignment horizontal="left"/>
      <protection locked="0"/>
    </xf>
    <xf numFmtId="1" fontId="19" fillId="0" borderId="0" xfId="5" applyNumberFormat="1" applyFont="1" applyAlignment="1" applyProtection="1">
      <alignment horizontal="center"/>
      <protection locked="0"/>
    </xf>
    <xf numFmtId="172" fontId="9" fillId="0" borderId="0" xfId="5" applyNumberFormat="1" applyFont="1" applyAlignment="1" applyProtection="1">
      <alignment horizontal="left"/>
      <protection locked="0"/>
    </xf>
    <xf numFmtId="173" fontId="9" fillId="0" borderId="0" xfId="5" applyNumberFormat="1" applyFont="1" applyAlignment="1" applyProtection="1">
      <alignment horizontal="left"/>
      <protection locked="0"/>
    </xf>
    <xf numFmtId="2" fontId="9" fillId="4" borderId="21" xfId="5" applyNumberFormat="1" applyFont="1" applyFill="1" applyBorder="1" applyAlignment="1" applyProtection="1">
      <alignment horizontal="right"/>
      <protection locked="0"/>
    </xf>
    <xf numFmtId="2" fontId="4" fillId="0" borderId="22" xfId="5" applyNumberFormat="1" applyFont="1" applyFill="1" applyBorder="1"/>
    <xf numFmtId="1" fontId="17" fillId="0" borderId="22" xfId="5" applyNumberFormat="1" applyFont="1" applyFill="1" applyBorder="1" applyAlignment="1" applyProtection="1">
      <alignment horizontal="right"/>
      <protection locked="0"/>
    </xf>
    <xf numFmtId="165" fontId="6" fillId="0" borderId="22" xfId="7" applyNumberFormat="1" applyFill="1" applyBorder="1"/>
    <xf numFmtId="165" fontId="6" fillId="0" borderId="22" xfId="5" applyNumberFormat="1" applyFont="1" applyFill="1" applyBorder="1"/>
    <xf numFmtId="165" fontId="6" fillId="0" borderId="22" xfId="5" applyNumberFormat="1" applyFont="1" applyBorder="1"/>
    <xf numFmtId="2" fontId="4" fillId="0" borderId="22" xfId="5" applyNumberFormat="1" applyFont="1" applyBorder="1"/>
    <xf numFmtId="165" fontId="4" fillId="0" borderId="22" xfId="5" applyNumberFormat="1" applyFont="1" applyBorder="1"/>
    <xf numFmtId="165" fontId="6" fillId="0" borderId="22" xfId="7" applyNumberFormat="1" applyBorder="1"/>
    <xf numFmtId="165" fontId="6" fillId="0" borderId="22" xfId="7" applyNumberFormat="1" applyFont="1" applyBorder="1"/>
    <xf numFmtId="0" fontId="0" fillId="0" borderId="22" xfId="0" applyBorder="1"/>
    <xf numFmtId="165" fontId="6" fillId="0" borderId="22" xfId="5" applyNumberFormat="1" applyFont="1" applyFill="1" applyBorder="1" applyProtection="1"/>
    <xf numFmtId="165" fontId="6" fillId="0" borderId="22" xfId="5" applyNumberFormat="1" applyFont="1" applyFill="1" applyBorder="1" applyProtection="1">
      <protection locked="0"/>
    </xf>
    <xf numFmtId="165" fontId="0" fillId="0" borderId="22" xfId="0" applyNumberFormat="1" applyBorder="1"/>
    <xf numFmtId="165" fontId="0" fillId="0" borderId="22" xfId="0" applyNumberFormat="1" applyFill="1" applyBorder="1"/>
    <xf numFmtId="165" fontId="0" fillId="3" borderId="22" xfId="0" applyNumberFormat="1" applyFill="1" applyBorder="1"/>
    <xf numFmtId="2" fontId="0" fillId="0" borderId="22" xfId="0" applyNumberFormat="1" applyBorder="1"/>
    <xf numFmtId="164" fontId="6" fillId="9" borderId="22" xfId="8" applyNumberFormat="1" applyFont="1" applyFill="1" applyBorder="1"/>
    <xf numFmtId="165" fontId="0" fillId="9" borderId="22" xfId="0" applyNumberFormat="1" applyFill="1" applyBorder="1"/>
    <xf numFmtId="165" fontId="6" fillId="9" borderId="22" xfId="7" applyNumberFormat="1" applyFill="1" applyBorder="1"/>
    <xf numFmtId="165" fontId="6" fillId="10" borderId="22" xfId="5" applyNumberFormat="1" applyFont="1" applyFill="1" applyBorder="1"/>
    <xf numFmtId="165" fontId="6" fillId="9" borderId="22" xfId="5" applyNumberFormat="1" applyFont="1" applyFill="1" applyBorder="1"/>
    <xf numFmtId="165" fontId="6" fillId="11" borderId="22" xfId="5" applyNumberFormat="1" applyFont="1" applyFill="1" applyBorder="1" applyProtection="1">
      <protection locked="0"/>
    </xf>
    <xf numFmtId="165" fontId="6" fillId="11" borderId="22" xfId="7" applyNumberFormat="1" applyFill="1" applyBorder="1"/>
    <xf numFmtId="165" fontId="6" fillId="11" borderId="22" xfId="5" applyNumberFormat="1" applyFont="1" applyFill="1" applyBorder="1"/>
    <xf numFmtId="166" fontId="0" fillId="9" borderId="22" xfId="0" applyNumberFormat="1" applyFill="1" applyBorder="1"/>
    <xf numFmtId="165" fontId="6" fillId="9" borderId="22" xfId="7" applyNumberFormat="1" applyFont="1" applyFill="1" applyBorder="1"/>
    <xf numFmtId="165" fontId="26" fillId="0" borderId="0" xfId="7" applyNumberFormat="1" applyFont="1" applyAlignment="1" applyProtection="1">
      <alignment horizontal="left" wrapText="1"/>
    </xf>
    <xf numFmtId="165" fontId="6" fillId="9" borderId="22" xfId="5" applyNumberFormat="1" applyFont="1" applyFill="1" applyBorder="1" applyProtection="1">
      <protection locked="0"/>
    </xf>
    <xf numFmtId="165" fontId="0" fillId="12" borderId="22" xfId="0" applyNumberFormat="1" applyFill="1" applyBorder="1"/>
    <xf numFmtId="2" fontId="6" fillId="0" borderId="0" xfId="5" applyNumberFormat="1" applyFont="1" applyFill="1" applyBorder="1" applyAlignment="1">
      <alignment wrapText="1"/>
    </xf>
    <xf numFmtId="2" fontId="6" fillId="0" borderId="22" xfId="5" applyNumberFormat="1" applyFont="1" applyFill="1" applyBorder="1" applyAlignment="1">
      <alignment wrapText="1"/>
    </xf>
    <xf numFmtId="2" fontId="4" fillId="0" borderId="0" xfId="5" applyNumberFormat="1" applyFont="1" applyFill="1" applyBorder="1" applyAlignment="1">
      <alignment wrapText="1"/>
    </xf>
    <xf numFmtId="1" fontId="19" fillId="9" borderId="22" xfId="5" applyNumberFormat="1" applyFont="1" applyFill="1" applyBorder="1"/>
    <xf numFmtId="1" fontId="19" fillId="0" borderId="0" xfId="5" applyNumberFormat="1" applyFont="1" applyFill="1"/>
    <xf numFmtId="0" fontId="9" fillId="0" borderId="0" xfId="0" applyFont="1" applyBorder="1" applyAlignment="1">
      <alignment horizontal="right"/>
    </xf>
    <xf numFmtId="2" fontId="9" fillId="4" borderId="23" xfId="5" applyNumberFormat="1" applyFont="1" applyFill="1" applyBorder="1" applyAlignment="1">
      <alignment horizontal="left"/>
    </xf>
    <xf numFmtId="1" fontId="30" fillId="3" borderId="24" xfId="5" applyNumberFormat="1" applyFont="1" applyFill="1" applyBorder="1" applyAlignment="1" applyProtection="1">
      <alignment horizontal="center" wrapText="1"/>
      <protection locked="0"/>
    </xf>
    <xf numFmtId="1" fontId="22" fillId="3" borderId="23" xfId="5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Fill="1" applyAlignment="1"/>
    <xf numFmtId="167" fontId="0" fillId="0" borderId="0" xfId="0" applyNumberFormat="1" applyFill="1" applyAlignment="1"/>
    <xf numFmtId="164" fontId="6" fillId="6" borderId="0" xfId="8" applyNumberFormat="1" applyFont="1" applyFill="1"/>
    <xf numFmtId="2" fontId="6" fillId="13" borderId="22" xfId="8" applyNumberFormat="1" applyFont="1" applyFill="1" applyBorder="1"/>
    <xf numFmtId="165" fontId="0" fillId="10" borderId="0" xfId="0" applyNumberFormat="1" applyFill="1"/>
    <xf numFmtId="165" fontId="6" fillId="10" borderId="0" xfId="7" applyNumberFormat="1" applyFill="1"/>
    <xf numFmtId="165" fontId="6" fillId="14" borderId="0" xfId="7" applyNumberFormat="1" applyFont="1" applyFill="1"/>
    <xf numFmtId="165" fontId="6" fillId="10" borderId="0" xfId="5" applyNumberFormat="1" applyFont="1" applyFill="1"/>
    <xf numFmtId="165" fontId="6" fillId="11" borderId="0" xfId="5" applyNumberFormat="1" applyFont="1" applyFill="1"/>
    <xf numFmtId="165" fontId="6" fillId="11" borderId="0" xfId="5" applyNumberFormat="1" applyFont="1" applyFill="1" applyBorder="1" applyProtection="1">
      <protection locked="0"/>
    </xf>
    <xf numFmtId="2" fontId="6" fillId="6" borderId="25" xfId="8" applyNumberFormat="1" applyFont="1" applyFill="1" applyBorder="1"/>
    <xf numFmtId="0" fontId="0" fillId="0" borderId="21" xfId="0" applyBorder="1"/>
    <xf numFmtId="165" fontId="6" fillId="11" borderId="0" xfId="7" applyNumberFormat="1" applyFill="1" applyBorder="1"/>
    <xf numFmtId="165" fontId="6" fillId="11" borderId="0" xfId="0" applyNumberFormat="1" applyFont="1" applyFill="1"/>
    <xf numFmtId="165" fontId="6" fillId="11" borderId="0" xfId="7" applyNumberFormat="1" applyFill="1"/>
    <xf numFmtId="165" fontId="6" fillId="11" borderId="0" xfId="5" applyNumberFormat="1" applyFont="1" applyFill="1" applyBorder="1"/>
    <xf numFmtId="166" fontId="0" fillId="11" borderId="0" xfId="0" applyNumberFormat="1" applyFill="1"/>
    <xf numFmtId="164" fontId="6" fillId="8" borderId="22" xfId="8" applyNumberFormat="1" applyFont="1" applyFill="1" applyBorder="1"/>
    <xf numFmtId="2" fontId="6" fillId="8" borderId="22" xfId="8" applyNumberFormat="1" applyFont="1" applyFill="1" applyBorder="1"/>
    <xf numFmtId="2" fontId="6" fillId="8" borderId="0" xfId="8" applyNumberFormat="1" applyFont="1" applyFill="1"/>
    <xf numFmtId="165" fontId="6" fillId="8" borderId="22" xfId="5" applyNumberFormat="1" applyFont="1" applyFill="1" applyBorder="1"/>
    <xf numFmtId="165" fontId="6" fillId="8" borderId="0" xfId="5" applyNumberFormat="1" applyFont="1" applyFill="1"/>
    <xf numFmtId="165" fontId="6" fillId="8" borderId="22" xfId="5" applyNumberFormat="1" applyFont="1" applyFill="1" applyBorder="1" applyAlignment="1" applyProtection="1">
      <protection locked="0"/>
    </xf>
    <xf numFmtId="165" fontId="6" fillId="8" borderId="0" xfId="0" applyNumberFormat="1" applyFont="1" applyFill="1"/>
    <xf numFmtId="0" fontId="0" fillId="8" borderId="22" xfId="0" applyFill="1" applyBorder="1"/>
    <xf numFmtId="0" fontId="0" fillId="8" borderId="0" xfId="0" applyFill="1"/>
    <xf numFmtId="165" fontId="6" fillId="8" borderId="0" xfId="7" applyNumberFormat="1" applyFill="1"/>
    <xf numFmtId="165" fontId="0" fillId="8" borderId="0" xfId="0" applyNumberFormat="1" applyFill="1"/>
    <xf numFmtId="165" fontId="6" fillId="8" borderId="0" xfId="5" applyNumberFormat="1" applyFont="1" applyFill="1" applyProtection="1">
      <protection locked="0"/>
    </xf>
    <xf numFmtId="2" fontId="9" fillId="8" borderId="23" xfId="5" applyNumberFormat="1" applyFont="1" applyFill="1" applyBorder="1" applyAlignment="1">
      <alignment horizontal="left"/>
    </xf>
    <xf numFmtId="1" fontId="29" fillId="8" borderId="0" xfId="5" applyNumberFormat="1" applyFont="1" applyFill="1" applyAlignment="1" applyProtection="1">
      <alignment horizontal="right"/>
      <protection locked="0"/>
    </xf>
    <xf numFmtId="2" fontId="9" fillId="8" borderId="21" xfId="5" applyNumberFormat="1" applyFont="1" applyFill="1" applyBorder="1" applyAlignment="1" applyProtection="1">
      <alignment horizontal="right"/>
      <protection locked="0"/>
    </xf>
    <xf numFmtId="14" fontId="38" fillId="8" borderId="0" xfId="5" applyNumberFormat="1" applyFont="1" applyFill="1" applyAlignment="1">
      <alignment horizontal="left"/>
    </xf>
    <xf numFmtId="2" fontId="9" fillId="8" borderId="0" xfId="5" applyNumberFormat="1" applyFont="1" applyFill="1" applyAlignment="1" applyProtection="1">
      <alignment horizontal="left"/>
      <protection locked="0"/>
    </xf>
    <xf numFmtId="165" fontId="0" fillId="0" borderId="0" xfId="0" applyNumberFormat="1" applyFill="1" applyBorder="1"/>
    <xf numFmtId="165" fontId="0" fillId="12" borderId="0" xfId="0" applyNumberFormat="1" applyFill="1" applyBorder="1"/>
    <xf numFmtId="165" fontId="0" fillId="15" borderId="0" xfId="0" applyNumberFormat="1" applyFill="1"/>
    <xf numFmtId="165" fontId="0" fillId="8" borderId="22" xfId="0" applyNumberFormat="1" applyFill="1" applyBorder="1"/>
    <xf numFmtId="165" fontId="6" fillId="16" borderId="0" xfId="7" applyNumberFormat="1" applyFont="1" applyFill="1" applyAlignment="1" applyProtection="1">
      <alignment horizontal="left"/>
    </xf>
    <xf numFmtId="165" fontId="0" fillId="8" borderId="0" xfId="0" applyNumberFormat="1" applyFill="1" applyBorder="1"/>
    <xf numFmtId="2" fontId="0" fillId="8" borderId="22" xfId="0" applyNumberFormat="1" applyFill="1" applyBorder="1"/>
    <xf numFmtId="2" fontId="0" fillId="0" borderId="0" xfId="0" applyNumberFormat="1" applyBorder="1"/>
    <xf numFmtId="165" fontId="0" fillId="15" borderId="22" xfId="0" applyNumberFormat="1" applyFill="1" applyBorder="1"/>
    <xf numFmtId="165" fontId="0" fillId="17" borderId="22" xfId="0" applyNumberFormat="1" applyFill="1" applyBorder="1"/>
    <xf numFmtId="2" fontId="6" fillId="6" borderId="0" xfId="8" applyNumberFormat="1" applyFont="1" applyFill="1" applyBorder="1"/>
    <xf numFmtId="2" fontId="6" fillId="18" borderId="0" xfId="5" applyNumberFormat="1" applyFont="1" applyFill="1" applyBorder="1"/>
    <xf numFmtId="2" fontId="6" fillId="18" borderId="22" xfId="5" applyNumberFormat="1" applyFont="1" applyFill="1" applyBorder="1"/>
    <xf numFmtId="1" fontId="6" fillId="0" borderId="18" xfId="5" applyNumberFormat="1" applyFont="1" applyBorder="1" applyAlignment="1" applyProtection="1">
      <alignment horizontal="center"/>
      <protection locked="0"/>
    </xf>
    <xf numFmtId="1" fontId="6" fillId="0" borderId="12" xfId="5" applyNumberFormat="1" applyFont="1" applyBorder="1" applyAlignment="1" applyProtection="1">
      <alignment horizontal="center"/>
      <protection locked="0"/>
    </xf>
    <xf numFmtId="1" fontId="6" fillId="0" borderId="15" xfId="5" applyNumberFormat="1" applyFont="1" applyBorder="1" applyProtection="1">
      <protection locked="0"/>
    </xf>
    <xf numFmtId="166" fontId="6" fillId="0" borderId="26" xfId="5" applyNumberFormat="1" applyFont="1" applyBorder="1" applyAlignment="1" applyProtection="1">
      <alignment horizontal="center"/>
      <protection locked="0"/>
    </xf>
    <xf numFmtId="166" fontId="6" fillId="0" borderId="16" xfId="5" applyNumberFormat="1" applyFont="1" applyBorder="1" applyAlignment="1" applyProtection="1">
      <alignment horizontal="center"/>
      <protection locked="0"/>
    </xf>
    <xf numFmtId="1" fontId="41" fillId="0" borderId="25" xfId="5" applyNumberFormat="1" applyFont="1" applyBorder="1" applyAlignment="1" applyProtection="1">
      <alignment horizontal="center"/>
      <protection locked="0"/>
    </xf>
    <xf numFmtId="1" fontId="14" fillId="0" borderId="25" xfId="5" applyNumberFormat="1" applyFont="1" applyBorder="1" applyAlignment="1" applyProtection="1">
      <alignment horizontal="center"/>
      <protection locked="0"/>
    </xf>
    <xf numFmtId="2" fontId="14" fillId="0" borderId="24" xfId="5" applyNumberFormat="1" applyFont="1" applyBorder="1" applyAlignment="1" applyProtection="1">
      <alignment horizontal="center"/>
      <protection locked="0"/>
    </xf>
    <xf numFmtId="2" fontId="14" fillId="0" borderId="24" xfId="5" applyNumberFormat="1" applyFont="1" applyBorder="1" applyAlignment="1" applyProtection="1">
      <alignment horizontal="center" wrapText="1"/>
      <protection locked="0"/>
    </xf>
    <xf numFmtId="1" fontId="9" fillId="0" borderId="0" xfId="0" applyNumberFormat="1" applyFont="1"/>
    <xf numFmtId="0" fontId="9" fillId="3" borderId="0" xfId="0" applyFont="1" applyFill="1" applyAlignment="1">
      <alignment wrapText="1"/>
    </xf>
    <xf numFmtId="165" fontId="14" fillId="9" borderId="0" xfId="7" applyNumberFormat="1" applyFont="1" applyFill="1"/>
    <xf numFmtId="166" fontId="6" fillId="0" borderId="0" xfId="8" applyNumberFormat="1" applyFont="1"/>
    <xf numFmtId="165" fontId="14" fillId="10" borderId="0" xfId="7" applyNumberFormat="1" applyFont="1" applyFill="1"/>
    <xf numFmtId="166" fontId="6" fillId="10" borderId="0" xfId="8" applyNumberFormat="1" applyFont="1" applyFill="1"/>
    <xf numFmtId="0" fontId="1" fillId="10" borderId="0" xfId="0" applyFont="1" applyFill="1"/>
    <xf numFmtId="166" fontId="14" fillId="5" borderId="0" xfId="7" applyNumberFormat="1" applyFont="1" applyFill="1"/>
    <xf numFmtId="165" fontId="14" fillId="5" borderId="0" xfId="7" applyNumberFormat="1" applyFont="1" applyFill="1"/>
    <xf numFmtId="2" fontId="6" fillId="0" borderId="0" xfId="8" applyNumberFormat="1" applyFont="1"/>
    <xf numFmtId="0" fontId="9" fillId="0" borderId="0" xfId="0" applyFont="1" applyAlignment="1">
      <alignment horizontal="center" wrapText="1"/>
    </xf>
    <xf numFmtId="2" fontId="9" fillId="0" borderId="0" xfId="0" applyNumberFormat="1" applyFont="1" applyAlignment="1">
      <alignment horizontal="center"/>
    </xf>
    <xf numFmtId="1" fontId="9" fillId="0" borderId="27" xfId="0" applyNumberFormat="1" applyFont="1" applyBorder="1"/>
    <xf numFmtId="0" fontId="0" fillId="0" borderId="27" xfId="0" applyBorder="1"/>
    <xf numFmtId="0" fontId="43" fillId="0" borderId="0" xfId="0" applyFont="1" applyAlignment="1">
      <alignment horizontal="center"/>
    </xf>
    <xf numFmtId="2" fontId="43" fillId="0" borderId="0" xfId="0" applyNumberFormat="1" applyFont="1" applyAlignment="1">
      <alignment horizontal="center"/>
    </xf>
    <xf numFmtId="10" fontId="10" fillId="0" borderId="27" xfId="0" applyNumberFormat="1" applyFont="1" applyBorder="1"/>
    <xf numFmtId="10" fontId="10" fillId="0" borderId="0" xfId="0" applyNumberFormat="1" applyFont="1" applyBorder="1"/>
    <xf numFmtId="0" fontId="43" fillId="0" borderId="0" xfId="0" applyFont="1"/>
    <xf numFmtId="2" fontId="0" fillId="0" borderId="0" xfId="0" applyNumberFormat="1" applyAlignment="1">
      <alignment horizontal="center"/>
    </xf>
    <xf numFmtId="2" fontId="0" fillId="0" borderId="27" xfId="0" applyNumberFormat="1" applyBorder="1"/>
    <xf numFmtId="166" fontId="6" fillId="0" borderId="21" xfId="5" applyNumberFormat="1" applyFont="1" applyBorder="1" applyProtection="1">
      <protection locked="0"/>
    </xf>
    <xf numFmtId="166" fontId="6" fillId="0" borderId="22" xfId="5" applyNumberFormat="1" applyFont="1" applyBorder="1" applyProtection="1">
      <protection locked="0"/>
    </xf>
    <xf numFmtId="166" fontId="6" fillId="0" borderId="21" xfId="8" applyNumberFormat="1" applyFont="1" applyFill="1" applyBorder="1" applyAlignment="1" applyProtection="1">
      <alignment horizontal="center"/>
      <protection locked="0"/>
    </xf>
    <xf numFmtId="166" fontId="6" fillId="0" borderId="22" xfId="8" applyNumberFormat="1" applyFont="1" applyFill="1" applyBorder="1" applyAlignment="1" applyProtection="1">
      <alignment horizontal="center"/>
      <protection locked="0"/>
    </xf>
    <xf numFmtId="166" fontId="6" fillId="0" borderId="22" xfId="5" applyNumberFormat="1" applyFont="1" applyBorder="1" applyAlignment="1" applyProtection="1">
      <alignment horizontal="center"/>
      <protection locked="0"/>
    </xf>
    <xf numFmtId="166" fontId="6" fillId="0" borderId="22" xfId="5" applyNumberFormat="1" applyFont="1" applyBorder="1" applyAlignment="1" applyProtection="1">
      <alignment horizontal="centerContinuous"/>
      <protection locked="0"/>
    </xf>
    <xf numFmtId="168" fontId="6" fillId="0" borderId="22" xfId="3" applyNumberFormat="1" applyFont="1" applyFill="1" applyBorder="1" applyAlignment="1" applyProtection="1">
      <alignment horizontal="center"/>
      <protection locked="0"/>
    </xf>
    <xf numFmtId="166" fontId="6" fillId="0" borderId="22" xfId="5" applyNumberFormat="1" applyFont="1" applyFill="1" applyBorder="1" applyAlignment="1" applyProtection="1">
      <alignment horizontal="center"/>
      <protection locked="0"/>
    </xf>
    <xf numFmtId="166" fontId="6" fillId="4" borderId="22" xfId="5" applyNumberFormat="1" applyFont="1" applyFill="1" applyBorder="1" applyAlignment="1" applyProtection="1">
      <alignment horizontal="center"/>
      <protection locked="0"/>
    </xf>
    <xf numFmtId="166" fontId="6" fillId="0" borderId="28" xfId="5" applyNumberFormat="1" applyFont="1" applyBorder="1" applyAlignment="1" applyProtection="1">
      <alignment horizontal="centerContinuous"/>
      <protection locked="0"/>
    </xf>
    <xf numFmtId="166" fontId="14" fillId="14" borderId="23" xfId="5" applyNumberFormat="1" applyFont="1" applyFill="1" applyBorder="1" applyAlignment="1" applyProtection="1">
      <alignment horizontal="center"/>
      <protection locked="0"/>
    </xf>
    <xf numFmtId="164" fontId="6" fillId="0" borderId="0" xfId="7" applyNumberFormat="1"/>
    <xf numFmtId="1" fontId="6" fillId="0" borderId="0" xfId="0" applyNumberFormat="1" applyFont="1"/>
    <xf numFmtId="1" fontId="44" fillId="0" borderId="0" xfId="0" applyNumberFormat="1" applyFont="1" applyAlignment="1">
      <alignment horizontal="center"/>
    </xf>
    <xf numFmtId="0" fontId="4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fill"/>
    </xf>
    <xf numFmtId="0" fontId="14" fillId="0" borderId="0" xfId="0" applyFont="1"/>
    <xf numFmtId="0" fontId="46" fillId="0" borderId="0" xfId="0" quotePrefix="1" applyFont="1" applyAlignment="1" applyProtection="1">
      <alignment horizontal="right"/>
    </xf>
    <xf numFmtId="0" fontId="0" fillId="8" borderId="0" xfId="0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6" fillId="0" borderId="0" xfId="0" applyFont="1" applyAlignment="1">
      <alignment horizontal="right"/>
    </xf>
    <xf numFmtId="1" fontId="0" fillId="8" borderId="0" xfId="0" applyNumberFormat="1" applyFill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right"/>
    </xf>
    <xf numFmtId="10" fontId="0" fillId="8" borderId="0" xfId="0" applyNumberFormat="1" applyFill="1" applyProtection="1">
      <protection locked="0"/>
    </xf>
    <xf numFmtId="10" fontId="0" fillId="0" borderId="0" xfId="0" applyNumberFormat="1" applyFill="1" applyProtection="1">
      <protection locked="0"/>
    </xf>
    <xf numFmtId="164" fontId="0" fillId="8" borderId="0" xfId="0" applyNumberFormat="1" applyFill="1" applyProtection="1">
      <protection locked="0"/>
    </xf>
    <xf numFmtId="0" fontId="0" fillId="0" borderId="0" xfId="0" quotePrefix="1" applyAlignment="1" applyProtection="1">
      <alignment horizontal="left"/>
    </xf>
    <xf numFmtId="0" fontId="0" fillId="0" borderId="0" xfId="0" quotePrefix="1" applyAlignment="1" applyProtection="1">
      <alignment horizontal="right"/>
    </xf>
    <xf numFmtId="183" fontId="0" fillId="9" borderId="0" xfId="0" applyNumberFormat="1" applyFill="1" applyProtection="1">
      <protection locked="0"/>
    </xf>
    <xf numFmtId="10" fontId="6" fillId="8" borderId="0" xfId="8" applyNumberFormat="1" applyFont="1" applyFill="1" applyProtection="1">
      <protection locked="0"/>
    </xf>
    <xf numFmtId="10" fontId="6" fillId="0" borderId="0" xfId="8" applyNumberFormat="1" applyFont="1" applyFill="1" applyProtection="1">
      <protection locked="0"/>
    </xf>
    <xf numFmtId="0" fontId="30" fillId="0" borderId="0" xfId="0" quotePrefix="1" applyFont="1" applyAlignment="1" applyProtection="1">
      <alignment horizontal="right"/>
    </xf>
    <xf numFmtId="183" fontId="0" fillId="8" borderId="0" xfId="0" applyNumberFormat="1" applyFill="1" applyProtection="1">
      <protection locked="0"/>
    </xf>
    <xf numFmtId="10" fontId="18" fillId="0" borderId="0" xfId="0" applyNumberFormat="1" applyFont="1" applyFill="1" applyProtection="1">
      <protection locked="0"/>
    </xf>
    <xf numFmtId="1" fontId="0" fillId="0" borderId="0" xfId="0" applyNumberFormat="1" applyAlignment="1" applyProtection="1">
      <alignment horizontal="left"/>
    </xf>
    <xf numFmtId="2" fontId="0" fillId="0" borderId="0" xfId="0" applyNumberFormat="1" applyAlignment="1" applyProtection="1">
      <alignment horizontal="left"/>
    </xf>
    <xf numFmtId="2" fontId="0" fillId="0" borderId="0" xfId="0" applyNumberFormat="1" applyAlignment="1" applyProtection="1">
      <alignment horizontal="right"/>
    </xf>
    <xf numFmtId="0" fontId="47" fillId="0" borderId="0" xfId="0" quotePrefix="1" applyFont="1" applyAlignment="1">
      <alignment horizontal="left"/>
    </xf>
    <xf numFmtId="164" fontId="6" fillId="8" borderId="0" xfId="8" applyNumberFormat="1" applyFont="1" applyFill="1" applyProtection="1">
      <protection locked="0"/>
    </xf>
    <xf numFmtId="0" fontId="47" fillId="0" borderId="0" xfId="0" applyFont="1" applyAlignment="1" applyProtection="1">
      <alignment horizontal="left"/>
    </xf>
    <xf numFmtId="164" fontId="6" fillId="0" borderId="0" xfId="8" applyNumberFormat="1" applyFont="1" applyAlignment="1" applyProtection="1">
      <alignment horizontal="left"/>
    </xf>
    <xf numFmtId="10" fontId="6" fillId="16" borderId="0" xfId="8" applyNumberFormat="1" applyFont="1" applyFill="1" applyAlignment="1" applyProtection="1">
      <alignment horizontal="right"/>
    </xf>
    <xf numFmtId="164" fontId="6" fillId="16" borderId="0" xfId="8" applyNumberFormat="1" applyFont="1" applyFill="1" applyAlignment="1" applyProtection="1">
      <alignment horizontal="right"/>
    </xf>
    <xf numFmtId="165" fontId="0" fillId="0" borderId="0" xfId="0" applyNumberFormat="1" applyAlignment="1" applyProtection="1">
      <alignment horizontal="left"/>
    </xf>
    <xf numFmtId="165" fontId="0" fillId="16" borderId="0" xfId="0" applyNumberFormat="1" applyFill="1" applyAlignment="1" applyProtection="1">
      <alignment horizontal="right"/>
    </xf>
    <xf numFmtId="165" fontId="0" fillId="0" borderId="0" xfId="0" quotePrefix="1" applyNumberFormat="1" applyAlignment="1" applyProtection="1">
      <alignment horizontal="left"/>
    </xf>
    <xf numFmtId="0" fontId="0" fillId="16" borderId="0" xfId="0" applyFill="1" applyProtection="1">
      <protection locked="0"/>
    </xf>
    <xf numFmtId="165" fontId="0" fillId="0" borderId="0" xfId="0" applyNumberFormat="1" applyAlignment="1" applyProtection="1">
      <alignment horizontal="right"/>
    </xf>
    <xf numFmtId="184" fontId="0" fillId="8" borderId="0" xfId="0" applyNumberFormat="1" applyFill="1" applyProtection="1">
      <protection locked="0"/>
    </xf>
    <xf numFmtId="0" fontId="0" fillId="19" borderId="0" xfId="0" applyFill="1"/>
    <xf numFmtId="184" fontId="0" fillId="0" borderId="0" xfId="0" applyNumberFormat="1" applyAlignment="1" applyProtection="1">
      <alignment horizontal="left"/>
    </xf>
    <xf numFmtId="184" fontId="0" fillId="0" borderId="0" xfId="0" applyNumberFormat="1"/>
    <xf numFmtId="164" fontId="6" fillId="0" borderId="0" xfId="8" applyNumberFormat="1" applyFont="1" applyAlignment="1" applyProtection="1">
      <alignment horizontal="right"/>
    </xf>
    <xf numFmtId="0" fontId="48" fillId="0" borderId="0" xfId="0" applyFont="1" applyAlignment="1" applyProtection="1">
      <alignment horizontal="left"/>
    </xf>
    <xf numFmtId="183" fontId="0" fillId="0" borderId="0" xfId="0" applyNumberFormat="1"/>
    <xf numFmtId="164" fontId="6" fillId="0" borderId="0" xfId="8" applyNumberFormat="1" applyFont="1" applyFill="1" applyProtection="1">
      <protection locked="0"/>
    </xf>
    <xf numFmtId="164" fontId="6" fillId="0" borderId="0" xfId="8" quotePrefix="1" applyNumberFormat="1" applyFont="1" applyAlignment="1" applyProtection="1">
      <alignment horizontal="left"/>
    </xf>
    <xf numFmtId="164" fontId="6" fillId="0" borderId="0" xfId="8" quotePrefix="1" applyNumberFormat="1" applyFont="1" applyAlignment="1" applyProtection="1">
      <alignment horizontal="right"/>
    </xf>
    <xf numFmtId="2" fontId="0" fillId="0" borderId="0" xfId="0" quotePrefix="1" applyNumberFormat="1" applyAlignment="1" applyProtection="1">
      <alignment horizontal="left"/>
    </xf>
    <xf numFmtId="0" fontId="0" fillId="0" borderId="0" xfId="0" quotePrefix="1" applyAlignment="1">
      <alignment horizontal="left"/>
    </xf>
    <xf numFmtId="164" fontId="0" fillId="0" borderId="0" xfId="0" applyNumberFormat="1" applyAlignment="1">
      <alignment horizontal="right"/>
    </xf>
    <xf numFmtId="164" fontId="6" fillId="19" borderId="0" xfId="8" applyNumberFormat="1" applyFont="1" applyFill="1"/>
    <xf numFmtId="0" fontId="49" fillId="0" borderId="0" xfId="0" applyFont="1" applyAlignment="1" applyProtection="1">
      <alignment horizontal="left"/>
    </xf>
    <xf numFmtId="164" fontId="6" fillId="19" borderId="0" xfId="8" applyNumberFormat="1" applyFont="1" applyFill="1" applyProtection="1">
      <protection locked="0"/>
    </xf>
    <xf numFmtId="0" fontId="0" fillId="16" borderId="0" xfId="0" applyFill="1" applyAlignment="1" applyProtection="1">
      <alignment horizontal="right"/>
    </xf>
    <xf numFmtId="183" fontId="0" fillId="0" borderId="0" xfId="0" applyNumberFormat="1" applyProtection="1"/>
    <xf numFmtId="0" fontId="0" fillId="0" borderId="0" xfId="0" applyProtection="1"/>
    <xf numFmtId="165" fontId="14" fillId="0" borderId="0" xfId="7" applyNumberFormat="1" applyFont="1" applyFill="1" applyAlignment="1">
      <alignment horizontal="center"/>
    </xf>
    <xf numFmtId="165" fontId="14" fillId="9" borderId="0" xfId="7" applyNumberFormat="1" applyFont="1" applyFill="1" applyAlignment="1">
      <alignment horizontal="center"/>
    </xf>
    <xf numFmtId="166" fontId="6" fillId="0" borderId="18" xfId="5" applyNumberFormat="1" applyFont="1" applyBorder="1" applyAlignment="1" applyProtection="1">
      <alignment horizontal="center"/>
      <protection locked="0"/>
    </xf>
    <xf numFmtId="10" fontId="0" fillId="6" borderId="0" xfId="0" applyNumberFormat="1" applyFill="1" applyProtection="1">
      <protection locked="0"/>
    </xf>
    <xf numFmtId="183" fontId="0" fillId="6" borderId="0" xfId="0" applyNumberFormat="1" applyFill="1" applyProtection="1">
      <protection locked="0"/>
    </xf>
    <xf numFmtId="164" fontId="0" fillId="6" borderId="0" xfId="0" applyNumberFormat="1" applyFill="1" applyProtection="1">
      <protection locked="0"/>
    </xf>
    <xf numFmtId="164" fontId="0" fillId="0" borderId="0" xfId="0" applyNumberFormat="1" applyProtection="1">
      <protection locked="0"/>
    </xf>
    <xf numFmtId="2" fontId="14" fillId="18" borderId="22" xfId="5" applyNumberFormat="1" applyFont="1" applyFill="1" applyBorder="1"/>
    <xf numFmtId="2" fontId="14" fillId="18" borderId="0" xfId="5" applyNumberFormat="1" applyFont="1" applyFill="1" applyBorder="1"/>
    <xf numFmtId="165" fontId="0" fillId="6" borderId="0" xfId="0" applyNumberFormat="1" applyFill="1" applyProtection="1">
      <protection locked="0"/>
    </xf>
    <xf numFmtId="0" fontId="9" fillId="0" borderId="0" xfId="0" applyFont="1" applyProtection="1">
      <protection locked="0"/>
    </xf>
    <xf numFmtId="164" fontId="6" fillId="0" borderId="0" xfId="8" applyNumberFormat="1" applyFont="1" applyAlignment="1">
      <alignment horizontal="right"/>
    </xf>
    <xf numFmtId="164" fontId="6" fillId="8" borderId="0" xfId="8" applyNumberFormat="1" applyFont="1" applyFill="1" applyBorder="1" applyProtection="1">
      <protection locked="0"/>
    </xf>
    <xf numFmtId="183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164" fontId="6" fillId="0" borderId="0" xfId="8" applyNumberFormat="1" applyFont="1" applyFill="1" applyAlignment="1" applyProtection="1">
      <alignment horizontal="right"/>
    </xf>
    <xf numFmtId="2" fontId="6" fillId="16" borderId="0" xfId="5" applyNumberFormat="1" applyFont="1" applyFill="1" applyAlignment="1">
      <alignment horizontal="left"/>
    </xf>
    <xf numFmtId="165" fontId="6" fillId="0" borderId="0" xfId="7" applyNumberFormat="1" applyFont="1" applyAlignment="1"/>
    <xf numFmtId="183" fontId="0" fillId="11" borderId="0" xfId="0" applyNumberFormat="1" applyFill="1" applyProtection="1">
      <protection locked="0"/>
    </xf>
    <xf numFmtId="169" fontId="6" fillId="0" borderId="0" xfId="5" applyNumberFormat="1" applyFont="1" applyAlignment="1" applyProtection="1">
      <alignment horizontal="center"/>
      <protection locked="0"/>
    </xf>
    <xf numFmtId="1" fontId="0" fillId="6" borderId="0" xfId="0" applyNumberFormat="1" applyFill="1" applyProtection="1">
      <protection locked="0"/>
    </xf>
    <xf numFmtId="184" fontId="0" fillId="11" borderId="0" xfId="0" applyNumberFormat="1" applyFill="1" applyProtection="1">
      <protection locked="0"/>
    </xf>
    <xf numFmtId="0" fontId="50" fillId="0" borderId="0" xfId="0" applyFont="1"/>
    <xf numFmtId="0" fontId="6" fillId="0" borderId="0" xfId="0" applyFont="1" applyAlignment="1">
      <alignment horizontal="right"/>
    </xf>
    <xf numFmtId="0" fontId="50" fillId="0" borderId="0" xfId="0" applyFont="1" applyAlignment="1">
      <alignment horizontal="left"/>
    </xf>
    <xf numFmtId="0" fontId="50" fillId="0" borderId="0" xfId="0" applyFont="1" applyAlignment="1">
      <alignment horizontal="centerContinuous"/>
    </xf>
    <xf numFmtId="185" fontId="6" fillId="0" borderId="0" xfId="0" applyNumberFormat="1" applyFont="1" applyAlignment="1" applyProtection="1">
      <alignment horizontal="left"/>
    </xf>
    <xf numFmtId="185" fontId="6" fillId="20" borderId="0" xfId="0" applyNumberFormat="1" applyFont="1" applyFill="1" applyAlignment="1" applyProtection="1">
      <alignment horizontal="left"/>
    </xf>
    <xf numFmtId="0" fontId="6" fillId="7" borderId="0" xfId="0" applyFont="1" applyFill="1" applyAlignment="1" applyProtection="1">
      <alignment horizontal="left"/>
    </xf>
    <xf numFmtId="1" fontId="6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left"/>
    </xf>
    <xf numFmtId="185" fontId="6" fillId="7" borderId="0" xfId="0" applyNumberFormat="1" applyFont="1" applyFill="1" applyAlignment="1" applyProtection="1">
      <alignment horizontal="left"/>
    </xf>
    <xf numFmtId="0" fontId="6" fillId="7" borderId="0" xfId="0" quotePrefix="1" applyFont="1" applyFill="1" applyAlignment="1">
      <alignment horizontal="left"/>
    </xf>
    <xf numFmtId="0" fontId="6" fillId="7" borderId="0" xfId="0" applyFont="1" applyFill="1"/>
    <xf numFmtId="0" fontId="51" fillId="0" borderId="0" xfId="0" quotePrefix="1" applyFont="1" applyAlignment="1">
      <alignment horizontal="left"/>
    </xf>
    <xf numFmtId="185" fontId="51" fillId="0" borderId="0" xfId="0" applyNumberFormat="1" applyFont="1" applyAlignment="1" applyProtection="1">
      <alignment horizontal="centerContinuous"/>
    </xf>
    <xf numFmtId="165" fontId="6" fillId="0" borderId="0" xfId="0" applyNumberFormat="1" applyFont="1" applyAlignment="1" applyProtection="1">
      <alignment horizontal="left"/>
    </xf>
    <xf numFmtId="0" fontId="10" fillId="0" borderId="0" xfId="0" applyFont="1"/>
    <xf numFmtId="185" fontId="44" fillId="7" borderId="0" xfId="0" applyNumberFormat="1" applyFont="1" applyFill="1" applyAlignment="1" applyProtection="1">
      <alignment horizontal="left"/>
    </xf>
    <xf numFmtId="185" fontId="49" fillId="0" borderId="0" xfId="0" applyNumberFormat="1" applyFont="1" applyFill="1" applyAlignment="1" applyProtection="1">
      <alignment horizontal="left"/>
    </xf>
    <xf numFmtId="185" fontId="0" fillId="0" borderId="0" xfId="0" applyNumberFormat="1" applyAlignment="1" applyProtection="1">
      <alignment horizontal="left"/>
    </xf>
    <xf numFmtId="185" fontId="0" fillId="7" borderId="0" xfId="0" applyNumberFormat="1" applyFill="1" applyAlignment="1" applyProtection="1">
      <alignment horizontal="left"/>
    </xf>
    <xf numFmtId="0" fontId="0" fillId="4" borderId="0" xfId="0" applyFill="1"/>
    <xf numFmtId="0" fontId="0" fillId="21" borderId="0" xfId="0" applyFill="1"/>
    <xf numFmtId="185" fontId="0" fillId="4" borderId="0" xfId="0" applyNumberFormat="1" applyFill="1" applyAlignment="1" applyProtection="1">
      <alignment horizontal="left"/>
    </xf>
    <xf numFmtId="0" fontId="6" fillId="21" borderId="0" xfId="0" applyFont="1" applyFill="1" applyAlignment="1" applyProtection="1">
      <alignment horizontal="left"/>
    </xf>
    <xf numFmtId="165" fontId="0" fillId="21" borderId="0" xfId="0" applyNumberFormat="1" applyFill="1" applyAlignment="1" applyProtection="1">
      <alignment horizontal="left"/>
    </xf>
    <xf numFmtId="2" fontId="6" fillId="0" borderId="0" xfId="0" applyNumberFormat="1" applyFont="1" applyAlignment="1" applyProtection="1"/>
    <xf numFmtId="185" fontId="52" fillId="22" borderId="0" xfId="0" applyNumberFormat="1" applyFont="1" applyFill="1" applyAlignment="1" applyProtection="1">
      <alignment horizontal="left"/>
    </xf>
    <xf numFmtId="185" fontId="6" fillId="4" borderId="0" xfId="0" applyNumberFormat="1" applyFont="1" applyFill="1" applyAlignment="1" applyProtection="1">
      <alignment horizontal="left"/>
    </xf>
    <xf numFmtId="185" fontId="51" fillId="0" borderId="0" xfId="0" applyNumberFormat="1" applyFont="1" applyAlignment="1" applyProtection="1">
      <alignment horizontal="left"/>
    </xf>
    <xf numFmtId="0" fontId="6" fillId="23" borderId="0" xfId="0" applyFont="1" applyFill="1" applyAlignment="1" applyProtection="1">
      <alignment horizontal="left"/>
    </xf>
    <xf numFmtId="185" fontId="49" fillId="0" borderId="0" xfId="0" applyNumberFormat="1" applyFont="1" applyAlignment="1" applyProtection="1">
      <alignment horizontal="left"/>
    </xf>
    <xf numFmtId="2" fontId="6" fillId="0" borderId="0" xfId="0" applyNumberFormat="1" applyFont="1"/>
    <xf numFmtId="165" fontId="6" fillId="4" borderId="0" xfId="0" applyNumberFormat="1" applyFont="1" applyFill="1" applyAlignment="1" applyProtection="1">
      <alignment horizontal="left"/>
    </xf>
    <xf numFmtId="185" fontId="44" fillId="0" borderId="0" xfId="0" applyNumberFormat="1" applyFont="1" applyAlignment="1" applyProtection="1">
      <alignment horizontal="left"/>
    </xf>
    <xf numFmtId="0" fontId="6" fillId="0" borderId="0" xfId="0" applyFont="1" applyBorder="1" applyAlignment="1" applyProtection="1">
      <alignment horizontal="left"/>
    </xf>
    <xf numFmtId="0" fontId="6" fillId="6" borderId="0" xfId="0" applyFont="1" applyFill="1" applyAlignment="1" applyProtection="1">
      <alignment horizontal="left"/>
    </xf>
    <xf numFmtId="165" fontId="6" fillId="0" borderId="0" xfId="0" applyNumberFormat="1" applyFont="1" applyFill="1" applyAlignment="1" applyProtection="1">
      <alignment horizontal="left"/>
    </xf>
    <xf numFmtId="0" fontId="6" fillId="4" borderId="0" xfId="0" applyFont="1" applyFill="1" applyAlignment="1" applyProtection="1">
      <alignment horizontal="left"/>
    </xf>
    <xf numFmtId="0" fontId="50" fillId="0" borderId="0" xfId="0" applyFont="1" applyBorder="1" applyAlignment="1" applyProtection="1">
      <alignment horizontal="left"/>
    </xf>
    <xf numFmtId="165" fontId="6" fillId="7" borderId="0" xfId="0" applyNumberFormat="1" applyFont="1" applyFill="1" applyAlignment="1" applyProtection="1">
      <alignment horizontal="left"/>
    </xf>
    <xf numFmtId="165" fontId="6" fillId="6" borderId="0" xfId="0" applyNumberFormat="1" applyFont="1" applyFill="1" applyAlignment="1" applyProtection="1">
      <alignment horizontal="left"/>
    </xf>
    <xf numFmtId="0" fontId="53" fillId="0" borderId="0" xfId="0" applyFont="1" applyBorder="1" applyAlignment="1" applyProtection="1">
      <alignment horizontal="left"/>
    </xf>
    <xf numFmtId="0" fontId="6" fillId="7" borderId="0" xfId="0" applyFont="1" applyFill="1" applyBorder="1" applyAlignment="1" applyProtection="1">
      <alignment horizontal="left"/>
    </xf>
    <xf numFmtId="185" fontId="6" fillId="11" borderId="0" xfId="0" applyNumberFormat="1" applyFont="1" applyFill="1" applyAlignment="1" applyProtection="1">
      <alignment horizontal="left"/>
    </xf>
    <xf numFmtId="185" fontId="50" fillId="0" borderId="0" xfId="0" applyNumberFormat="1" applyFont="1" applyAlignment="1" applyProtection="1">
      <alignment horizontal="left"/>
    </xf>
    <xf numFmtId="0" fontId="52" fillId="22" borderId="0" xfId="0" applyFont="1" applyFill="1" applyAlignment="1" applyProtection="1">
      <alignment horizontal="left"/>
    </xf>
    <xf numFmtId="0" fontId="6" fillId="0" borderId="0" xfId="0" quotePrefix="1" applyFont="1" applyAlignment="1" applyProtection="1">
      <alignment horizontal="left"/>
    </xf>
    <xf numFmtId="0" fontId="6" fillId="7" borderId="0" xfId="0" quotePrefix="1" applyFont="1" applyFill="1" applyAlignment="1" applyProtection="1">
      <alignment horizontal="left"/>
    </xf>
    <xf numFmtId="185" fontId="50" fillId="0" borderId="0" xfId="0" applyNumberFormat="1" applyFont="1" applyAlignment="1" applyProtection="1">
      <alignment horizontal="centerContinuous"/>
    </xf>
    <xf numFmtId="2" fontId="6" fillId="0" borderId="0" xfId="0" applyNumberFormat="1" applyFont="1" applyAlignment="1" applyProtection="1">
      <alignment horizontal="left"/>
    </xf>
    <xf numFmtId="2" fontId="6" fillId="0" borderId="0" xfId="0" applyNumberFormat="1" applyFont="1" applyFill="1"/>
    <xf numFmtId="165" fontId="52" fillId="22" borderId="0" xfId="0" applyNumberFormat="1" applyFont="1" applyFill="1"/>
    <xf numFmtId="165" fontId="6" fillId="0" borderId="0" xfId="0" applyNumberFormat="1" applyFont="1"/>
    <xf numFmtId="185" fontId="6" fillId="0" borderId="0" xfId="0" applyNumberFormat="1" applyFont="1" applyAlignment="1" applyProtection="1"/>
    <xf numFmtId="0" fontId="50" fillId="0" borderId="0" xfId="0" applyFont="1" applyAlignment="1" applyProtection="1">
      <alignment horizontal="left"/>
    </xf>
    <xf numFmtId="10" fontId="6" fillId="0" borderId="0" xfId="0" applyNumberFormat="1" applyFont="1" applyAlignment="1" applyProtection="1">
      <alignment horizontal="left"/>
    </xf>
    <xf numFmtId="10" fontId="6" fillId="7" borderId="0" xfId="0" applyNumberFormat="1" applyFont="1" applyFill="1"/>
    <xf numFmtId="10" fontId="52" fillId="22" borderId="0" xfId="0" applyNumberFormat="1" applyFont="1" applyFill="1" applyAlignment="1" applyProtection="1">
      <alignment horizontal="left"/>
    </xf>
    <xf numFmtId="10" fontId="52" fillId="22" borderId="0" xfId="0" applyNumberFormat="1" applyFont="1" applyFill="1"/>
    <xf numFmtId="185" fontId="6" fillId="0" borderId="0" xfId="6" applyNumberFormat="1" applyFont="1" applyAlignment="1" applyProtection="1">
      <alignment horizontal="left"/>
    </xf>
    <xf numFmtId="2" fontId="6" fillId="7" borderId="0" xfId="0" applyNumberFormat="1" applyFont="1" applyFill="1" applyAlignment="1" applyProtection="1">
      <alignment horizontal="left"/>
    </xf>
    <xf numFmtId="185" fontId="6" fillId="7" borderId="0" xfId="6" applyNumberFormat="1" applyFont="1" applyFill="1" applyAlignment="1" applyProtection="1">
      <alignment horizontal="left"/>
    </xf>
    <xf numFmtId="2" fontId="29" fillId="0" borderId="0" xfId="5" applyNumberFormat="1" applyFont="1" applyFill="1" applyBorder="1" applyAlignment="1">
      <alignment horizontal="center"/>
    </xf>
    <xf numFmtId="2" fontId="37" fillId="0" borderId="0" xfId="5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2" fontId="39" fillId="0" borderId="0" xfId="5" applyNumberFormat="1" applyFont="1" applyFill="1" applyBorder="1" applyAlignment="1">
      <alignment horizontal="center"/>
    </xf>
    <xf numFmtId="1" fontId="54" fillId="3" borderId="24" xfId="5" applyNumberFormat="1" applyFont="1" applyFill="1" applyBorder="1" applyAlignment="1" applyProtection="1">
      <alignment horizontal="center" wrapText="1"/>
      <protection locked="0"/>
    </xf>
    <xf numFmtId="0" fontId="6" fillId="0" borderId="0" xfId="0" applyFont="1" applyBorder="1"/>
    <xf numFmtId="2" fontId="4" fillId="9" borderId="22" xfId="5" applyNumberFormat="1" applyFont="1" applyFill="1" applyBorder="1"/>
    <xf numFmtId="2" fontId="4" fillId="9" borderId="0" xfId="5" applyNumberFormat="1" applyFont="1" applyFill="1"/>
    <xf numFmtId="0" fontId="22" fillId="0" borderId="0" xfId="0" applyFont="1" applyAlignment="1">
      <alignment wrapText="1"/>
    </xf>
    <xf numFmtId="14" fontId="0" fillId="0" borderId="0" xfId="0" quotePrefix="1" applyNumberFormat="1"/>
    <xf numFmtId="14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64" fontId="0" fillId="0" borderId="32" xfId="0" applyNumberFormat="1" applyBorder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9" fillId="0" borderId="25" xfId="0" applyFont="1" applyBorder="1" applyAlignment="1">
      <alignment wrapText="1"/>
    </xf>
    <xf numFmtId="164" fontId="9" fillId="0" borderId="35" xfId="0" applyNumberFormat="1" applyFont="1" applyBorder="1"/>
    <xf numFmtId="164" fontId="9" fillId="0" borderId="16" xfId="0" applyNumberFormat="1" applyFont="1" applyBorder="1"/>
    <xf numFmtId="1" fontId="0" fillId="0" borderId="36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38" xfId="0" applyNumberFormat="1" applyBorder="1"/>
    <xf numFmtId="164" fontId="0" fillId="0" borderId="39" xfId="0" applyNumberFormat="1" applyBorder="1"/>
    <xf numFmtId="0" fontId="0" fillId="24" borderId="32" xfId="0" applyFill="1" applyBorder="1"/>
    <xf numFmtId="164" fontId="0" fillId="24" borderId="40" xfId="0" applyNumberFormat="1" applyFill="1" applyBorder="1"/>
    <xf numFmtId="164" fontId="0" fillId="24" borderId="32" xfId="0" applyNumberFormat="1" applyFill="1" applyBorder="1"/>
    <xf numFmtId="0" fontId="0" fillId="0" borderId="41" xfId="0" applyBorder="1" applyAlignment="1">
      <alignment horizontal="center"/>
    </xf>
    <xf numFmtId="166" fontId="60" fillId="20" borderId="0" xfId="0" applyNumberFormat="1" applyFont="1" applyFill="1"/>
    <xf numFmtId="0" fontId="60" fillId="0" borderId="0" xfId="0" applyFont="1" applyBorder="1" applyAlignment="1">
      <alignment horizontal="center" wrapText="1"/>
    </xf>
    <xf numFmtId="0" fontId="60" fillId="0" borderId="0" xfId="0" applyFont="1"/>
    <xf numFmtId="0" fontId="0" fillId="24" borderId="18" xfId="0" applyFill="1" applyBorder="1"/>
    <xf numFmtId="0" fontId="0" fillId="24" borderId="42" xfId="0" applyFill="1" applyBorder="1"/>
    <xf numFmtId="0" fontId="0" fillId="24" borderId="43" xfId="0" applyFill="1" applyBorder="1"/>
    <xf numFmtId="164" fontId="9" fillId="0" borderId="44" xfId="0" applyNumberFormat="1" applyFont="1" applyBorder="1"/>
    <xf numFmtId="166" fontId="0" fillId="0" borderId="45" xfId="0" applyNumberFormat="1" applyBorder="1" applyAlignment="1"/>
    <xf numFmtId="166" fontId="0" fillId="0" borderId="46" xfId="0" applyNumberFormat="1" applyBorder="1" applyAlignment="1"/>
    <xf numFmtId="166" fontId="0" fillId="0" borderId="47" xfId="0" applyNumberFormat="1" applyBorder="1" applyAlignment="1"/>
    <xf numFmtId="166" fontId="0" fillId="0" borderId="48" xfId="0" applyNumberFormat="1" applyBorder="1" applyAlignment="1"/>
    <xf numFmtId="166" fontId="0" fillId="0" borderId="40" xfId="0" applyNumberFormat="1" applyBorder="1" applyAlignment="1"/>
    <xf numFmtId="166" fontId="0" fillId="0" borderId="39" xfId="0" applyNumberFormat="1" applyBorder="1" applyAlignment="1"/>
    <xf numFmtId="0" fontId="0" fillId="0" borderId="24" xfId="0" applyBorder="1"/>
    <xf numFmtId="0" fontId="9" fillId="0" borderId="41" xfId="0" applyFont="1" applyBorder="1" applyAlignment="1">
      <alignment horizontal="center"/>
    </xf>
    <xf numFmtId="1" fontId="9" fillId="0" borderId="49" xfId="0" applyNumberFormat="1" applyFont="1" applyBorder="1" applyAlignment="1">
      <alignment horizontal="center"/>
    </xf>
    <xf numFmtId="1" fontId="9" fillId="0" borderId="36" xfId="0" applyNumberFormat="1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23" xfId="0" applyBorder="1" applyAlignment="1">
      <alignment horizontal="center"/>
    </xf>
    <xf numFmtId="0" fontId="0" fillId="0" borderId="0" xfId="0" applyBorder="1"/>
    <xf numFmtId="2" fontId="9" fillId="0" borderId="0" xfId="0" applyNumberFormat="1" applyFont="1"/>
    <xf numFmtId="0" fontId="6" fillId="8" borderId="24" xfId="0" applyFont="1" applyFill="1" applyBorder="1"/>
    <xf numFmtId="0" fontId="56" fillId="8" borderId="23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1" fontId="14" fillId="0" borderId="23" xfId="5" applyNumberFormat="1" applyFont="1" applyBorder="1" applyAlignment="1" applyProtection="1">
      <alignment horizontal="center"/>
      <protection locked="0"/>
    </xf>
    <xf numFmtId="1" fontId="6" fillId="0" borderId="23" xfId="5" applyNumberFormat="1" applyFont="1" applyBorder="1" applyAlignment="1" applyProtection="1">
      <alignment wrapText="1"/>
      <protection locked="0"/>
    </xf>
    <xf numFmtId="2" fontId="44" fillId="0" borderId="0" xfId="5" applyNumberFormat="1" applyFont="1" applyAlignment="1" applyProtection="1">
      <alignment horizontal="left"/>
      <protection locked="0"/>
    </xf>
    <xf numFmtId="165" fontId="58" fillId="0" borderId="0" xfId="5" applyNumberFormat="1" applyFont="1" applyAlignment="1" applyProtection="1">
      <alignment horizontal="center"/>
      <protection locked="0"/>
    </xf>
    <xf numFmtId="165" fontId="57" fillId="0" borderId="0" xfId="0" applyNumberFormat="1" applyFont="1" applyAlignment="1" applyProtection="1">
      <alignment horizontal="center"/>
      <protection locked="0"/>
    </xf>
    <xf numFmtId="1" fontId="58" fillId="0" borderId="0" xfId="5" applyNumberFormat="1" applyFont="1" applyAlignment="1" applyProtection="1">
      <alignment horizontal="center"/>
      <protection locked="0"/>
    </xf>
    <xf numFmtId="1" fontId="57" fillId="0" borderId="0" xfId="0" applyNumberFormat="1" applyFont="1" applyAlignment="1" applyProtection="1">
      <alignment horizontal="center"/>
      <protection locked="0"/>
    </xf>
    <xf numFmtId="2" fontId="58" fillId="0" borderId="0" xfId="5" applyNumberFormat="1" applyFont="1" applyAlignment="1" applyProtection="1">
      <alignment horizontal="center"/>
      <protection locked="0"/>
    </xf>
    <xf numFmtId="2" fontId="58" fillId="0" borderId="0" xfId="5" applyNumberFormat="1" applyFont="1" applyProtection="1">
      <protection locked="0"/>
    </xf>
    <xf numFmtId="1" fontId="58" fillId="0" borderId="0" xfId="5" applyNumberFormat="1" applyFont="1" applyProtection="1">
      <protection locked="0"/>
    </xf>
    <xf numFmtId="0" fontId="57" fillId="0" borderId="0" xfId="0" applyFont="1" applyProtection="1">
      <protection locked="0"/>
    </xf>
    <xf numFmtId="2" fontId="60" fillId="0" borderId="0" xfId="5" applyNumberFormat="1" applyFont="1" applyAlignment="1" applyProtection="1">
      <alignment horizontal="left"/>
      <protection locked="0"/>
    </xf>
    <xf numFmtId="172" fontId="60" fillId="0" borderId="0" xfId="5" applyNumberFormat="1" applyFont="1" applyAlignment="1" applyProtection="1">
      <alignment horizontal="left"/>
      <protection locked="0"/>
    </xf>
    <xf numFmtId="166" fontId="9" fillId="0" borderId="0" xfId="0" applyNumberFormat="1" applyFont="1"/>
    <xf numFmtId="166" fontId="9" fillId="25" borderId="24" xfId="0" applyNumberFormat="1" applyFont="1" applyFill="1" applyBorder="1"/>
    <xf numFmtId="166" fontId="9" fillId="25" borderId="53" xfId="0" applyNumberFormat="1" applyFont="1" applyFill="1" applyBorder="1"/>
    <xf numFmtId="1" fontId="9" fillId="3" borderId="0" xfId="0" applyNumberFormat="1" applyFont="1" applyFill="1" applyAlignment="1">
      <alignment horizontal="center"/>
    </xf>
    <xf numFmtId="0" fontId="1" fillId="0" borderId="0" xfId="0" applyFont="1" applyFill="1"/>
    <xf numFmtId="0" fontId="15" fillId="0" borderId="0" xfId="0" applyFont="1"/>
    <xf numFmtId="10" fontId="6" fillId="0" borderId="11" xfId="5" applyNumberFormat="1" applyFont="1" applyFill="1" applyBorder="1" applyAlignment="1">
      <alignment horizontal="right"/>
    </xf>
    <xf numFmtId="166" fontId="6" fillId="0" borderId="0" xfId="5" applyNumberFormat="1" applyFont="1" applyFill="1" applyAlignment="1">
      <alignment horizontal="right"/>
    </xf>
    <xf numFmtId="166" fontId="6" fillId="0" borderId="0" xfId="0" applyNumberFormat="1" applyFont="1" applyFill="1" applyAlignment="1">
      <alignment horizontal="right"/>
    </xf>
    <xf numFmtId="2" fontId="6" fillId="0" borderId="11" xfId="0" applyNumberFormat="1" applyFont="1" applyFill="1" applyBorder="1"/>
    <xf numFmtId="164" fontId="6" fillId="0" borderId="11" xfId="8" applyNumberFormat="1" applyFont="1" applyFill="1" applyBorder="1"/>
    <xf numFmtId="0" fontId="15" fillId="0" borderId="0" xfId="0" applyFont="1" applyFill="1"/>
    <xf numFmtId="2" fontId="19" fillId="0" borderId="21" xfId="5" applyNumberFormat="1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1" fontId="19" fillId="0" borderId="0" xfId="5" applyNumberFormat="1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4" xfId="0" applyFont="1" applyBorder="1"/>
    <xf numFmtId="0" fontId="1" fillId="0" borderId="40" xfId="0" applyFont="1" applyBorder="1" applyAlignment="1">
      <alignment horizontal="center"/>
    </xf>
    <xf numFmtId="0" fontId="1" fillId="0" borderId="55" xfId="0" applyFont="1" applyBorder="1"/>
    <xf numFmtId="0" fontId="1" fillId="0" borderId="39" xfId="0" applyFont="1" applyBorder="1" applyAlignment="1">
      <alignment horizontal="center"/>
    </xf>
    <xf numFmtId="0" fontId="0" fillId="11" borderId="24" xfId="0" applyFill="1" applyBorder="1"/>
    <xf numFmtId="1" fontId="19" fillId="11" borderId="21" xfId="5" applyNumberFormat="1" applyFont="1" applyFill="1" applyBorder="1" applyAlignment="1">
      <alignment horizontal="center"/>
    </xf>
    <xf numFmtId="1" fontId="19" fillId="11" borderId="22" xfId="5" applyNumberFormat="1" applyFont="1" applyFill="1" applyBorder="1" applyAlignment="1">
      <alignment horizontal="center"/>
    </xf>
    <xf numFmtId="1" fontId="19" fillId="11" borderId="28" xfId="5" applyNumberFormat="1" applyFont="1" applyFill="1" applyBorder="1" applyAlignment="1">
      <alignment horizontal="center"/>
    </xf>
    <xf numFmtId="0" fontId="9" fillId="11" borderId="25" xfId="0" applyFont="1" applyFill="1" applyBorder="1" applyAlignment="1">
      <alignment horizontal="center"/>
    </xf>
    <xf numFmtId="0" fontId="9" fillId="11" borderId="53" xfId="0" applyFont="1" applyFill="1" applyBorder="1" applyAlignment="1">
      <alignment horizontal="center"/>
    </xf>
    <xf numFmtId="0" fontId="31" fillId="0" borderId="0" xfId="0" applyFont="1" applyAlignment="1">
      <alignment wrapText="1"/>
    </xf>
    <xf numFmtId="0" fontId="62" fillId="0" borderId="0" xfId="0" applyFont="1" applyAlignment="1">
      <alignment wrapText="1"/>
    </xf>
    <xf numFmtId="2" fontId="19" fillId="0" borderId="0" xfId="5" applyNumberFormat="1" applyFont="1" applyAlignment="1" applyProtection="1">
      <alignment horizontal="left"/>
      <protection locked="0"/>
    </xf>
    <xf numFmtId="9" fontId="0" fillId="0" borderId="0" xfId="0" applyNumberFormat="1"/>
    <xf numFmtId="0" fontId="0" fillId="0" borderId="23" xfId="0" applyBorder="1"/>
    <xf numFmtId="2" fontId="9" fillId="4" borderId="0" xfId="5" applyNumberFormat="1" applyFont="1" applyFill="1" applyBorder="1" applyAlignment="1">
      <alignment horizontal="left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9" fillId="0" borderId="0" xfId="0" applyFont="1" applyAlignment="1"/>
    <xf numFmtId="0" fontId="0" fillId="8" borderId="17" xfId="0" applyFill="1" applyBorder="1" applyAlignment="1"/>
    <xf numFmtId="0" fontId="0" fillId="8" borderId="18" xfId="0" applyFill="1" applyBorder="1" applyAlignment="1"/>
    <xf numFmtId="0" fontId="0" fillId="8" borderId="12" xfId="0" applyFill="1" applyBorder="1" applyAlignment="1"/>
    <xf numFmtId="0" fontId="0" fillId="8" borderId="14" xfId="0" applyFill="1" applyBorder="1" applyAlignment="1"/>
    <xf numFmtId="0" fontId="0" fillId="8" borderId="0" xfId="0" applyFill="1" applyBorder="1" applyAlignment="1"/>
    <xf numFmtId="0" fontId="0" fillId="8" borderId="13" xfId="0" applyFill="1" applyBorder="1" applyAlignment="1"/>
    <xf numFmtId="166" fontId="0" fillId="8" borderId="0" xfId="0" applyNumberFormat="1" applyFill="1" applyBorder="1" applyAlignment="1"/>
    <xf numFmtId="166" fontId="0" fillId="8" borderId="13" xfId="0" applyNumberFormat="1" applyFill="1" applyBorder="1" applyAlignment="1"/>
    <xf numFmtId="186" fontId="0" fillId="8" borderId="14" xfId="0" applyNumberFormat="1" applyFill="1" applyBorder="1" applyAlignment="1"/>
    <xf numFmtId="186" fontId="0" fillId="8" borderId="0" xfId="0" applyNumberFormat="1" applyFill="1" applyBorder="1" applyAlignment="1"/>
    <xf numFmtId="186" fontId="0" fillId="8" borderId="13" xfId="0" applyNumberFormat="1" applyFill="1" applyBorder="1" applyAlignment="1"/>
    <xf numFmtId="0" fontId="0" fillId="8" borderId="15" xfId="0" applyFill="1" applyBorder="1" applyAlignment="1"/>
    <xf numFmtId="0" fontId="0" fillId="8" borderId="26" xfId="0" applyFill="1" applyBorder="1" applyAlignment="1"/>
    <xf numFmtId="0" fontId="0" fillId="8" borderId="16" xfId="0" applyFill="1" applyBorder="1" applyAlignment="1"/>
    <xf numFmtId="0" fontId="0" fillId="8" borderId="14" xfId="0" applyFill="1" applyBorder="1" applyAlignment="1">
      <alignment horizontal="center"/>
    </xf>
    <xf numFmtId="186" fontId="0" fillId="8" borderId="14" xfId="0" applyNumberFormat="1" applyFill="1" applyBorder="1" applyAlignment="1">
      <alignment horizontal="center"/>
    </xf>
    <xf numFmtId="0" fontId="0" fillId="0" borderId="52" xfId="0" applyBorder="1" applyAlignment="1">
      <alignment horizontal="center"/>
    </xf>
    <xf numFmtId="164" fontId="10" fillId="0" borderId="0" xfId="0" applyNumberFormat="1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0" xfId="0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10" fontId="0" fillId="0" borderId="0" xfId="0" applyNumberFormat="1" applyFill="1" applyBorder="1" applyAlignment="1"/>
    <xf numFmtId="0" fontId="9" fillId="0" borderId="24" xfId="0" applyFont="1" applyBorder="1"/>
    <xf numFmtId="0" fontId="0" fillId="0" borderId="51" xfId="0" applyBorder="1" applyAlignment="1">
      <alignment horizontal="center"/>
    </xf>
    <xf numFmtId="0" fontId="0" fillId="0" borderId="58" xfId="0" applyBorder="1" applyAlignment="1">
      <alignment horizontal="center"/>
    </xf>
    <xf numFmtId="1" fontId="9" fillId="0" borderId="1" xfId="0" applyNumberFormat="1" applyFont="1" applyBorder="1"/>
    <xf numFmtId="1" fontId="0" fillId="0" borderId="1" xfId="0" applyNumberFormat="1" applyBorder="1"/>
    <xf numFmtId="1" fontId="0" fillId="0" borderId="59" xfId="0" applyNumberFormat="1" applyBorder="1"/>
    <xf numFmtId="1" fontId="9" fillId="0" borderId="11" xfId="0" applyNumberFormat="1" applyFont="1" applyBorder="1"/>
    <xf numFmtId="164" fontId="9" fillId="21" borderId="57" xfId="0" applyNumberFormat="1" applyFont="1" applyFill="1" applyBorder="1"/>
    <xf numFmtId="0" fontId="9" fillId="25" borderId="25" xfId="0" applyFont="1" applyFill="1" applyBorder="1" applyAlignment="1">
      <alignment horizontal="center"/>
    </xf>
    <xf numFmtId="0" fontId="9" fillId="25" borderId="23" xfId="0" applyFont="1" applyFill="1" applyBorder="1" applyAlignment="1">
      <alignment horizontal="center"/>
    </xf>
    <xf numFmtId="164" fontId="0" fillId="0" borderId="60" xfId="0" applyNumberFormat="1" applyBorder="1"/>
    <xf numFmtId="164" fontId="0" fillId="0" borderId="54" xfId="0" applyNumberFormat="1" applyBorder="1"/>
    <xf numFmtId="164" fontId="0" fillId="0" borderId="55" xfId="0" applyNumberFormat="1" applyBorder="1"/>
    <xf numFmtId="1" fontId="9" fillId="0" borderId="60" xfId="0" applyNumberFormat="1" applyFont="1" applyBorder="1"/>
    <xf numFmtId="1" fontId="9" fillId="0" borderId="42" xfId="0" applyNumberFormat="1" applyFont="1" applyBorder="1"/>
    <xf numFmtId="1" fontId="9" fillId="0" borderId="43" xfId="0" applyNumberFormat="1" applyFont="1" applyBorder="1"/>
    <xf numFmtId="164" fontId="9" fillId="9" borderId="61" xfId="0" applyNumberFormat="1" applyFont="1" applyFill="1" applyBorder="1"/>
    <xf numFmtId="164" fontId="9" fillId="9" borderId="58" xfId="0" applyNumberFormat="1" applyFont="1" applyFill="1" applyBorder="1"/>
    <xf numFmtId="164" fontId="9" fillId="9" borderId="56" xfId="0" applyNumberFormat="1" applyFont="1" applyFill="1" applyBorder="1"/>
    <xf numFmtId="0" fontId="9" fillId="8" borderId="23" xfId="0" applyFont="1" applyFill="1" applyBorder="1" applyAlignment="1">
      <alignment horizontal="center"/>
    </xf>
    <xf numFmtId="167" fontId="0" fillId="8" borderId="0" xfId="0" applyNumberFormat="1" applyFill="1"/>
    <xf numFmtId="167" fontId="0" fillId="7" borderId="0" xfId="0" applyNumberFormat="1" applyFill="1"/>
    <xf numFmtId="166" fontId="0" fillId="0" borderId="0" xfId="0" applyNumberFormat="1" applyFill="1"/>
    <xf numFmtId="0" fontId="63" fillId="0" borderId="0" xfId="0" applyFont="1"/>
    <xf numFmtId="10" fontId="15" fillId="0" borderId="0" xfId="0" applyNumberFormat="1" applyFont="1"/>
    <xf numFmtId="0" fontId="15" fillId="0" borderId="0" xfId="0" applyFont="1" applyFill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0" fontId="9" fillId="0" borderId="0" xfId="0" applyFont="1" applyFill="1" applyProtection="1">
      <protection hidden="1"/>
    </xf>
    <xf numFmtId="1" fontId="14" fillId="0" borderId="0" xfId="5" applyNumberFormat="1" applyFont="1" applyFill="1" applyAlignment="1" applyProtection="1">
      <alignment horizontal="center"/>
      <protection hidden="1"/>
    </xf>
    <xf numFmtId="1" fontId="33" fillId="0" borderId="0" xfId="5" applyNumberFormat="1" applyFont="1" applyFill="1" applyProtection="1">
      <protection hidden="1"/>
    </xf>
    <xf numFmtId="0" fontId="63" fillId="0" borderId="0" xfId="0" applyFont="1" applyFill="1" applyProtection="1">
      <protection hidden="1"/>
    </xf>
    <xf numFmtId="2" fontId="6" fillId="0" borderId="0" xfId="5" applyNumberFormat="1" applyFont="1" applyFill="1" applyProtection="1">
      <protection hidden="1"/>
    </xf>
    <xf numFmtId="166" fontId="6" fillId="0" borderId="0" xfId="5" applyNumberFormat="1" applyFont="1" applyFill="1" applyAlignment="1" applyProtection="1">
      <alignment horizontal="center"/>
      <protection hidden="1"/>
    </xf>
    <xf numFmtId="2" fontId="4" fillId="0" borderId="0" xfId="5" applyNumberFormat="1" applyFont="1" applyFill="1" applyProtection="1">
      <protection hidden="1"/>
    </xf>
    <xf numFmtId="1" fontId="33" fillId="0" borderId="0" xfId="5" applyNumberFormat="1" applyFont="1" applyProtection="1">
      <protection hidden="1"/>
    </xf>
    <xf numFmtId="0" fontId="15" fillId="0" borderId="0" xfId="0" applyFont="1" applyProtection="1">
      <protection hidden="1"/>
    </xf>
    <xf numFmtId="2" fontId="4" fillId="0" borderId="0" xfId="5" applyNumberFormat="1" applyFont="1" applyProtection="1">
      <protection hidden="1"/>
    </xf>
    <xf numFmtId="0" fontId="1" fillId="0" borderId="0" xfId="0" applyFont="1" applyFill="1" applyProtection="1">
      <protection hidden="1"/>
    </xf>
    <xf numFmtId="164" fontId="9" fillId="0" borderId="0" xfId="5" applyNumberFormat="1" applyFont="1" applyFill="1" applyAlignment="1" applyProtection="1">
      <alignment horizontal="center"/>
      <protection locked="0"/>
    </xf>
    <xf numFmtId="166" fontId="0" fillId="0" borderId="20" xfId="0" applyNumberFormat="1" applyBorder="1" applyAlignment="1"/>
    <xf numFmtId="166" fontId="0" fillId="0" borderId="19" xfId="0" applyNumberFormat="1" applyBorder="1" applyAlignment="1"/>
    <xf numFmtId="0" fontId="0" fillId="0" borderId="62" xfId="0" applyBorder="1" applyAlignment="1">
      <alignment horizontal="center"/>
    </xf>
    <xf numFmtId="166" fontId="0" fillId="0" borderId="54" xfId="0" applyNumberFormat="1" applyBorder="1" applyAlignment="1"/>
    <xf numFmtId="166" fontId="0" fillId="0" borderId="55" xfId="0" applyNumberFormat="1" applyBorder="1" applyAlignment="1"/>
    <xf numFmtId="0" fontId="64" fillId="0" borderId="13" xfId="0" applyFont="1" applyBorder="1" applyAlignment="1">
      <alignment horizontal="center"/>
    </xf>
    <xf numFmtId="0" fontId="64" fillId="0" borderId="16" xfId="0" applyFont="1" applyBorder="1" applyAlignment="1">
      <alignment horizontal="center"/>
    </xf>
    <xf numFmtId="2" fontId="6" fillId="0" borderId="0" xfId="8" applyNumberFormat="1" applyFont="1" applyFill="1"/>
    <xf numFmtId="2" fontId="6" fillId="0" borderId="0" xfId="8" applyNumberFormat="1" applyFont="1" applyFill="1" applyBorder="1"/>
    <xf numFmtId="2" fontId="4" fillId="0" borderId="0" xfId="5" applyNumberFormat="1" applyFont="1" applyFill="1"/>
    <xf numFmtId="165" fontId="4" fillId="0" borderId="0" xfId="5" applyNumberFormat="1" applyFont="1" applyFill="1"/>
    <xf numFmtId="165" fontId="6" fillId="0" borderId="0" xfId="5" applyNumberFormat="1" applyFont="1" applyFill="1" applyBorder="1" applyProtection="1">
      <protection locked="0"/>
    </xf>
    <xf numFmtId="165" fontId="6" fillId="0" borderId="0" xfId="7" applyNumberFormat="1" applyFill="1" applyBorder="1"/>
    <xf numFmtId="165" fontId="6" fillId="0" borderId="0" xfId="5" applyNumberFormat="1" applyFont="1" applyFill="1" applyBorder="1"/>
    <xf numFmtId="2" fontId="6" fillId="0" borderId="0" xfId="5" applyNumberFormat="1" applyFont="1" applyFill="1" applyBorder="1"/>
    <xf numFmtId="2" fontId="14" fillId="0" borderId="0" xfId="5" applyNumberFormat="1" applyFont="1" applyFill="1" applyBorder="1"/>
    <xf numFmtId="2" fontId="0" fillId="0" borderId="0" xfId="0" applyNumberFormat="1" applyFill="1" applyBorder="1"/>
    <xf numFmtId="165" fontId="0" fillId="26" borderId="22" xfId="0" applyNumberFormat="1" applyFill="1" applyBorder="1"/>
    <xf numFmtId="165" fontId="0" fillId="26" borderId="0" xfId="0" applyNumberFormat="1" applyFill="1" applyBorder="1"/>
    <xf numFmtId="165" fontId="0" fillId="17" borderId="0" xfId="0" applyNumberFormat="1" applyFill="1" applyBorder="1"/>
    <xf numFmtId="14" fontId="9" fillId="4" borderId="0" xfId="5" applyNumberFormat="1" applyFont="1" applyFill="1" applyAlignment="1">
      <alignment horizontal="left"/>
    </xf>
    <xf numFmtId="165" fontId="10" fillId="0" borderId="0" xfId="7" applyNumberFormat="1" applyFont="1" applyAlignment="1" applyProtection="1">
      <alignment horizontal="left"/>
    </xf>
    <xf numFmtId="165" fontId="0" fillId="0" borderId="13" xfId="0" applyNumberFormat="1" applyBorder="1"/>
    <xf numFmtId="165" fontId="0" fillId="0" borderId="13" xfId="0" applyNumberFormat="1" applyFill="1" applyBorder="1"/>
    <xf numFmtId="2" fontId="0" fillId="0" borderId="13" xfId="0" applyNumberFormat="1" applyBorder="1"/>
    <xf numFmtId="0" fontId="0" fillId="0" borderId="34" xfId="0" applyBorder="1"/>
    <xf numFmtId="2" fontId="9" fillId="4" borderId="1" xfId="5" applyNumberFormat="1" applyFont="1" applyFill="1" applyBorder="1" applyAlignment="1" applyProtection="1">
      <alignment horizontal="right"/>
      <protection locked="0"/>
    </xf>
    <xf numFmtId="2" fontId="4" fillId="0" borderId="1" xfId="5" applyNumberFormat="1" applyFont="1" applyFill="1" applyBorder="1"/>
    <xf numFmtId="1" fontId="17" fillId="0" borderId="1" xfId="5" applyNumberFormat="1" applyFont="1" applyFill="1" applyBorder="1" applyAlignment="1" applyProtection="1">
      <alignment horizontal="right"/>
      <protection locked="0"/>
    </xf>
    <xf numFmtId="1" fontId="19" fillId="4" borderId="1" xfId="5" applyNumberFormat="1" applyFont="1" applyFill="1" applyBorder="1"/>
    <xf numFmtId="2" fontId="6" fillId="0" borderId="1" xfId="5" applyNumberFormat="1" applyFont="1" applyFill="1" applyBorder="1" applyAlignment="1">
      <alignment wrapText="1"/>
    </xf>
    <xf numFmtId="164" fontId="6" fillId="4" borderId="1" xfId="8" applyNumberFormat="1" applyFont="1" applyFill="1" applyBorder="1"/>
    <xf numFmtId="2" fontId="6" fillId="4" borderId="1" xfId="8" applyNumberFormat="1" applyFont="1" applyFill="1" applyBorder="1"/>
    <xf numFmtId="165" fontId="0" fillId="4" borderId="1" xfId="0" applyNumberFormat="1" applyFill="1" applyBorder="1"/>
    <xf numFmtId="165" fontId="6" fillId="0" borderId="1" xfId="7" applyNumberFormat="1" applyFill="1" applyBorder="1"/>
    <xf numFmtId="165" fontId="6" fillId="4" borderId="1" xfId="7" applyNumberFormat="1" applyFill="1" applyBorder="1"/>
    <xf numFmtId="165" fontId="6" fillId="0" borderId="1" xfId="5" applyNumberFormat="1" applyFont="1" applyFill="1" applyBorder="1"/>
    <xf numFmtId="165" fontId="6" fillId="4" borderId="1" xfId="5" applyNumberFormat="1" applyFont="1" applyFill="1" applyBorder="1"/>
    <xf numFmtId="2" fontId="4" fillId="0" borderId="1" xfId="5" applyNumberFormat="1" applyFont="1" applyBorder="1"/>
    <xf numFmtId="165" fontId="6" fillId="0" borderId="1" xfId="5" applyNumberFormat="1" applyFont="1" applyBorder="1"/>
    <xf numFmtId="165" fontId="4" fillId="0" borderId="1" xfId="5" applyNumberFormat="1" applyFont="1" applyBorder="1"/>
    <xf numFmtId="165" fontId="6" fillId="4" borderId="1" xfId="5" applyNumberFormat="1" applyFont="1" applyFill="1" applyBorder="1" applyProtection="1">
      <protection locked="0"/>
    </xf>
    <xf numFmtId="165" fontId="6" fillId="4" borderId="1" xfId="5" applyNumberFormat="1" applyFont="1" applyFill="1" applyBorder="1" applyAlignment="1" applyProtection="1">
      <protection locked="0"/>
    </xf>
    <xf numFmtId="165" fontId="6" fillId="0" borderId="1" xfId="7" applyNumberFormat="1" applyBorder="1"/>
    <xf numFmtId="165" fontId="6" fillId="0" borderId="1" xfId="7" applyNumberFormat="1" applyFont="1" applyBorder="1"/>
    <xf numFmtId="0" fontId="0" fillId="0" borderId="1" xfId="0" applyBorder="1"/>
    <xf numFmtId="166" fontId="0" fillId="4" borderId="1" xfId="0" applyNumberFormat="1" applyFill="1" applyBorder="1"/>
    <xf numFmtId="2" fontId="6" fillId="0" borderId="1" xfId="5" applyNumberFormat="1" applyFont="1" applyBorder="1"/>
    <xf numFmtId="165" fontId="6" fillId="4" borderId="1" xfId="7" applyNumberFormat="1" applyFont="1" applyFill="1" applyBorder="1"/>
    <xf numFmtId="165" fontId="6" fillId="0" borderId="1" xfId="5" applyNumberFormat="1" applyFont="1" applyFill="1" applyBorder="1" applyProtection="1"/>
    <xf numFmtId="165" fontId="6" fillId="0" borderId="1" xfId="5" applyNumberFormat="1" applyFont="1" applyFill="1" applyBorder="1" applyProtection="1">
      <protection locked="0"/>
    </xf>
    <xf numFmtId="165" fontId="0" fillId="0" borderId="1" xfId="0" applyNumberFormat="1" applyBorder="1"/>
    <xf numFmtId="165" fontId="0" fillId="0" borderId="1" xfId="0" applyNumberFormat="1" applyFill="1" applyBorder="1"/>
    <xf numFmtId="165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0" fontId="0" fillId="0" borderId="63" xfId="0" applyBorder="1"/>
    <xf numFmtId="1" fontId="22" fillId="3" borderId="32" xfId="5" applyNumberFormat="1" applyFont="1" applyFill="1" applyBorder="1" applyAlignment="1" applyProtection="1">
      <alignment horizontal="center" wrapText="1"/>
      <protection locked="0"/>
    </xf>
    <xf numFmtId="0" fontId="0" fillId="0" borderId="0" xfId="0" applyBorder="1" applyAlignment="1"/>
    <xf numFmtId="0" fontId="0" fillId="0" borderId="64" xfId="0" applyBorder="1"/>
    <xf numFmtId="0" fontId="0" fillId="0" borderId="50" xfId="0" applyBorder="1" applyAlignment="1">
      <alignment horizontal="center"/>
    </xf>
    <xf numFmtId="0" fontId="0" fillId="13" borderId="23" xfId="0" applyFill="1" applyBorder="1" applyAlignment="1">
      <alignment horizontal="center"/>
    </xf>
    <xf numFmtId="9" fontId="1" fillId="0" borderId="30" xfId="8" applyBorder="1" applyAlignment="1">
      <alignment horizontal="center"/>
    </xf>
    <xf numFmtId="1" fontId="0" fillId="0" borderId="30" xfId="0" applyNumberFormat="1" applyBorder="1" applyAlignment="1">
      <alignment horizontal="center"/>
    </xf>
    <xf numFmtId="9" fontId="1" fillId="0" borderId="29" xfId="8" applyBorder="1" applyAlignment="1">
      <alignment horizontal="center"/>
    </xf>
    <xf numFmtId="165" fontId="0" fillId="0" borderId="50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4" fontId="1" fillId="0" borderId="22" xfId="8" applyNumberForma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9" fillId="8" borderId="15" xfId="0" applyFont="1" applyFill="1" applyBorder="1" applyAlignment="1">
      <alignment wrapText="1"/>
    </xf>
    <xf numFmtId="0" fontId="0" fillId="8" borderId="28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9" fillId="8" borderId="23" xfId="0" applyFont="1" applyFill="1" applyBorder="1" applyAlignment="1">
      <alignment horizontal="left" wrapText="1"/>
    </xf>
    <xf numFmtId="9" fontId="9" fillId="8" borderId="58" xfId="0" applyNumberFormat="1" applyFont="1" applyFill="1" applyBorder="1" applyAlignment="1">
      <alignment horizontal="center"/>
    </xf>
    <xf numFmtId="9" fontId="9" fillId="8" borderId="61" xfId="0" applyNumberFormat="1" applyFont="1" applyFill="1" applyBorder="1" applyAlignment="1">
      <alignment horizontal="center"/>
    </xf>
    <xf numFmtId="9" fontId="9" fillId="8" borderId="56" xfId="0" applyNumberFormat="1" applyFont="1" applyFill="1" applyBorder="1" applyAlignment="1">
      <alignment horizontal="center"/>
    </xf>
    <xf numFmtId="164" fontId="0" fillId="0" borderId="63" xfId="0" applyNumberFormat="1" applyBorder="1"/>
    <xf numFmtId="9" fontId="9" fillId="8" borderId="65" xfId="0" applyNumberFormat="1" applyFont="1" applyFill="1" applyBorder="1" applyAlignment="1">
      <alignment horizontal="center"/>
    </xf>
    <xf numFmtId="9" fontId="9" fillId="8" borderId="66" xfId="0" applyNumberFormat="1" applyFont="1" applyFill="1" applyBorder="1" applyAlignment="1">
      <alignment horizontal="center"/>
    </xf>
    <xf numFmtId="9" fontId="9" fillId="8" borderId="67" xfId="0" applyNumberFormat="1" applyFont="1" applyFill="1" applyBorder="1" applyAlignment="1">
      <alignment horizontal="center"/>
    </xf>
    <xf numFmtId="164" fontId="0" fillId="0" borderId="0" xfId="0" applyNumberFormat="1" applyBorder="1"/>
    <xf numFmtId="9" fontId="0" fillId="0" borderId="0" xfId="0" applyNumberFormat="1" applyFill="1" applyBorder="1" applyAlignment="1">
      <alignment horizontal="center"/>
    </xf>
    <xf numFmtId="9" fontId="32" fillId="0" borderId="25" xfId="0" applyNumberFormat="1" applyFont="1" applyFill="1" applyBorder="1" applyAlignment="1">
      <alignment horizontal="center"/>
    </xf>
    <xf numFmtId="164" fontId="1" fillId="0" borderId="35" xfId="8" applyNumberFormat="1" applyBorder="1" applyAlignment="1">
      <alignment horizontal="center"/>
    </xf>
    <xf numFmtId="165" fontId="1" fillId="0" borderId="35" xfId="8" applyNumberFormat="1" applyBorder="1" applyAlignment="1">
      <alignment horizontal="center"/>
    </xf>
    <xf numFmtId="165" fontId="1" fillId="0" borderId="16" xfId="8" applyNumberFormat="1" applyBorder="1" applyAlignment="1">
      <alignment horizontal="center"/>
    </xf>
    <xf numFmtId="166" fontId="0" fillId="0" borderId="2" xfId="0" applyNumberFormat="1" applyBorder="1"/>
    <xf numFmtId="166" fontId="0" fillId="0" borderId="3" xfId="0" applyNumberFormat="1" applyBorder="1"/>
    <xf numFmtId="166" fontId="0" fillId="0" borderId="5" xfId="0" applyNumberFormat="1" applyBorder="1"/>
    <xf numFmtId="166" fontId="0" fillId="0" borderId="9" xfId="0" applyNumberFormat="1" applyBorder="1"/>
    <xf numFmtId="166" fontId="0" fillId="0" borderId="68" xfId="0" applyNumberFormat="1" applyBorder="1"/>
    <xf numFmtId="166" fontId="0" fillId="0" borderId="69" xfId="0" applyNumberFormat="1" applyBorder="1"/>
    <xf numFmtId="0" fontId="9" fillId="26" borderId="21" xfId="0" applyFont="1" applyFill="1" applyBorder="1" applyAlignment="1">
      <alignment horizontal="center" wrapText="1"/>
    </xf>
    <xf numFmtId="0" fontId="9" fillId="26" borderId="22" xfId="0" applyFont="1" applyFill="1" applyBorder="1" applyAlignment="1">
      <alignment horizontal="center" wrapText="1"/>
    </xf>
    <xf numFmtId="0" fontId="9" fillId="26" borderId="28" xfId="0" applyFont="1" applyFill="1" applyBorder="1" applyAlignment="1">
      <alignment horizontal="center" wrapText="1"/>
    </xf>
    <xf numFmtId="0" fontId="0" fillId="27" borderId="21" xfId="0" applyFill="1" applyBorder="1" applyAlignment="1">
      <alignment horizontal="center" wrapText="1"/>
    </xf>
    <xf numFmtId="0" fontId="0" fillId="27" borderId="22" xfId="0" applyFill="1" applyBorder="1" applyAlignment="1">
      <alignment horizontal="center" wrapText="1"/>
    </xf>
    <xf numFmtId="0" fontId="0" fillId="27" borderId="28" xfId="0" applyFill="1" applyBorder="1" applyAlignment="1">
      <alignment horizontal="center" wrapText="1"/>
    </xf>
    <xf numFmtId="0" fontId="0" fillId="17" borderId="21" xfId="0" applyFill="1" applyBorder="1" applyAlignment="1">
      <alignment horizontal="center" wrapText="1"/>
    </xf>
    <xf numFmtId="0" fontId="0" fillId="17" borderId="22" xfId="0" applyFill="1" applyBorder="1" applyAlignment="1">
      <alignment horizontal="center" wrapText="1"/>
    </xf>
    <xf numFmtId="0" fontId="0" fillId="17" borderId="28" xfId="0" applyFill="1" applyBorder="1" applyAlignment="1">
      <alignment horizontal="center" wrapText="1"/>
    </xf>
    <xf numFmtId="0" fontId="9" fillId="18" borderId="21" xfId="0" applyFont="1" applyFill="1" applyBorder="1" applyAlignment="1">
      <alignment horizontal="center" wrapText="1"/>
    </xf>
    <xf numFmtId="0" fontId="9" fillId="18" borderId="22" xfId="0" applyFont="1" applyFill="1" applyBorder="1" applyAlignment="1">
      <alignment horizontal="center" wrapText="1"/>
    </xf>
    <xf numFmtId="0" fontId="9" fillId="18" borderId="28" xfId="0" applyFont="1" applyFill="1" applyBorder="1" applyAlignment="1">
      <alignment horizontal="center" wrapText="1"/>
    </xf>
    <xf numFmtId="2" fontId="4" fillId="3" borderId="53" xfId="5" quotePrefix="1" applyNumberFormat="1" applyFont="1" applyFill="1" applyBorder="1" applyAlignment="1">
      <alignment horizontal="center"/>
    </xf>
    <xf numFmtId="2" fontId="4" fillId="3" borderId="25" xfId="5" quotePrefix="1" applyNumberFormat="1" applyFont="1" applyFill="1" applyBorder="1" applyAlignment="1">
      <alignment horizontal="center"/>
    </xf>
    <xf numFmtId="2" fontId="29" fillId="10" borderId="21" xfId="5" applyNumberFormat="1" applyFont="1" applyFill="1" applyBorder="1" applyAlignment="1">
      <alignment horizontal="center" wrapText="1"/>
    </xf>
    <xf numFmtId="2" fontId="29" fillId="10" borderId="22" xfId="5" applyNumberFormat="1" applyFont="1" applyFill="1" applyBorder="1" applyAlignment="1">
      <alignment horizontal="center" wrapText="1"/>
    </xf>
    <xf numFmtId="2" fontId="29" fillId="10" borderId="28" xfId="5" applyNumberFormat="1" applyFont="1" applyFill="1" applyBorder="1" applyAlignment="1">
      <alignment horizontal="center" wrapText="1"/>
    </xf>
    <xf numFmtId="2" fontId="29" fillId="6" borderId="21" xfId="5" applyNumberFormat="1" applyFont="1" applyFill="1" applyBorder="1" applyAlignment="1">
      <alignment horizontal="center" wrapText="1"/>
    </xf>
    <xf numFmtId="2" fontId="29" fillId="6" borderId="22" xfId="5" applyNumberFormat="1" applyFont="1" applyFill="1" applyBorder="1" applyAlignment="1">
      <alignment horizontal="center" wrapText="1"/>
    </xf>
    <xf numFmtId="2" fontId="29" fillId="6" borderId="28" xfId="5" applyNumberFormat="1" applyFont="1" applyFill="1" applyBorder="1" applyAlignment="1">
      <alignment horizontal="center" wrapText="1"/>
    </xf>
    <xf numFmtId="2" fontId="29" fillId="9" borderId="21" xfId="5" applyNumberFormat="1" applyFont="1" applyFill="1" applyBorder="1" applyAlignment="1">
      <alignment horizontal="center" wrapText="1"/>
    </xf>
    <xf numFmtId="2" fontId="29" fillId="9" borderId="22" xfId="5" applyNumberFormat="1" applyFont="1" applyFill="1" applyBorder="1" applyAlignment="1">
      <alignment horizontal="center" wrapText="1"/>
    </xf>
    <xf numFmtId="2" fontId="29" fillId="9" borderId="28" xfId="5" applyNumberFormat="1" applyFont="1" applyFill="1" applyBorder="1" applyAlignment="1">
      <alignment horizontal="center" wrapText="1"/>
    </xf>
    <xf numFmtId="2" fontId="29" fillId="11" borderId="21" xfId="5" applyNumberFormat="1" applyFont="1" applyFill="1" applyBorder="1" applyAlignment="1">
      <alignment horizontal="center" wrapText="1"/>
    </xf>
    <xf numFmtId="2" fontId="29" fillId="11" borderId="22" xfId="5" applyNumberFormat="1" applyFont="1" applyFill="1" applyBorder="1" applyAlignment="1">
      <alignment horizontal="center" wrapText="1"/>
    </xf>
    <xf numFmtId="2" fontId="29" fillId="11" borderId="28" xfId="5" applyNumberFormat="1" applyFont="1" applyFill="1" applyBorder="1" applyAlignment="1">
      <alignment horizontal="center" wrapText="1"/>
    </xf>
    <xf numFmtId="2" fontId="37" fillId="12" borderId="12" xfId="5" applyNumberFormat="1" applyFont="1" applyFill="1" applyBorder="1" applyAlignment="1">
      <alignment horizontal="center" wrapText="1"/>
    </xf>
    <xf numFmtId="2" fontId="37" fillId="12" borderId="13" xfId="5" applyNumberFormat="1" applyFont="1" applyFill="1" applyBorder="1" applyAlignment="1">
      <alignment horizontal="center" wrapText="1"/>
    </xf>
    <xf numFmtId="2" fontId="37" fillId="12" borderId="16" xfId="5" applyNumberFormat="1" applyFont="1" applyFill="1" applyBorder="1" applyAlignment="1">
      <alignment horizontal="center" wrapText="1"/>
    </xf>
    <xf numFmtId="2" fontId="39" fillId="8" borderId="17" xfId="5" applyNumberFormat="1" applyFont="1" applyFill="1" applyBorder="1" applyAlignment="1">
      <alignment horizontal="center" wrapText="1"/>
    </xf>
    <xf numFmtId="2" fontId="39" fillId="8" borderId="18" xfId="5" applyNumberFormat="1" applyFont="1" applyFill="1" applyBorder="1" applyAlignment="1">
      <alignment horizontal="center" wrapText="1"/>
    </xf>
    <xf numFmtId="2" fontId="39" fillId="8" borderId="12" xfId="5" applyNumberFormat="1" applyFont="1" applyFill="1" applyBorder="1" applyAlignment="1">
      <alignment horizontal="center" wrapText="1"/>
    </xf>
    <xf numFmtId="2" fontId="39" fillId="0" borderId="0" xfId="5" applyNumberFormat="1" applyFont="1" applyFill="1" applyBorder="1" applyAlignment="1">
      <alignment horizontal="center" wrapText="1"/>
    </xf>
    <xf numFmtId="2" fontId="29" fillId="0" borderId="0" xfId="5" applyNumberFormat="1" applyFont="1" applyFill="1" applyBorder="1" applyAlignment="1">
      <alignment horizontal="center" wrapText="1"/>
    </xf>
    <xf numFmtId="2" fontId="37" fillId="0" borderId="0" xfId="5" applyNumberFormat="1" applyFont="1" applyFill="1" applyBorder="1" applyAlignment="1">
      <alignment horizontal="center" wrapText="1"/>
    </xf>
    <xf numFmtId="2" fontId="55" fillId="3" borderId="24" xfId="5" quotePrefix="1" applyNumberFormat="1" applyFont="1" applyFill="1" applyBorder="1" applyAlignment="1">
      <alignment horizontal="center"/>
    </xf>
    <xf numFmtId="2" fontId="55" fillId="3" borderId="53" xfId="5" quotePrefix="1" applyNumberFormat="1" applyFont="1" applyFill="1" applyBorder="1" applyAlignment="1">
      <alignment horizontal="center"/>
    </xf>
    <xf numFmtId="2" fontId="55" fillId="3" borderId="25" xfId="5" quotePrefix="1" applyNumberFormat="1" applyFont="1" applyFill="1" applyBorder="1" applyAlignment="1">
      <alignment horizontal="center"/>
    </xf>
    <xf numFmtId="0" fontId="9" fillId="16" borderId="24" xfId="0" applyFont="1" applyFill="1" applyBorder="1" applyAlignment="1">
      <alignment horizontal="center" wrapText="1"/>
    </xf>
    <xf numFmtId="0" fontId="9" fillId="16" borderId="53" xfId="0" applyFont="1" applyFill="1" applyBorder="1" applyAlignment="1">
      <alignment horizontal="center" wrapText="1"/>
    </xf>
    <xf numFmtId="0" fontId="9" fillId="16" borderId="25" xfId="0" applyFont="1" applyFill="1" applyBorder="1" applyAlignment="1">
      <alignment horizontal="center" wrapText="1"/>
    </xf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21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26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9" fillId="9" borderId="24" xfId="0" applyFont="1" applyFill="1" applyBorder="1" applyAlignment="1">
      <alignment horizontal="center"/>
    </xf>
    <xf numFmtId="0" fontId="9" fillId="9" borderId="53" xfId="0" applyFont="1" applyFill="1" applyBorder="1" applyAlignment="1">
      <alignment horizontal="center"/>
    </xf>
    <xf numFmtId="0" fontId="9" fillId="9" borderId="25" xfId="0" applyFont="1" applyFill="1" applyBorder="1" applyAlignment="1">
      <alignment horizontal="center"/>
    </xf>
    <xf numFmtId="0" fontId="0" fillId="0" borderId="14" xfId="0" applyBorder="1" applyAlignment="1">
      <alignment horizontal="center" vertical="center" textRotation="90" wrapText="1"/>
    </xf>
    <xf numFmtId="0" fontId="0" fillId="0" borderId="15" xfId="0" applyBorder="1" applyAlignment="1">
      <alignment horizontal="center" vertical="center" textRotation="90" wrapText="1"/>
    </xf>
    <xf numFmtId="0" fontId="0" fillId="8" borderId="21" xfId="0" applyFill="1" applyBorder="1" applyAlignment="1">
      <alignment horizontal="center" wrapText="1"/>
    </xf>
    <xf numFmtId="0" fontId="0" fillId="8" borderId="22" xfId="0" applyFill="1" applyBorder="1" applyAlignment="1">
      <alignment horizontal="center" wrapText="1"/>
    </xf>
    <xf numFmtId="0" fontId="9" fillId="0" borderId="70" xfId="0" applyFont="1" applyBorder="1" applyAlignment="1">
      <alignment horizontal="center" wrapText="1"/>
    </xf>
    <xf numFmtId="0" fontId="9" fillId="0" borderId="71" xfId="0" applyFont="1" applyBorder="1" applyAlignment="1">
      <alignment horizontal="center" wrapText="1"/>
    </xf>
    <xf numFmtId="0" fontId="9" fillId="0" borderId="44" xfId="0" applyFont="1" applyBorder="1" applyAlignment="1">
      <alignment horizontal="center" wrapText="1"/>
    </xf>
    <xf numFmtId="0" fontId="9" fillId="9" borderId="62" xfId="0" applyFont="1" applyFill="1" applyBorder="1" applyAlignment="1">
      <alignment horizontal="center" wrapText="1"/>
    </xf>
    <xf numFmtId="0" fontId="9" fillId="9" borderId="72" xfId="0" applyFont="1" applyFill="1" applyBorder="1" applyAlignment="1">
      <alignment horizontal="center" wrapText="1"/>
    </xf>
    <xf numFmtId="0" fontId="9" fillId="9" borderId="73" xfId="0" applyFont="1" applyFill="1" applyBorder="1" applyAlignment="1">
      <alignment horizontal="center" wrapText="1"/>
    </xf>
    <xf numFmtId="0" fontId="61" fillId="0" borderId="17" xfId="0" applyFont="1" applyBorder="1" applyAlignment="1">
      <alignment horizontal="center" wrapText="1"/>
    </xf>
    <xf numFmtId="0" fontId="61" fillId="0" borderId="12" xfId="0" applyFont="1" applyBorder="1" applyAlignment="1">
      <alignment horizontal="center" wrapText="1"/>
    </xf>
    <xf numFmtId="0" fontId="61" fillId="0" borderId="14" xfId="0" applyFont="1" applyBorder="1" applyAlignment="1">
      <alignment horizontal="center" wrapText="1"/>
    </xf>
    <xf numFmtId="0" fontId="61" fillId="0" borderId="13" xfId="0" applyFont="1" applyBorder="1" applyAlignment="1">
      <alignment horizontal="center" wrapText="1"/>
    </xf>
    <xf numFmtId="0" fontId="61" fillId="0" borderId="51" xfId="0" applyFont="1" applyBorder="1" applyAlignment="1">
      <alignment horizontal="center" wrapText="1"/>
    </xf>
    <xf numFmtId="0" fontId="61" fillId="0" borderId="35" xfId="0" applyFont="1" applyBorder="1" applyAlignment="1">
      <alignment horizontal="center" wrapText="1"/>
    </xf>
    <xf numFmtId="0" fontId="9" fillId="0" borderId="74" xfId="0" applyFont="1" applyBorder="1" applyAlignment="1">
      <alignment horizontal="center" wrapText="1"/>
    </xf>
    <xf numFmtId="0" fontId="9" fillId="0" borderId="65" xfId="0" applyFont="1" applyBorder="1" applyAlignment="1">
      <alignment horizontal="center" wrapText="1"/>
    </xf>
    <xf numFmtId="0" fontId="9" fillId="0" borderId="37" xfId="0" applyFont="1" applyBorder="1" applyAlignment="1">
      <alignment horizontal="center" wrapText="1"/>
    </xf>
    <xf numFmtId="0" fontId="9" fillId="0" borderId="67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9" fillId="9" borderId="15" xfId="0" applyFont="1" applyFill="1" applyBorder="1" applyAlignment="1">
      <alignment horizontal="center" wrapText="1"/>
    </xf>
    <xf numFmtId="0" fontId="9" fillId="9" borderId="26" xfId="0" applyFont="1" applyFill="1" applyBorder="1" applyAlignment="1">
      <alignment horizontal="center" wrapText="1"/>
    </xf>
    <xf numFmtId="0" fontId="9" fillId="9" borderId="16" xfId="0" applyFont="1" applyFill="1" applyBorder="1" applyAlignment="1">
      <alignment horizontal="center" wrapText="1"/>
    </xf>
    <xf numFmtId="0" fontId="9" fillId="0" borderId="75" xfId="0" applyFont="1" applyBorder="1" applyAlignment="1">
      <alignment horizontal="center" wrapText="1"/>
    </xf>
    <xf numFmtId="0" fontId="9" fillId="0" borderId="59" xfId="0" applyFont="1" applyBorder="1" applyAlignment="1">
      <alignment horizontal="center" wrapText="1"/>
    </xf>
    <xf numFmtId="10" fontId="0" fillId="0" borderId="76" xfId="0" applyNumberFormat="1" applyBorder="1" applyAlignment="1">
      <alignment horizontal="center"/>
    </xf>
    <xf numFmtId="10" fontId="0" fillId="0" borderId="63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165" fontId="9" fillId="7" borderId="76" xfId="0" applyNumberFormat="1" applyFont="1" applyFill="1" applyBorder="1" applyAlignment="1">
      <alignment horizontal="center"/>
    </xf>
    <xf numFmtId="165" fontId="9" fillId="7" borderId="63" xfId="0" applyNumberFormat="1" applyFont="1" applyFill="1" applyBorder="1" applyAlignment="1">
      <alignment horizontal="center"/>
    </xf>
    <xf numFmtId="165" fontId="9" fillId="7" borderId="77" xfId="0" applyNumberFormat="1" applyFont="1" applyFill="1" applyBorder="1" applyAlignment="1">
      <alignment horizontal="center"/>
    </xf>
    <xf numFmtId="164" fontId="9" fillId="7" borderId="76" xfId="0" applyNumberFormat="1" applyFont="1" applyFill="1" applyBorder="1" applyAlignment="1">
      <alignment horizontal="center"/>
    </xf>
    <xf numFmtId="164" fontId="9" fillId="7" borderId="63" xfId="0" applyNumberFormat="1" applyFont="1" applyFill="1" applyBorder="1" applyAlignment="1">
      <alignment horizontal="center"/>
    </xf>
    <xf numFmtId="164" fontId="9" fillId="7" borderId="77" xfId="0" applyNumberFormat="1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9" fillId="25" borderId="24" xfId="0" applyFont="1" applyFill="1" applyBorder="1" applyAlignment="1">
      <alignment horizontal="center"/>
    </xf>
    <xf numFmtId="0" fontId="9" fillId="25" borderId="53" xfId="0" applyFont="1" applyFill="1" applyBorder="1" applyAlignment="1">
      <alignment horizontal="center"/>
    </xf>
    <xf numFmtId="0" fontId="9" fillId="25" borderId="24" xfId="0" applyFont="1" applyFill="1" applyBorder="1" applyAlignment="1">
      <alignment horizontal="right"/>
    </xf>
    <xf numFmtId="0" fontId="9" fillId="25" borderId="53" xfId="0" applyFont="1" applyFill="1" applyBorder="1" applyAlignment="1">
      <alignment horizontal="right"/>
    </xf>
    <xf numFmtId="9" fontId="10" fillId="8" borderId="52" xfId="0" applyNumberFormat="1" applyFont="1" applyFill="1" applyBorder="1" applyAlignment="1">
      <alignment horizontal="center"/>
    </xf>
    <xf numFmtId="9" fontId="10" fillId="8" borderId="78" xfId="0" applyNumberFormat="1" applyFont="1" applyFill="1" applyBorder="1" applyAlignment="1">
      <alignment horizontal="center"/>
    </xf>
    <xf numFmtId="9" fontId="10" fillId="8" borderId="62" xfId="0" applyNumberFormat="1" applyFont="1" applyFill="1" applyBorder="1" applyAlignment="1">
      <alignment horizontal="center"/>
    </xf>
    <xf numFmtId="9" fontId="10" fillId="8" borderId="73" xfId="0" applyNumberFormat="1" applyFont="1" applyFill="1" applyBorder="1" applyAlignment="1">
      <alignment horizontal="center"/>
    </xf>
    <xf numFmtId="0" fontId="9" fillId="21" borderId="14" xfId="0" applyFont="1" applyFill="1" applyBorder="1" applyAlignment="1">
      <alignment horizontal="left" wrapText="1"/>
    </xf>
    <xf numFmtId="0" fontId="9" fillId="21" borderId="13" xfId="0" applyFont="1" applyFill="1" applyBorder="1" applyAlignment="1">
      <alignment horizontal="left" wrapText="1"/>
    </xf>
    <xf numFmtId="0" fontId="9" fillId="21" borderId="15" xfId="0" applyFont="1" applyFill="1" applyBorder="1" applyAlignment="1">
      <alignment horizontal="left" wrapText="1"/>
    </xf>
    <xf numFmtId="0" fontId="9" fillId="21" borderId="16" xfId="0" applyFont="1" applyFill="1" applyBorder="1" applyAlignment="1">
      <alignment horizontal="left" wrapText="1"/>
    </xf>
    <xf numFmtId="0" fontId="21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164" fontId="9" fillId="7" borderId="70" xfId="0" applyNumberFormat="1" applyFont="1" applyFill="1" applyBorder="1" applyAlignment="1">
      <alignment horizontal="center"/>
    </xf>
    <xf numFmtId="164" fontId="9" fillId="7" borderId="71" xfId="0" applyNumberFormat="1" applyFont="1" applyFill="1" applyBorder="1" applyAlignment="1">
      <alignment horizontal="center"/>
    </xf>
    <xf numFmtId="164" fontId="9" fillId="7" borderId="44" xfId="0" applyNumberFormat="1" applyFont="1" applyFill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9" fillId="0" borderId="15" xfId="0" applyFont="1" applyBorder="1" applyAlignment="1">
      <alignment horizontal="right"/>
    </xf>
    <xf numFmtId="9" fontId="0" fillId="8" borderId="52" xfId="0" applyNumberFormat="1" applyFill="1" applyBorder="1" applyAlignment="1">
      <alignment horizontal="center"/>
    </xf>
    <xf numFmtId="9" fontId="0" fillId="8" borderId="78" xfId="0" applyNumberFormat="1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9" fillId="0" borderId="17" xfId="0" applyFont="1" applyBorder="1" applyAlignment="1">
      <alignment horizontal="center" wrapText="1"/>
    </xf>
    <xf numFmtId="0" fontId="9" fillId="0" borderId="18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9" fillId="0" borderId="1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16" xfId="0" applyFont="1" applyBorder="1" applyAlignment="1">
      <alignment horizontal="center" wrapText="1"/>
    </xf>
    <xf numFmtId="10" fontId="0" fillId="0" borderId="75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59" xfId="0" applyNumberFormat="1" applyBorder="1" applyAlignment="1">
      <alignment horizontal="center"/>
    </xf>
    <xf numFmtId="10" fontId="9" fillId="21" borderId="65" xfId="0" applyNumberFormat="1" applyFont="1" applyFill="1" applyBorder="1" applyAlignment="1">
      <alignment horizontal="center"/>
    </xf>
    <xf numFmtId="10" fontId="9" fillId="21" borderId="66" xfId="0" applyNumberFormat="1" applyFont="1" applyFill="1" applyBorder="1" applyAlignment="1">
      <alignment horizontal="center"/>
    </xf>
    <xf numFmtId="10" fontId="9" fillId="21" borderId="67" xfId="0" applyNumberFormat="1" applyFont="1" applyFill="1" applyBorder="1" applyAlignment="1">
      <alignment horizontal="center"/>
    </xf>
    <xf numFmtId="9" fontId="0" fillId="8" borderId="76" xfId="0" applyNumberFormat="1" applyFill="1" applyBorder="1" applyAlignment="1">
      <alignment horizontal="center"/>
    </xf>
    <xf numFmtId="0" fontId="0" fillId="8" borderId="48" xfId="0" applyFill="1" applyBorder="1" applyAlignment="1">
      <alignment horizontal="center"/>
    </xf>
    <xf numFmtId="9" fontId="0" fillId="8" borderId="54" xfId="0" applyNumberFormat="1" applyFill="1" applyBorder="1" applyAlignment="1">
      <alignment horizontal="center"/>
    </xf>
    <xf numFmtId="9" fontId="0" fillId="8" borderId="40" xfId="0" applyNumberFormat="1" applyFill="1" applyBorder="1" applyAlignment="1">
      <alignment horizontal="center"/>
    </xf>
    <xf numFmtId="165" fontId="9" fillId="7" borderId="75" xfId="0" applyNumberFormat="1" applyFont="1" applyFill="1" applyBorder="1" applyAlignment="1">
      <alignment horizontal="center"/>
    </xf>
    <xf numFmtId="165" fontId="9" fillId="7" borderId="1" xfId="0" applyNumberFormat="1" applyFont="1" applyFill="1" applyBorder="1" applyAlignment="1">
      <alignment horizontal="center"/>
    </xf>
    <xf numFmtId="165" fontId="9" fillId="7" borderId="27" xfId="0" applyNumberFormat="1" applyFont="1" applyFill="1" applyBorder="1" applyAlignment="1">
      <alignment horizontal="center"/>
    </xf>
    <xf numFmtId="164" fontId="9" fillId="8" borderId="24" xfId="0" applyNumberFormat="1" applyFont="1" applyFill="1" applyBorder="1" applyAlignment="1">
      <alignment horizontal="center"/>
    </xf>
    <xf numFmtId="164" fontId="9" fillId="8" borderId="53" xfId="0" applyNumberFormat="1" applyFont="1" applyFill="1" applyBorder="1" applyAlignment="1">
      <alignment horizontal="center"/>
    </xf>
    <xf numFmtId="164" fontId="9" fillId="8" borderId="25" xfId="0" applyNumberFormat="1" applyFont="1" applyFill="1" applyBorder="1" applyAlignment="1">
      <alignment horizontal="center"/>
    </xf>
    <xf numFmtId="10" fontId="0" fillId="0" borderId="61" xfId="0" applyNumberFormat="1" applyBorder="1" applyAlignment="1">
      <alignment horizontal="center"/>
    </xf>
    <xf numFmtId="10" fontId="0" fillId="0" borderId="58" xfId="0" applyNumberFormat="1" applyBorder="1" applyAlignment="1">
      <alignment horizontal="center"/>
    </xf>
    <xf numFmtId="10" fontId="0" fillId="0" borderId="56" xfId="0" applyNumberFormat="1" applyBorder="1" applyAlignment="1">
      <alignment horizontal="center"/>
    </xf>
    <xf numFmtId="174" fontId="21" fillId="0" borderId="0" xfId="5" applyNumberFormat="1" applyFont="1" applyAlignment="1" applyProtection="1">
      <alignment horizontal="left"/>
      <protection locked="0"/>
    </xf>
    <xf numFmtId="2" fontId="6" fillId="3" borderId="0" xfId="5" applyNumberFormat="1" applyFont="1" applyFill="1" applyAlignment="1" applyProtection="1">
      <alignment horizontal="center"/>
      <protection locked="0"/>
    </xf>
    <xf numFmtId="1" fontId="6" fillId="4" borderId="0" xfId="5" applyNumberFormat="1" applyFont="1" applyFill="1" applyAlignment="1" applyProtection="1">
      <alignment horizontal="center"/>
      <protection locked="0"/>
    </xf>
    <xf numFmtId="2" fontId="42" fillId="0" borderId="24" xfId="5" applyNumberFormat="1" applyFont="1" applyBorder="1" applyAlignment="1" applyProtection="1">
      <alignment horizontal="center"/>
      <protection locked="0"/>
    </xf>
    <xf numFmtId="2" fontId="42" fillId="0" borderId="25" xfId="5" applyNumberFormat="1" applyFont="1" applyBorder="1" applyAlignment="1" applyProtection="1">
      <alignment horizontal="center"/>
      <protection locked="0"/>
    </xf>
    <xf numFmtId="0" fontId="32" fillId="0" borderId="24" xfId="0" applyFont="1" applyBorder="1" applyAlignment="1" applyProtection="1">
      <alignment horizontal="center"/>
      <protection hidden="1"/>
    </xf>
    <xf numFmtId="0" fontId="32" fillId="0" borderId="25" xfId="0" applyFont="1" applyBorder="1" applyAlignment="1" applyProtection="1">
      <alignment horizontal="center"/>
      <protection hidden="1"/>
    </xf>
    <xf numFmtId="2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</cellXfs>
  <cellStyles count="11">
    <cellStyle name="Array" xfId="1"/>
    <cellStyle name="Array Enter" xfId="2"/>
    <cellStyle name="Currency" xfId="3" builtinId="4"/>
    <cellStyle name="MacroCode" xfId="4"/>
    <cellStyle name="Normal" xfId="0" builtinId="0"/>
    <cellStyle name="Normal_123" xfId="5"/>
    <cellStyle name="Normal_CASLINK" xfId="6"/>
    <cellStyle name="Normal_Tables" xfId="7"/>
    <cellStyle name="Percent" xfId="8" builtinId="5"/>
    <cellStyle name="Red Text" xfId="9"/>
    <cellStyle name="TopGrey" xfId="10"/>
  </cellStyles>
  <dxfs count="8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6" formatCode="0.000"/>
    </dxf>
    <dxf>
      <numFmt numFmtId="2" formatCode="0.00"/>
    </dxf>
    <dxf>
      <numFmt numFmtId="164" formatCode="0.0%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attachedToolbars" Target="attachedToolbars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47625</xdr:rowOff>
    </xdr:from>
    <xdr:to>
      <xdr:col>0</xdr:col>
      <xdr:colOff>0</xdr:colOff>
      <xdr:row>9</xdr:row>
      <xdr:rowOff>47625</xdr:rowOff>
    </xdr:to>
    <xdr:sp macro="" textlink="">
      <xdr:nvSpPr>
        <xdr:cNvPr id="1027" name="Line 3"/>
        <xdr:cNvSpPr>
          <a:spLocks noChangeShapeType="1"/>
        </xdr:cNvSpPr>
      </xdr:nvSpPr>
      <xdr:spPr bwMode="auto">
        <a:xfrm>
          <a:off x="0" y="2305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40</xdr:row>
      <xdr:rowOff>142875</xdr:rowOff>
    </xdr:from>
    <xdr:to>
      <xdr:col>0</xdr:col>
      <xdr:colOff>0</xdr:colOff>
      <xdr:row>40</xdr:row>
      <xdr:rowOff>142875</xdr:rowOff>
    </xdr:to>
    <xdr:sp macro="" textlink="">
      <xdr:nvSpPr>
        <xdr:cNvPr id="1030" name="Line 6"/>
        <xdr:cNvSpPr>
          <a:spLocks noChangeShapeType="1"/>
        </xdr:cNvSpPr>
      </xdr:nvSpPr>
      <xdr:spPr bwMode="auto">
        <a:xfrm>
          <a:off x="0" y="86201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DB/RMSM_S01/RMSM_S0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LgAbout"/>
      <sheetName val="Module1"/>
      <sheetName val="RX"/>
      <sheetName val="title"/>
      <sheetName val="LCScaleDlg"/>
      <sheetName val="ORD"/>
      <sheetName val="ASU - 123"/>
      <sheetName val="ASU - RMSM"/>
      <sheetName val="FOF"/>
      <sheetName val="DIT"/>
      <sheetName val="SCE"/>
      <sheetName val="CCH"/>
      <sheetName val="SNA"/>
      <sheetName val="BOP"/>
      <sheetName val="BOL"/>
      <sheetName val="GAP"/>
      <sheetName val="TRA"/>
      <sheetName val="GOV"/>
      <sheetName val="MON"/>
      <sheetName val="PRS"/>
      <sheetName val="PIT"/>
      <sheetName val="DEBT1"/>
      <sheetName val="DEBT2"/>
      <sheetName val="DEBT"/>
      <sheetName val="New debt"/>
      <sheetName val="CASLINK"/>
      <sheetName val="ATLASGNP"/>
      <sheetName val="ASU"/>
    </sheetNames>
    <sheetDataSet>
      <sheetData sheetId="0"/>
      <sheetData sheetId="1" refreshError="1"/>
      <sheetData sheetId="2" refreshError="1"/>
      <sheetData sheetId="3"/>
      <sheetData sheetId="4"/>
      <sheetData sheetId="5">
        <row r="1">
          <cell r="D1">
            <v>2000</v>
          </cell>
        </row>
        <row r="5">
          <cell r="D5">
            <v>9055</v>
          </cell>
        </row>
        <row r="6">
          <cell r="D6" t="str">
            <v>VAB</v>
          </cell>
        </row>
        <row r="12">
          <cell r="D12">
            <v>1654.8000000000002</v>
          </cell>
        </row>
        <row r="16">
          <cell r="C16">
            <v>0.84674005080440307</v>
          </cell>
          <cell r="D16">
            <v>1</v>
          </cell>
        </row>
        <row r="26">
          <cell r="D26">
            <v>890</v>
          </cell>
        </row>
        <row r="28">
          <cell r="D28">
            <v>1333</v>
          </cell>
        </row>
        <row r="58">
          <cell r="D58">
            <v>575</v>
          </cell>
        </row>
        <row r="62">
          <cell r="D62">
            <v>88</v>
          </cell>
        </row>
        <row r="63">
          <cell r="D63">
            <v>0</v>
          </cell>
        </row>
        <row r="65">
          <cell r="D65">
            <v>538</v>
          </cell>
        </row>
        <row r="120">
          <cell r="D120">
            <v>3.1107999999999998</v>
          </cell>
        </row>
      </sheetData>
      <sheetData sheetId="6">
        <row r="7">
          <cell r="E7">
            <v>0.05</v>
          </cell>
          <cell r="F7">
            <v>0.05</v>
          </cell>
          <cell r="G7">
            <v>5.5E-2</v>
          </cell>
        </row>
        <row r="8">
          <cell r="E8">
            <v>0.249</v>
          </cell>
          <cell r="F8">
            <v>0.17199999999999999</v>
          </cell>
          <cell r="G8">
            <v>0.13200000000000001</v>
          </cell>
        </row>
        <row r="9">
          <cell r="E9">
            <v>3.6549972390944232</v>
          </cell>
          <cell r="F9">
            <v>4.0999999999999996</v>
          </cell>
          <cell r="G9">
            <v>3.9</v>
          </cell>
        </row>
        <row r="10">
          <cell r="E10">
            <v>2.5000000000000001E-2</v>
          </cell>
          <cell r="F10">
            <v>2.5000000000000001E-2</v>
          </cell>
          <cell r="G10">
            <v>2.5000000000000001E-2</v>
          </cell>
          <cell r="H10">
            <v>2.5000000000000001E-2</v>
          </cell>
          <cell r="I10">
            <v>2.5000000000000001E-2</v>
          </cell>
          <cell r="J10">
            <v>2.5000000000000001E-2</v>
          </cell>
          <cell r="K10">
            <v>2.5000000000000001E-2</v>
          </cell>
          <cell r="L10">
            <v>2.5000000000000001E-2</v>
          </cell>
          <cell r="M10">
            <v>2.5000000000000001E-2</v>
          </cell>
          <cell r="N10">
            <v>2.5000000000000001E-2</v>
          </cell>
          <cell r="O10">
            <v>2.5000000000000001E-2</v>
          </cell>
          <cell r="P10">
            <v>2.5000000000000001E-2</v>
          </cell>
          <cell r="Q10">
            <v>2.5000000000000001E-2</v>
          </cell>
        </row>
        <row r="11">
          <cell r="E11">
            <v>0.02</v>
          </cell>
          <cell r="F11">
            <v>0.02</v>
          </cell>
          <cell r="G11">
            <v>0.02</v>
          </cell>
          <cell r="H11">
            <v>0.02</v>
          </cell>
          <cell r="I11">
            <v>0.02</v>
          </cell>
          <cell r="J11">
            <v>0.02</v>
          </cell>
          <cell r="K11">
            <v>0.02</v>
          </cell>
          <cell r="L11">
            <v>0.02</v>
          </cell>
          <cell r="M11">
            <v>0.02</v>
          </cell>
          <cell r="N11">
            <v>0.02</v>
          </cell>
          <cell r="O11">
            <v>0.02</v>
          </cell>
          <cell r="P11">
            <v>0.02</v>
          </cell>
          <cell r="Q11">
            <v>0.02</v>
          </cell>
        </row>
        <row r="43">
          <cell r="E43">
            <v>3</v>
          </cell>
          <cell r="F43">
            <v>3</v>
          </cell>
          <cell r="G43">
            <v>3</v>
          </cell>
          <cell r="H43">
            <v>3</v>
          </cell>
          <cell r="I43">
            <v>3</v>
          </cell>
          <cell r="J43">
            <v>3</v>
          </cell>
          <cell r="K43">
            <v>3</v>
          </cell>
          <cell r="L43">
            <v>3</v>
          </cell>
          <cell r="M43">
            <v>3</v>
          </cell>
          <cell r="N43">
            <v>3</v>
          </cell>
          <cell r="O43">
            <v>3</v>
          </cell>
          <cell r="P43">
            <v>3</v>
          </cell>
          <cell r="Q43">
            <v>3</v>
          </cell>
        </row>
        <row r="44">
          <cell r="E44">
            <v>2.2999999999999998</v>
          </cell>
          <cell r="F44">
            <v>2.5</v>
          </cell>
          <cell r="G44">
            <v>2.5</v>
          </cell>
          <cell r="H44">
            <v>2.5</v>
          </cell>
          <cell r="I44">
            <v>2.5</v>
          </cell>
          <cell r="J44">
            <v>2.5</v>
          </cell>
          <cell r="K44">
            <v>2.5</v>
          </cell>
          <cell r="L44">
            <v>2.5</v>
          </cell>
          <cell r="M44">
            <v>2.5</v>
          </cell>
          <cell r="N44">
            <v>2.5</v>
          </cell>
          <cell r="O44">
            <v>2.5</v>
          </cell>
          <cell r="P44">
            <v>2.5</v>
          </cell>
          <cell r="Q44">
            <v>2.5</v>
          </cell>
        </row>
        <row r="57"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</row>
        <row r="59"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</row>
        <row r="63"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6"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</row>
        <row r="69"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7">
          <cell r="E77">
            <v>0.21992544900033884</v>
          </cell>
          <cell r="F77">
            <v>3.7037037037036979E-2</v>
          </cell>
          <cell r="G77">
            <v>3.5714285714285809E-2</v>
          </cell>
          <cell r="H77">
            <v>3.8068498171749621E-2</v>
          </cell>
          <cell r="I77">
            <v>3.8068498171749621E-2</v>
          </cell>
          <cell r="J77">
            <v>7.8749885178921505E-3</v>
          </cell>
          <cell r="K77">
            <v>7.8749885178921505E-3</v>
          </cell>
          <cell r="L77">
            <v>7.8749885178921505E-3</v>
          </cell>
          <cell r="M77">
            <v>7.8749885178921505E-3</v>
          </cell>
          <cell r="N77">
            <v>7.8749885178921505E-3</v>
          </cell>
          <cell r="O77">
            <v>7.8749885178921505E-3</v>
          </cell>
          <cell r="P77">
            <v>7.8749885178921505E-3</v>
          </cell>
          <cell r="Q77">
            <v>7.8749885178921505E-3</v>
          </cell>
        </row>
        <row r="78">
          <cell r="E78">
            <v>5.8774449368238058E-2</v>
          </cell>
          <cell r="F78">
            <v>3.0615856389651697E-2</v>
          </cell>
          <cell r="G78">
            <v>2.4424079978598634E-2</v>
          </cell>
          <cell r="H78">
            <v>2.2228007971235808E-2</v>
          </cell>
          <cell r="I78">
            <v>2.0396556880277306E-2</v>
          </cell>
          <cell r="J78">
            <v>2.0396556880277306E-2</v>
          </cell>
          <cell r="K78">
            <v>2.0396556880277306E-2</v>
          </cell>
          <cell r="L78">
            <v>2.0396556880277306E-2</v>
          </cell>
          <cell r="M78">
            <v>2.0396556880277306E-2</v>
          </cell>
          <cell r="N78">
            <v>2.0396556880277306E-2</v>
          </cell>
          <cell r="O78">
            <v>2.0396556880277306E-2</v>
          </cell>
          <cell r="P78">
            <v>2.0396556880277306E-2</v>
          </cell>
          <cell r="Q78">
            <v>2.0396556880277306E-2</v>
          </cell>
        </row>
        <row r="79">
          <cell r="E79">
            <v>7.0377308001070338E-2</v>
          </cell>
          <cell r="F79">
            <v>8.3333333333333259E-2</v>
          </cell>
          <cell r="G79">
            <v>3.076923076923066E-2</v>
          </cell>
          <cell r="H79">
            <v>2.2142905567995808E-2</v>
          </cell>
          <cell r="I79">
            <v>2.2142905567995808E-2</v>
          </cell>
          <cell r="J79">
            <v>1.3894214014664508E-2</v>
          </cell>
          <cell r="K79">
            <v>1.3894214014664508E-2</v>
          </cell>
          <cell r="L79">
            <v>1.3894214014664508E-2</v>
          </cell>
          <cell r="M79">
            <v>1.3894214014664508E-2</v>
          </cell>
          <cell r="N79">
            <v>1.3894214014664508E-2</v>
          </cell>
          <cell r="O79">
            <v>1.3894214014664508E-2</v>
          </cell>
          <cell r="P79">
            <v>1.3894214014664508E-2</v>
          </cell>
          <cell r="Q79">
            <v>1.3894214014664508E-2</v>
          </cell>
        </row>
        <row r="80">
          <cell r="E80">
            <v>5.8774449368238058E-2</v>
          </cell>
          <cell r="F80">
            <v>3.0615856389651697E-2</v>
          </cell>
          <cell r="G80">
            <v>2.4424079978598634E-2</v>
          </cell>
          <cell r="H80">
            <v>2.2228007971235808E-2</v>
          </cell>
          <cell r="I80">
            <v>2.0396556880277306E-2</v>
          </cell>
          <cell r="J80">
            <v>2.0396556880277306E-2</v>
          </cell>
          <cell r="K80">
            <v>2.0396556880277306E-2</v>
          </cell>
          <cell r="L80">
            <v>2.0396556880277306E-2</v>
          </cell>
          <cell r="M80">
            <v>2.0396556880277306E-2</v>
          </cell>
          <cell r="N80">
            <v>2.0396556880277306E-2</v>
          </cell>
          <cell r="O80">
            <v>2.0396556880277306E-2</v>
          </cell>
          <cell r="P80">
            <v>2.0396556880277306E-2</v>
          </cell>
          <cell r="Q80">
            <v>2.0396556880277306E-2</v>
          </cell>
        </row>
        <row r="81">
          <cell r="E81">
            <v>-0.11441728657456607</v>
          </cell>
          <cell r="F81">
            <v>-0.16</v>
          </cell>
          <cell r="G81">
            <v>-4.7619047619047672E-2</v>
          </cell>
          <cell r="H81">
            <v>-5.1316701949486232E-2</v>
          </cell>
          <cell r="I81">
            <v>-5.1316701949486232E-2</v>
          </cell>
          <cell r="J81">
            <v>1.087212085035083E-2</v>
          </cell>
          <cell r="K81">
            <v>1.087212085035083E-2</v>
          </cell>
          <cell r="L81">
            <v>1.087212085035083E-2</v>
          </cell>
          <cell r="M81">
            <v>1.087212085035083E-2</v>
          </cell>
          <cell r="N81">
            <v>1.087212085035083E-2</v>
          </cell>
          <cell r="O81">
            <v>1.087212085035083E-2</v>
          </cell>
          <cell r="P81">
            <v>1.087212085035083E-2</v>
          </cell>
          <cell r="Q81">
            <v>1.087212085035083E-2</v>
          </cell>
        </row>
        <row r="82">
          <cell r="E82">
            <v>5.8774449368238058E-2</v>
          </cell>
          <cell r="F82">
            <v>3.0615856389651697E-2</v>
          </cell>
          <cell r="G82">
            <v>2.4424079978598634E-2</v>
          </cell>
          <cell r="H82">
            <v>2.2228007971235808E-2</v>
          </cell>
          <cell r="I82">
            <v>2.0396556880277306E-2</v>
          </cell>
          <cell r="J82">
            <v>2.0396556880277306E-2</v>
          </cell>
          <cell r="K82">
            <v>2.0396556880277306E-2</v>
          </cell>
          <cell r="L82">
            <v>2.0396556880277306E-2</v>
          </cell>
          <cell r="M82">
            <v>2.0396556880277306E-2</v>
          </cell>
          <cell r="N82">
            <v>2.0396556880277306E-2</v>
          </cell>
          <cell r="O82">
            <v>2.0396556880277306E-2</v>
          </cell>
          <cell r="P82">
            <v>2.0396556880277306E-2</v>
          </cell>
          <cell r="Q82">
            <v>2.0396556880277306E-2</v>
          </cell>
        </row>
        <row r="83">
          <cell r="E83">
            <v>5.8774449368238058E-2</v>
          </cell>
          <cell r="F83">
            <v>3.0615856389651697E-2</v>
          </cell>
          <cell r="G83">
            <v>2.4424079978598634E-2</v>
          </cell>
          <cell r="H83">
            <v>2.2228007971235808E-2</v>
          </cell>
          <cell r="I83">
            <v>2.0396556880277306E-2</v>
          </cell>
          <cell r="J83">
            <v>2.0396556880277306E-2</v>
          </cell>
          <cell r="K83">
            <v>2.0396556880277306E-2</v>
          </cell>
          <cell r="L83">
            <v>2.0396556880277306E-2</v>
          </cell>
          <cell r="M83">
            <v>2.0396556880277306E-2</v>
          </cell>
          <cell r="N83">
            <v>2.0396556880277306E-2</v>
          </cell>
          <cell r="O83">
            <v>2.0396556880277306E-2</v>
          </cell>
          <cell r="P83">
            <v>2.0396556880277306E-2</v>
          </cell>
          <cell r="Q83">
            <v>2.0396556880277306E-2</v>
          </cell>
        </row>
        <row r="86">
          <cell r="E86">
            <v>6.1500879529300168E-2</v>
          </cell>
          <cell r="F86">
            <v>3.8961038961038863E-2</v>
          </cell>
          <cell r="G86">
            <v>0.05</v>
          </cell>
          <cell r="H86">
            <v>2.3532631438317964E-2</v>
          </cell>
          <cell r="I86">
            <v>2.3532631438317964E-2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E87">
            <v>4.2345276872964188E-2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E88">
            <v>7.953293677021378E-2</v>
          </cell>
          <cell r="F88">
            <v>6.1224489795918435E-2</v>
          </cell>
          <cell r="G88">
            <v>5.7692307692307709E-2</v>
          </cell>
          <cell r="H88">
            <v>4.4465935734187001E-2</v>
          </cell>
          <cell r="I88">
            <v>4.4465935734187001E-2</v>
          </cell>
          <cell r="J88">
            <v>1.299136822423641E-2</v>
          </cell>
          <cell r="K88">
            <v>1.299136822423641E-2</v>
          </cell>
          <cell r="L88">
            <v>1.299136822423641E-2</v>
          </cell>
          <cell r="M88">
            <v>1.299136822423641E-2</v>
          </cell>
          <cell r="N88">
            <v>1.299136822423641E-2</v>
          </cell>
          <cell r="O88">
            <v>1.299136822423641E-2</v>
          </cell>
          <cell r="P88">
            <v>1.299136822423641E-2</v>
          </cell>
          <cell r="Q88">
            <v>1.299136822423641E-2</v>
          </cell>
        </row>
        <row r="89">
          <cell r="E89">
            <v>-2.4909139260703816E-2</v>
          </cell>
          <cell r="F89">
            <v>2.2727272727272707E-2</v>
          </cell>
          <cell r="G89">
            <v>2.2222222222222143E-2</v>
          </cell>
          <cell r="H89">
            <v>2.1507836910498401E-2</v>
          </cell>
          <cell r="I89">
            <v>2.1507836910498401E-2</v>
          </cell>
          <cell r="J89">
            <v>8.197818497166498E-3</v>
          </cell>
          <cell r="K89">
            <v>8.197818497166498E-3</v>
          </cell>
          <cell r="L89">
            <v>8.197818497166498E-3</v>
          </cell>
          <cell r="M89">
            <v>8.197818497166498E-3</v>
          </cell>
          <cell r="N89">
            <v>8.197818497166498E-3</v>
          </cell>
          <cell r="O89">
            <v>8.197818497166498E-3</v>
          </cell>
          <cell r="P89">
            <v>8.197818497166498E-3</v>
          </cell>
          <cell r="Q89">
            <v>8.197818497166498E-3</v>
          </cell>
        </row>
        <row r="90">
          <cell r="E90">
            <v>0.01</v>
          </cell>
          <cell r="F90">
            <v>0.01</v>
          </cell>
          <cell r="G90">
            <v>0.01</v>
          </cell>
          <cell r="H90">
            <v>0.01</v>
          </cell>
          <cell r="I90">
            <v>0.01</v>
          </cell>
          <cell r="J90">
            <v>0.01</v>
          </cell>
          <cell r="K90">
            <v>0.01</v>
          </cell>
          <cell r="L90">
            <v>0.01</v>
          </cell>
          <cell r="M90">
            <v>0.01</v>
          </cell>
          <cell r="N90">
            <v>0.01</v>
          </cell>
          <cell r="O90">
            <v>0.01</v>
          </cell>
          <cell r="P90">
            <v>0.01</v>
          </cell>
          <cell r="Q90">
            <v>0.01</v>
          </cell>
        </row>
        <row r="91">
          <cell r="E91">
            <v>5.8774449368238058E-2</v>
          </cell>
          <cell r="F91">
            <v>3.0615856389651697E-2</v>
          </cell>
          <cell r="G91">
            <v>2.4424079978598634E-2</v>
          </cell>
          <cell r="H91">
            <v>2.2228007971235808E-2</v>
          </cell>
          <cell r="I91">
            <v>2.0396556880277306E-2</v>
          </cell>
          <cell r="J91">
            <v>2.0396556880277306E-2</v>
          </cell>
          <cell r="K91">
            <v>2.0396556880277306E-2</v>
          </cell>
          <cell r="L91">
            <v>2.0396556880277306E-2</v>
          </cell>
          <cell r="M91">
            <v>2.0396556880277306E-2</v>
          </cell>
          <cell r="N91">
            <v>2.0396556880277306E-2</v>
          </cell>
          <cell r="O91">
            <v>2.0396556880277306E-2</v>
          </cell>
          <cell r="P91">
            <v>2.0396556880277306E-2</v>
          </cell>
          <cell r="Q91">
            <v>2.0396556880277306E-2</v>
          </cell>
        </row>
        <row r="92">
          <cell r="E92">
            <v>5.8774449368238058E-2</v>
          </cell>
          <cell r="F92">
            <v>3.0615856389651697E-2</v>
          </cell>
          <cell r="G92">
            <v>2.4424079978598634E-2</v>
          </cell>
          <cell r="H92">
            <v>2.2228007971235808E-2</v>
          </cell>
          <cell r="I92">
            <v>2.0396556880277306E-2</v>
          </cell>
          <cell r="J92">
            <v>2.0396556880277306E-2</v>
          </cell>
          <cell r="K92">
            <v>2.0396556880277306E-2</v>
          </cell>
          <cell r="L92">
            <v>2.0396556880277306E-2</v>
          </cell>
          <cell r="M92">
            <v>2.0396556880277306E-2</v>
          </cell>
          <cell r="N92">
            <v>2.0396556880277306E-2</v>
          </cell>
          <cell r="O92">
            <v>2.0396556880277306E-2</v>
          </cell>
          <cell r="P92">
            <v>2.0396556880277306E-2</v>
          </cell>
          <cell r="Q92">
            <v>2.0396556880277306E-2</v>
          </cell>
        </row>
        <row r="93">
          <cell r="E93">
            <v>5.8774449368238058E-2</v>
          </cell>
          <cell r="F93">
            <v>3.0615856389651697E-2</v>
          </cell>
          <cell r="G93">
            <v>2.4424079978598634E-2</v>
          </cell>
          <cell r="H93">
            <v>2.2228007971235808E-2</v>
          </cell>
          <cell r="I93">
            <v>2.0396556880277306E-2</v>
          </cell>
          <cell r="J93">
            <v>2.0396556880277306E-2</v>
          </cell>
          <cell r="K93">
            <v>2.0396556880277306E-2</v>
          </cell>
          <cell r="L93">
            <v>2.0396556880277306E-2</v>
          </cell>
          <cell r="M93">
            <v>2.0396556880277306E-2</v>
          </cell>
          <cell r="N93">
            <v>2.0396556880277306E-2</v>
          </cell>
          <cell r="O93">
            <v>2.0396556880277306E-2</v>
          </cell>
          <cell r="P93">
            <v>2.0396556880277306E-2</v>
          </cell>
          <cell r="Q93">
            <v>2.0396556880277306E-2</v>
          </cell>
        </row>
        <row r="96"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</row>
        <row r="97">
          <cell r="E97">
            <v>9.0991920535919618E-2</v>
          </cell>
          <cell r="F97">
            <v>6.8045679760293881E-2</v>
          </cell>
          <cell r="G97">
            <v>6.5000000000000002E-2</v>
          </cell>
          <cell r="H97">
            <v>6.5000000000000002E-2</v>
          </cell>
          <cell r="I97">
            <v>6.5000000000000002E-2</v>
          </cell>
          <cell r="J97">
            <v>6.5000000000000002E-2</v>
          </cell>
          <cell r="K97">
            <v>6.5000000000000002E-2</v>
          </cell>
          <cell r="L97">
            <v>6.5000000000000002E-2</v>
          </cell>
          <cell r="M97">
            <v>6.5000000000000002E-2</v>
          </cell>
          <cell r="N97">
            <v>6.5000000000000002E-2</v>
          </cell>
          <cell r="O97">
            <v>6.5000000000000002E-2</v>
          </cell>
          <cell r="P97">
            <v>6.5000000000000002E-2</v>
          </cell>
          <cell r="Q97">
            <v>6.5000000000000002E-2</v>
          </cell>
        </row>
        <row r="98">
          <cell r="E98">
            <v>1.0000000000000001E-5</v>
          </cell>
          <cell r="F98">
            <v>1.0000000000000001E-5</v>
          </cell>
          <cell r="G98">
            <v>0.05</v>
          </cell>
          <cell r="H98">
            <v>0.05</v>
          </cell>
          <cell r="I98">
            <v>0.05</v>
          </cell>
          <cell r="J98">
            <v>0.05</v>
          </cell>
          <cell r="K98">
            <v>0.05</v>
          </cell>
          <cell r="L98">
            <v>0.05</v>
          </cell>
          <cell r="M98">
            <v>0.05</v>
          </cell>
          <cell r="N98">
            <v>0.05</v>
          </cell>
          <cell r="O98">
            <v>0.05</v>
          </cell>
          <cell r="P98">
            <v>0.05</v>
          </cell>
          <cell r="Q98">
            <v>0.05</v>
          </cell>
        </row>
        <row r="99"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</row>
        <row r="100">
          <cell r="E100">
            <v>18</v>
          </cell>
          <cell r="F100">
            <v>19</v>
          </cell>
          <cell r="G100">
            <v>20</v>
          </cell>
          <cell r="H100">
            <v>21</v>
          </cell>
          <cell r="I100">
            <v>22</v>
          </cell>
          <cell r="J100">
            <v>23</v>
          </cell>
          <cell r="K100">
            <v>24</v>
          </cell>
          <cell r="L100">
            <v>25</v>
          </cell>
          <cell r="M100">
            <v>26</v>
          </cell>
          <cell r="N100">
            <v>27</v>
          </cell>
          <cell r="O100">
            <v>28</v>
          </cell>
          <cell r="P100">
            <v>29</v>
          </cell>
          <cell r="Q100">
            <v>30</v>
          </cell>
        </row>
        <row r="101"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E102">
            <v>1</v>
          </cell>
          <cell r="F102">
            <v>1</v>
          </cell>
          <cell r="G102">
            <v>1</v>
          </cell>
          <cell r="H102">
            <v>1</v>
          </cell>
          <cell r="I102">
            <v>1</v>
          </cell>
          <cell r="J102">
            <v>1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</row>
        <row r="105"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E106">
            <v>0.05</v>
          </cell>
          <cell r="F106">
            <v>0.05</v>
          </cell>
          <cell r="G106">
            <v>0.05</v>
          </cell>
          <cell r="H106">
            <v>0.05</v>
          </cell>
          <cell r="I106">
            <v>0.05</v>
          </cell>
          <cell r="J106">
            <v>0.05</v>
          </cell>
          <cell r="K106">
            <v>0.05</v>
          </cell>
          <cell r="L106">
            <v>0.05</v>
          </cell>
          <cell r="M106">
            <v>0.05</v>
          </cell>
          <cell r="N106">
            <v>0.05</v>
          </cell>
          <cell r="O106">
            <v>0.05</v>
          </cell>
          <cell r="P106">
            <v>0.05</v>
          </cell>
          <cell r="Q106">
            <v>0.05</v>
          </cell>
        </row>
        <row r="107"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E108">
            <v>0.11111111111111104</v>
          </cell>
          <cell r="F108">
            <v>0.15</v>
          </cell>
          <cell r="G108">
            <v>0.34782608695652217</v>
          </cell>
          <cell r="H108">
            <v>0.1</v>
          </cell>
          <cell r="I108">
            <v>0.05</v>
          </cell>
          <cell r="J108">
            <v>0.05</v>
          </cell>
          <cell r="K108">
            <v>0.05</v>
          </cell>
          <cell r="L108">
            <v>0.05</v>
          </cell>
          <cell r="M108">
            <v>0.05</v>
          </cell>
          <cell r="N108">
            <v>0.05</v>
          </cell>
          <cell r="O108">
            <v>0.05</v>
          </cell>
          <cell r="P108">
            <v>0.05</v>
          </cell>
          <cell r="Q108">
            <v>0.05</v>
          </cell>
        </row>
        <row r="111">
          <cell r="E111">
            <v>140</v>
          </cell>
          <cell r="F111">
            <v>150</v>
          </cell>
          <cell r="G111">
            <v>160</v>
          </cell>
          <cell r="H111">
            <v>220</v>
          </cell>
          <cell r="I111">
            <v>261.41959374999988</v>
          </cell>
          <cell r="J111">
            <v>265.34088765624983</v>
          </cell>
          <cell r="K111">
            <v>269.32100097109355</v>
          </cell>
          <cell r="L111">
            <v>273.36081598565994</v>
          </cell>
          <cell r="M111">
            <v>277.46122822544481</v>
          </cell>
          <cell r="N111">
            <v>281.62314664882643</v>
          </cell>
          <cell r="O111">
            <v>285.84749384855883</v>
          </cell>
          <cell r="P111">
            <v>290.13520625628718</v>
          </cell>
          <cell r="Q111">
            <v>319.14872688191593</v>
          </cell>
        </row>
        <row r="112"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1</v>
          </cell>
          <cell r="Q112">
            <v>1</v>
          </cell>
        </row>
        <row r="113">
          <cell r="E113">
            <v>300</v>
          </cell>
          <cell r="F113">
            <v>305</v>
          </cell>
          <cell r="G113">
            <v>310</v>
          </cell>
          <cell r="H113">
            <v>312</v>
          </cell>
          <cell r="I113">
            <v>314</v>
          </cell>
          <cell r="J113">
            <v>316</v>
          </cell>
          <cell r="K113">
            <v>318</v>
          </cell>
          <cell r="L113">
            <v>320</v>
          </cell>
          <cell r="M113">
            <v>322</v>
          </cell>
          <cell r="N113">
            <v>324</v>
          </cell>
          <cell r="O113">
            <v>326</v>
          </cell>
          <cell r="P113">
            <v>328</v>
          </cell>
          <cell r="Q113">
            <v>330</v>
          </cell>
        </row>
        <row r="114">
          <cell r="E114">
            <v>0.99836560720888901</v>
          </cell>
          <cell r="F114">
            <v>1</v>
          </cell>
          <cell r="G114">
            <v>1</v>
          </cell>
          <cell r="H114">
            <v>1</v>
          </cell>
          <cell r="I114">
            <v>1</v>
          </cell>
          <cell r="J114">
            <v>1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</row>
        <row r="115"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</row>
        <row r="116">
          <cell r="E116">
            <v>-15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</row>
        <row r="117"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</row>
        <row r="120">
          <cell r="E120">
            <v>1.8458270706568172</v>
          </cell>
          <cell r="F120">
            <v>2.5175421438847723</v>
          </cell>
          <cell r="G120">
            <v>2.9555620098751145</v>
          </cell>
          <cell r="H120">
            <v>4</v>
          </cell>
          <cell r="I120">
            <v>4</v>
          </cell>
          <cell r="J120">
            <v>4</v>
          </cell>
          <cell r="K120">
            <v>4</v>
          </cell>
          <cell r="L120">
            <v>4</v>
          </cell>
          <cell r="M120">
            <v>4</v>
          </cell>
          <cell r="N120">
            <v>4</v>
          </cell>
          <cell r="O120">
            <v>4</v>
          </cell>
          <cell r="P120">
            <v>4</v>
          </cell>
          <cell r="Q120">
            <v>4</v>
          </cell>
        </row>
        <row r="121"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</row>
        <row r="122">
          <cell r="E122">
            <v>-1.4442891445364148E-2</v>
          </cell>
          <cell r="F122">
            <v>0</v>
          </cell>
          <cell r="G122">
            <v>0</v>
          </cell>
          <cell r="H122">
            <v>0</v>
          </cell>
          <cell r="I122">
            <v>1.7554577175587616E-2</v>
          </cell>
          <cell r="J122">
            <v>1.7554577175587616E-2</v>
          </cell>
          <cell r="K122">
            <v>1.7554577175587616E-2</v>
          </cell>
          <cell r="L122">
            <v>1.7554577175587616E-2</v>
          </cell>
          <cell r="M122">
            <v>1.7554577175587616E-2</v>
          </cell>
          <cell r="N122">
            <v>1.7554577175587616E-2</v>
          </cell>
          <cell r="O122">
            <v>1.7554577175587616E-2</v>
          </cell>
          <cell r="P122">
            <v>1.7554577175587616E-2</v>
          </cell>
          <cell r="Q122">
            <v>1.7554577175587616E-2</v>
          </cell>
        </row>
        <row r="129">
          <cell r="E129">
            <v>1.5514284574786296E-2</v>
          </cell>
          <cell r="F129">
            <v>1.5514284574786296E-2</v>
          </cell>
          <cell r="G129">
            <v>1.5514284574786296E-2</v>
          </cell>
          <cell r="H129">
            <v>1.5514284574786296E-2</v>
          </cell>
          <cell r="I129">
            <v>1.5514284574786296E-2</v>
          </cell>
          <cell r="J129">
            <v>1.5514284574786296E-2</v>
          </cell>
          <cell r="K129">
            <v>1.5514284574786296E-2</v>
          </cell>
          <cell r="L129">
            <v>1.5514284574786296E-2</v>
          </cell>
          <cell r="M129">
            <v>1.5514284574786296E-2</v>
          </cell>
          <cell r="N129">
            <v>1.5514284574786296E-2</v>
          </cell>
          <cell r="O129">
            <v>1.5514284574786296E-2</v>
          </cell>
          <cell r="P129">
            <v>1.5514284574786296E-2</v>
          </cell>
          <cell r="Q129">
            <v>1.5514284574786296E-2</v>
          </cell>
        </row>
        <row r="165">
          <cell r="E165">
            <v>-4.3553922137134223E-2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71">
          <cell r="E171">
            <v>0.10057447318789731</v>
          </cell>
          <cell r="F171">
            <v>8.3372833120815587E-2</v>
          </cell>
          <cell r="G171">
            <v>7.0000000000000007E-2</v>
          </cell>
          <cell r="H171">
            <v>0.06</v>
          </cell>
          <cell r="I171">
            <v>0.05</v>
          </cell>
          <cell r="J171">
            <v>0.04</v>
          </cell>
          <cell r="K171">
            <v>0.03</v>
          </cell>
          <cell r="L171">
            <v>0.02</v>
          </cell>
          <cell r="M171">
            <v>0.01</v>
          </cell>
          <cell r="N171">
            <v>0.01</v>
          </cell>
          <cell r="O171">
            <v>0.01</v>
          </cell>
          <cell r="P171">
            <v>0.01</v>
          </cell>
          <cell r="Q171">
            <v>0.01</v>
          </cell>
        </row>
        <row r="172">
          <cell r="E172">
            <v>2.6541033434650456E-3</v>
          </cell>
          <cell r="F172">
            <v>2.6541033434650456E-3</v>
          </cell>
          <cell r="G172">
            <v>2.6541033434650456E-3</v>
          </cell>
          <cell r="H172">
            <v>2.6541033434650456E-3</v>
          </cell>
          <cell r="I172">
            <v>2.6541033434650456E-3</v>
          </cell>
          <cell r="J172">
            <v>2.6541033434650456E-3</v>
          </cell>
          <cell r="K172">
            <v>2.6541033434650456E-3</v>
          </cell>
          <cell r="L172">
            <v>2.6541033434650456E-3</v>
          </cell>
          <cell r="M172">
            <v>2.6541033434650456E-3</v>
          </cell>
          <cell r="N172">
            <v>2.6541033434650456E-3</v>
          </cell>
          <cell r="O172">
            <v>2.6541033434650456E-3</v>
          </cell>
          <cell r="P172">
            <v>2.6541033434650456E-3</v>
          </cell>
          <cell r="Q172">
            <v>2.6541033434650456E-3</v>
          </cell>
        </row>
        <row r="175"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</row>
        <row r="176"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</row>
        <row r="177">
          <cell r="E177">
            <v>4.9369286825126313E-2</v>
          </cell>
          <cell r="F177">
            <v>0.11</v>
          </cell>
          <cell r="G177">
            <v>0.1</v>
          </cell>
          <cell r="H177">
            <v>0.09</v>
          </cell>
          <cell r="I177">
            <v>0.08</v>
          </cell>
          <cell r="J177">
            <v>7.0000000000000007E-2</v>
          </cell>
          <cell r="K177">
            <v>0.06</v>
          </cell>
          <cell r="L177">
            <v>0.05</v>
          </cell>
          <cell r="M177">
            <v>0.05</v>
          </cell>
          <cell r="N177">
            <v>0.05</v>
          </cell>
          <cell r="O177">
            <v>0.05</v>
          </cell>
          <cell r="P177">
            <v>0.05</v>
          </cell>
          <cell r="Q177">
            <v>0.05</v>
          </cell>
        </row>
        <row r="178">
          <cell r="E178">
            <v>8.7209626674021434E-2</v>
          </cell>
          <cell r="F178">
            <v>8.7209626674021434E-2</v>
          </cell>
          <cell r="G178">
            <v>8.7209626674021434E-2</v>
          </cell>
          <cell r="H178">
            <v>8.7209626674021434E-2</v>
          </cell>
          <cell r="I178">
            <v>8.7209626674021434E-2</v>
          </cell>
          <cell r="J178">
            <v>8.7209626674021434E-2</v>
          </cell>
          <cell r="K178">
            <v>8.7209626674021434E-2</v>
          </cell>
          <cell r="L178">
            <v>8.7209626674021434E-2</v>
          </cell>
          <cell r="M178">
            <v>8.7209626674021434E-2</v>
          </cell>
          <cell r="N178">
            <v>8.7209626674021434E-2</v>
          </cell>
          <cell r="O178">
            <v>8.7209626674021434E-2</v>
          </cell>
          <cell r="P178">
            <v>8.7209626674021434E-2</v>
          </cell>
          <cell r="Q178">
            <v>8.7209626674021434E-2</v>
          </cell>
        </row>
        <row r="179">
          <cell r="E179">
            <v>-0.19935948759007216</v>
          </cell>
          <cell r="F179">
            <v>-0.14675767918088733</v>
          </cell>
          <cell r="G179">
            <v>-0.11660777385159016</v>
          </cell>
          <cell r="H179">
            <v>-6.5420560747663559E-2</v>
          </cell>
          <cell r="I179">
            <v>-3.8461538461538547E-2</v>
          </cell>
          <cell r="J179">
            <v>-3.8461538461538547E-2</v>
          </cell>
          <cell r="K179">
            <v>-3.8461538461538547E-2</v>
          </cell>
          <cell r="L179">
            <v>-3.8461538461538547E-2</v>
          </cell>
          <cell r="M179">
            <v>-3.8461538461538547E-2</v>
          </cell>
          <cell r="N179">
            <v>-3.8461538461538547E-2</v>
          </cell>
          <cell r="O179">
            <v>-3.8461538461538547E-2</v>
          </cell>
          <cell r="P179">
            <v>-3.8461538461538547E-2</v>
          </cell>
          <cell r="Q179">
            <v>-3.8461538461538547E-2</v>
          </cell>
        </row>
        <row r="182">
          <cell r="E182">
            <v>4.2396200607484724</v>
          </cell>
          <cell r="F182">
            <v>4.4000000000000004</v>
          </cell>
          <cell r="G182">
            <v>4.5</v>
          </cell>
          <cell r="H182">
            <v>4.4000000000000004</v>
          </cell>
          <cell r="I182">
            <v>4.4000000000000004</v>
          </cell>
          <cell r="J182">
            <v>4.4000000000000004</v>
          </cell>
          <cell r="K182">
            <v>4.4000000000000004</v>
          </cell>
          <cell r="L182">
            <v>4.4000000000000004</v>
          </cell>
          <cell r="M182">
            <v>4.4000000000000004</v>
          </cell>
          <cell r="N182">
            <v>4.4000000000000004</v>
          </cell>
          <cell r="O182">
            <v>4.4000000000000004</v>
          </cell>
          <cell r="P182">
            <v>4.4000000000000004</v>
          </cell>
          <cell r="Q182">
            <v>4.4000000000000004</v>
          </cell>
        </row>
        <row r="183"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</row>
        <row r="185">
          <cell r="E185">
            <v>0.15589423076923081</v>
          </cell>
          <cell r="F185">
            <v>0.15589423076923081</v>
          </cell>
          <cell r="G185">
            <v>0.15589423076923081</v>
          </cell>
          <cell r="H185">
            <v>0.15589423076923081</v>
          </cell>
          <cell r="I185">
            <v>0.15589423076923081</v>
          </cell>
          <cell r="J185">
            <v>0.15589423076923081</v>
          </cell>
          <cell r="K185">
            <v>0.15589423076923081</v>
          </cell>
          <cell r="L185">
            <v>0.15589423076923081</v>
          </cell>
          <cell r="M185">
            <v>0.15589423076923081</v>
          </cell>
          <cell r="N185">
            <v>0.15589423076923081</v>
          </cell>
          <cell r="O185">
            <v>0.15589423076923081</v>
          </cell>
          <cell r="P185">
            <v>0.15589423076923081</v>
          </cell>
          <cell r="Q185">
            <v>0.15589423076923081</v>
          </cell>
        </row>
        <row r="186">
          <cell r="E186">
            <v>0.20000167224080267</v>
          </cell>
          <cell r="F186">
            <v>0.20000167224080267</v>
          </cell>
          <cell r="G186">
            <v>0.20000167224080267</v>
          </cell>
          <cell r="H186">
            <v>0.20000167224080267</v>
          </cell>
          <cell r="I186">
            <v>0.20000167224080267</v>
          </cell>
          <cell r="J186">
            <v>0.20000167224080267</v>
          </cell>
          <cell r="K186">
            <v>0.20000167224080267</v>
          </cell>
          <cell r="L186">
            <v>0.20000167224080267</v>
          </cell>
          <cell r="M186">
            <v>0.20000167224080267</v>
          </cell>
          <cell r="N186">
            <v>0.20000167224080267</v>
          </cell>
          <cell r="O186">
            <v>0.20000167224080267</v>
          </cell>
          <cell r="P186">
            <v>0.20000167224080267</v>
          </cell>
          <cell r="Q186">
            <v>0.20000167224080267</v>
          </cell>
        </row>
        <row r="187"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</row>
      </sheetData>
      <sheetData sheetId="7">
        <row r="47">
          <cell r="E47">
            <v>0.15</v>
          </cell>
          <cell r="F47">
            <v>0.13609285888008765</v>
          </cell>
          <cell r="G47">
            <v>0.1</v>
          </cell>
          <cell r="H47">
            <v>5.5E-2</v>
          </cell>
          <cell r="I47">
            <v>5.5E-2</v>
          </cell>
          <cell r="J47">
            <v>5.5E-2</v>
          </cell>
          <cell r="K47">
            <v>5.5E-2</v>
          </cell>
          <cell r="L47">
            <v>5.5E-2</v>
          </cell>
          <cell r="M47">
            <v>5.5E-2</v>
          </cell>
          <cell r="N47">
            <v>5.5E-2</v>
          </cell>
          <cell r="O47">
            <v>5.5E-2</v>
          </cell>
          <cell r="P47">
            <v>5.5E-2</v>
          </cell>
          <cell r="Q47">
            <v>5.5E-2</v>
          </cell>
        </row>
        <row r="48">
          <cell r="E48">
            <v>0.15850315547550145</v>
          </cell>
          <cell r="F48">
            <v>0.12</v>
          </cell>
          <cell r="G48">
            <v>0.1</v>
          </cell>
          <cell r="H48">
            <v>5.5E-2</v>
          </cell>
          <cell r="I48">
            <v>5.5E-2</v>
          </cell>
          <cell r="J48">
            <v>5.5E-2</v>
          </cell>
          <cell r="K48">
            <v>5.5E-2</v>
          </cell>
          <cell r="L48">
            <v>5.5E-2</v>
          </cell>
          <cell r="M48">
            <v>5.5E-2</v>
          </cell>
          <cell r="N48">
            <v>5.5E-2</v>
          </cell>
          <cell r="O48">
            <v>5.5E-2</v>
          </cell>
          <cell r="P48">
            <v>5.5E-2</v>
          </cell>
          <cell r="Q48">
            <v>5.5E-2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</row>
        <row r="50"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</row>
        <row r="51">
          <cell r="E51">
            <v>0.04</v>
          </cell>
          <cell r="F51">
            <v>4.4999999999999998E-2</v>
          </cell>
          <cell r="G51">
            <v>5.5E-2</v>
          </cell>
          <cell r="H51">
            <v>5.5E-2</v>
          </cell>
          <cell r="I51">
            <v>5.5E-2</v>
          </cell>
          <cell r="J51">
            <v>5.5E-2</v>
          </cell>
          <cell r="K51">
            <v>5.5E-2</v>
          </cell>
          <cell r="L51">
            <v>5.5E-2</v>
          </cell>
          <cell r="M51">
            <v>5.5E-2</v>
          </cell>
          <cell r="N51">
            <v>5.5E-2</v>
          </cell>
          <cell r="O51">
            <v>5.5E-2</v>
          </cell>
          <cell r="P51">
            <v>5.5E-2</v>
          </cell>
          <cell r="Q51">
            <v>5.5E-2</v>
          </cell>
        </row>
        <row r="52">
          <cell r="E52">
            <v>2.5243723423594461E-2</v>
          </cell>
          <cell r="F52">
            <v>2.3460403804571921E-2</v>
          </cell>
          <cell r="G52">
            <v>7.0000000000000007E-2</v>
          </cell>
          <cell r="H52">
            <v>7.0000000000000007E-2</v>
          </cell>
          <cell r="I52">
            <v>7.0000000000000007E-2</v>
          </cell>
          <cell r="J52">
            <v>7.0000000000000007E-2</v>
          </cell>
          <cell r="K52">
            <v>7.0000000000000007E-2</v>
          </cell>
          <cell r="L52">
            <v>7.0000000000000007E-2</v>
          </cell>
          <cell r="M52">
            <v>7.0000000000000007E-2</v>
          </cell>
          <cell r="N52">
            <v>7.0000000000000007E-2</v>
          </cell>
          <cell r="O52">
            <v>7.0000000000000007E-2</v>
          </cell>
          <cell r="P52">
            <v>7.0000000000000007E-2</v>
          </cell>
          <cell r="Q52">
            <v>7.0000000000000007E-2</v>
          </cell>
        </row>
        <row r="53">
          <cell r="E53">
            <v>6.727169386667918E-2</v>
          </cell>
          <cell r="F53">
            <v>4.757365317589908E-2</v>
          </cell>
          <cell r="G53">
            <v>5.6171203177260175E-2</v>
          </cell>
          <cell r="H53">
            <v>0.08</v>
          </cell>
          <cell r="I53">
            <v>0.08</v>
          </cell>
          <cell r="J53">
            <v>0.08</v>
          </cell>
          <cell r="K53">
            <v>0.08</v>
          </cell>
          <cell r="L53">
            <v>0.08</v>
          </cell>
          <cell r="M53">
            <v>0.08</v>
          </cell>
          <cell r="N53">
            <v>0.08</v>
          </cell>
          <cell r="O53">
            <v>0.08</v>
          </cell>
          <cell r="P53">
            <v>0.08</v>
          </cell>
          <cell r="Q53">
            <v>0.08</v>
          </cell>
        </row>
      </sheetData>
      <sheetData sheetId="8"/>
      <sheetData sheetId="9">
        <row r="24">
          <cell r="D24">
            <v>5669.2</v>
          </cell>
          <cell r="E24">
            <v>5445.9017990393104</v>
          </cell>
          <cell r="F24">
            <v>5219.786448067779</v>
          </cell>
          <cell r="G24">
            <v>5045.934991134649</v>
          </cell>
        </row>
      </sheetData>
      <sheetData sheetId="10"/>
      <sheetData sheetId="11"/>
      <sheetData sheetId="12">
        <row r="5">
          <cell r="E5">
            <v>11875.179750000001</v>
          </cell>
          <cell r="F5">
            <v>14613.596200350003</v>
          </cell>
          <cell r="G5">
            <v>17452.433398229994</v>
          </cell>
        </row>
        <row r="7">
          <cell r="D7">
            <v>8038</v>
          </cell>
          <cell r="E7">
            <v>10590.179749999999</v>
          </cell>
          <cell r="F7">
            <v>12828.404663329211</v>
          </cell>
          <cell r="G7">
            <v>15331.866220791066</v>
          </cell>
        </row>
        <row r="26">
          <cell r="E26">
            <v>2591.2854119595804</v>
          </cell>
          <cell r="F26">
            <v>3287.2208144582064</v>
          </cell>
          <cell r="G26">
            <v>3867.0025158776125</v>
          </cell>
        </row>
      </sheetData>
      <sheetData sheetId="13">
        <row r="17">
          <cell r="D17">
            <v>163</v>
          </cell>
        </row>
        <row r="22">
          <cell r="D22">
            <v>18.999999999999002</v>
          </cell>
        </row>
        <row r="26">
          <cell r="D26">
            <v>-144</v>
          </cell>
        </row>
        <row r="40">
          <cell r="D40">
            <v>-1.0000000000000036</v>
          </cell>
        </row>
        <row r="48">
          <cell r="D48">
            <v>185</v>
          </cell>
          <cell r="E48">
            <v>300</v>
          </cell>
          <cell r="F48">
            <v>305</v>
          </cell>
          <cell r="G48">
            <v>310</v>
          </cell>
        </row>
        <row r="51">
          <cell r="D51">
            <v>126</v>
          </cell>
          <cell r="E51">
            <v>140</v>
          </cell>
          <cell r="F51">
            <v>150</v>
          </cell>
          <cell r="G51">
            <v>160</v>
          </cell>
        </row>
        <row r="52">
          <cell r="D52">
            <v>0</v>
          </cell>
          <cell r="E52">
            <v>0</v>
          </cell>
          <cell r="F52">
            <v>0</v>
          </cell>
          <cell r="G52">
            <v>0</v>
          </cell>
        </row>
        <row r="56">
          <cell r="D56">
            <v>247</v>
          </cell>
          <cell r="E56">
            <v>255.92255952853992</v>
          </cell>
          <cell r="F56">
            <v>207.10540951769741</v>
          </cell>
          <cell r="G56">
            <v>257.36930355609996</v>
          </cell>
        </row>
        <row r="57">
          <cell r="D57">
            <v>233</v>
          </cell>
          <cell r="E57">
            <v>232</v>
          </cell>
          <cell r="F57">
            <v>235</v>
          </cell>
          <cell r="G57">
            <v>232</v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0</v>
          </cell>
        </row>
        <row r="67">
          <cell r="D67">
            <v>-26</v>
          </cell>
          <cell r="E67">
            <v>-15</v>
          </cell>
          <cell r="F67">
            <v>0</v>
          </cell>
          <cell r="G67">
            <v>0</v>
          </cell>
        </row>
        <row r="68">
          <cell r="D68">
            <v>134</v>
          </cell>
          <cell r="E68">
            <v>0</v>
          </cell>
          <cell r="F68">
            <v>0</v>
          </cell>
          <cell r="G68">
            <v>0</v>
          </cell>
        </row>
        <row r="71">
          <cell r="D71">
            <v>207</v>
          </cell>
          <cell r="E71">
            <v>437</v>
          </cell>
          <cell r="F71">
            <v>440</v>
          </cell>
          <cell r="G71">
            <v>426</v>
          </cell>
        </row>
        <row r="75">
          <cell r="D75">
            <v>-52</v>
          </cell>
          <cell r="E75">
            <v>-233.92255952854094</v>
          </cell>
          <cell r="F75">
            <v>-213.11677706745803</v>
          </cell>
          <cell r="G75">
            <v>-208.09920537321494</v>
          </cell>
        </row>
        <row r="76">
          <cell r="D76">
            <v>-79</v>
          </cell>
          <cell r="E76">
            <v>-146.92255952854094</v>
          </cell>
          <cell r="F76">
            <v>-125.11677706745803</v>
          </cell>
          <cell r="G76">
            <v>-119.09920537321494</v>
          </cell>
        </row>
        <row r="77">
          <cell r="D77">
            <v>27</v>
          </cell>
          <cell r="E77">
            <v>-87</v>
          </cell>
          <cell r="F77">
            <v>-88</v>
          </cell>
          <cell r="G77">
            <v>-89</v>
          </cell>
        </row>
      </sheetData>
      <sheetData sheetId="14"/>
      <sheetData sheetId="15"/>
      <sheetData sheetId="16">
        <row r="14">
          <cell r="D14">
            <v>890.00000000000011</v>
          </cell>
          <cell r="E14">
            <v>982.31245776902904</v>
          </cell>
          <cell r="F14">
            <v>1074.0741978575027</v>
          </cell>
          <cell r="G14">
            <v>1168.1135362427351</v>
          </cell>
          <cell r="H14">
            <v>1239.8421844843781</v>
          </cell>
          <cell r="I14">
            <v>1316.0691978336883</v>
          </cell>
          <cell r="J14">
            <v>1397.0830783287533</v>
          </cell>
          <cell r="K14">
            <v>1483.191260992387</v>
          </cell>
          <cell r="L14">
            <v>1574.7213848372212</v>
          </cell>
          <cell r="M14">
            <v>1672.022651063636</v>
          </cell>
          <cell r="N14">
            <v>1775.4672745529911</v>
          </cell>
          <cell r="O14">
            <v>1885.4520351934825</v>
          </cell>
        </row>
        <row r="47">
          <cell r="D47">
            <v>9.260450160771704</v>
          </cell>
          <cell r="E47">
            <v>9.7234726688102899</v>
          </cell>
          <cell r="F47">
            <v>10.209646302250805</v>
          </cell>
          <cell r="G47">
            <v>10.771176848874598</v>
          </cell>
          <cell r="H47">
            <v>11.363591575562699</v>
          </cell>
          <cell r="I47">
            <v>11.988589112218648</v>
          </cell>
          <cell r="J47">
            <v>12.647961513390673</v>
          </cell>
          <cell r="K47">
            <v>13.343599396627159</v>
          </cell>
          <cell r="L47">
            <v>14.077497363441651</v>
          </cell>
          <cell r="M47">
            <v>14.851759718430941</v>
          </cell>
          <cell r="N47">
            <v>15.668606502944641</v>
          </cell>
          <cell r="O47">
            <v>16.530379860606594</v>
          </cell>
        </row>
        <row r="48">
          <cell r="D48">
            <v>407.82738585209006</v>
          </cell>
          <cell r="E48">
            <v>475.82627361744181</v>
          </cell>
          <cell r="F48">
            <v>522.9713246442733</v>
          </cell>
          <cell r="G48">
            <v>578.41658396871435</v>
          </cell>
          <cell r="H48">
            <v>610.22949608699355</v>
          </cell>
          <cell r="I48">
            <v>643.7921183717782</v>
          </cell>
          <cell r="J48">
            <v>679.20068488222591</v>
          </cell>
          <cell r="K48">
            <v>716.5567225507483</v>
          </cell>
          <cell r="L48">
            <v>755.96734229103947</v>
          </cell>
          <cell r="M48">
            <v>797.54554611704657</v>
          </cell>
          <cell r="N48">
            <v>841.41055115348411</v>
          </cell>
          <cell r="O48">
            <v>887.68813146692571</v>
          </cell>
        </row>
        <row r="50">
          <cell r="D50">
            <v>2.4308681672025725</v>
          </cell>
          <cell r="E50">
            <v>2.5524115755627013</v>
          </cell>
          <cell r="F50">
            <v>2.6800321543408363</v>
          </cell>
          <cell r="G50">
            <v>2.8274339228295822</v>
          </cell>
          <cell r="H50">
            <v>2.9829427885852091</v>
          </cell>
          <cell r="I50">
            <v>3.1470046419573956</v>
          </cell>
          <cell r="J50">
            <v>3.3200898972650523</v>
          </cell>
          <cell r="K50">
            <v>3.50269484161463</v>
          </cell>
          <cell r="L50">
            <v>3.6953430579034343</v>
          </cell>
          <cell r="M50">
            <v>3.898586926088123</v>
          </cell>
          <cell r="N50">
            <v>4.1130092070229693</v>
          </cell>
          <cell r="O50">
            <v>4.3392247134092328</v>
          </cell>
        </row>
        <row r="51">
          <cell r="D51">
            <v>119.2282958199357</v>
          </cell>
          <cell r="E51">
            <v>125.18971061093248</v>
          </cell>
          <cell r="F51">
            <v>131.44919614147912</v>
          </cell>
          <cell r="G51">
            <v>138.67890192926046</v>
          </cell>
          <cell r="H51">
            <v>146.30624153536979</v>
          </cell>
          <cell r="I51">
            <v>154.35308481981511</v>
          </cell>
          <cell r="J51">
            <v>162.84250448490494</v>
          </cell>
          <cell r="K51">
            <v>171.7988422315747</v>
          </cell>
          <cell r="L51">
            <v>181.24777855431128</v>
          </cell>
          <cell r="M51">
            <v>191.2164063747984</v>
          </cell>
          <cell r="N51">
            <v>201.73330872541229</v>
          </cell>
          <cell r="O51">
            <v>212.82864070530994</v>
          </cell>
        </row>
        <row r="52">
          <cell r="D52">
            <v>176.93299999999999</v>
          </cell>
          <cell r="E52">
            <v>185.77965</v>
          </cell>
          <cell r="F52">
            <v>195.06863250000001</v>
          </cell>
          <cell r="G52">
            <v>205.79740728749999</v>
          </cell>
          <cell r="H52">
            <v>217.11626468831247</v>
          </cell>
          <cell r="I52">
            <v>229.05765924616964</v>
          </cell>
          <cell r="J52">
            <v>241.65583050470894</v>
          </cell>
          <cell r="K52">
            <v>254.94690118246791</v>
          </cell>
          <cell r="L52">
            <v>268.96898074750362</v>
          </cell>
          <cell r="M52">
            <v>283.76227468861629</v>
          </cell>
          <cell r="N52">
            <v>299.36919979649019</v>
          </cell>
          <cell r="O52">
            <v>315.83450578529715</v>
          </cell>
        </row>
        <row r="53">
          <cell r="D53">
            <v>292.32</v>
          </cell>
          <cell r="E53">
            <v>344.30603299492435</v>
          </cell>
          <cell r="F53">
            <v>378.27476234771541</v>
          </cell>
          <cell r="G53">
            <v>399.07987427684026</v>
          </cell>
          <cell r="H53">
            <v>421.0292673620653</v>
          </cell>
          <cell r="I53">
            <v>444.18587706697951</v>
          </cell>
          <cell r="J53">
            <v>468.61610030566356</v>
          </cell>
          <cell r="K53">
            <v>494.3899858224745</v>
          </cell>
          <cell r="L53">
            <v>521.58143504271129</v>
          </cell>
          <cell r="M53">
            <v>550.26841397006024</v>
          </cell>
          <cell r="N53">
            <v>580.53317673841343</v>
          </cell>
          <cell r="O53">
            <v>612.46250145902593</v>
          </cell>
        </row>
        <row r="55">
          <cell r="D55">
            <v>325</v>
          </cell>
          <cell r="E55">
            <v>361.73899004507797</v>
          </cell>
          <cell r="F55">
            <v>383.98455028548074</v>
          </cell>
          <cell r="G55">
            <v>447.29078782574334</v>
          </cell>
          <cell r="H55">
            <v>496.49277448657506</v>
          </cell>
          <cell r="I55">
            <v>551.10697968009822</v>
          </cell>
          <cell r="J55">
            <v>611.728747444909</v>
          </cell>
          <cell r="K55">
            <v>679.01890966384894</v>
          </cell>
          <cell r="L55">
            <v>753.7109897268723</v>
          </cell>
          <cell r="M55">
            <v>836.61919859682814</v>
          </cell>
          <cell r="N55">
            <v>928.64731044247912</v>
          </cell>
          <cell r="O55">
            <v>1030.7985145911516</v>
          </cell>
        </row>
        <row r="56">
          <cell r="D56">
            <v>1333</v>
          </cell>
          <cell r="E56">
            <v>1505.1165415127498</v>
          </cell>
          <cell r="F56">
            <v>1624.6381443755402</v>
          </cell>
          <cell r="G56">
            <v>1782.8621660597626</v>
          </cell>
          <cell r="H56">
            <v>1905.5205785234639</v>
          </cell>
          <cell r="I56">
            <v>2037.6313129390167</v>
          </cell>
          <cell r="J56">
            <v>2180.0119190330679</v>
          </cell>
          <cell r="K56">
            <v>2333.5576556893561</v>
          </cell>
          <cell r="L56">
            <v>2499.249366783783</v>
          </cell>
          <cell r="M56">
            <v>2678.1621863918685</v>
          </cell>
          <cell r="N56">
            <v>2871.4751625662466</v>
          </cell>
          <cell r="O56">
            <v>3080.481898581726</v>
          </cell>
        </row>
        <row r="81">
          <cell r="E81">
            <v>1570.3131752000002</v>
          </cell>
          <cell r="F81">
            <v>1903.4491702687999</v>
          </cell>
          <cell r="G81">
            <v>2444.0469059776001</v>
          </cell>
          <cell r="H81">
            <v>2884.1220221789836</v>
          </cell>
          <cell r="I81">
            <v>3397.3393802087576</v>
          </cell>
          <cell r="J81">
            <v>4001.8816040235329</v>
          </cell>
          <cell r="K81">
            <v>4713.999568579422</v>
          </cell>
          <cell r="L81">
            <v>5552.8359235378075</v>
          </cell>
          <cell r="M81">
            <v>6540.9396723860737</v>
          </cell>
          <cell r="N81">
            <v>7704.8723187440546</v>
          </cell>
          <cell r="O81">
            <v>9075.9218738509735</v>
          </cell>
        </row>
      </sheetData>
      <sheetData sheetId="17">
        <row r="7">
          <cell r="D7">
            <v>1739</v>
          </cell>
          <cell r="E7">
            <v>2220.0000000000009</v>
          </cell>
          <cell r="F7">
            <v>2704.40612385843</v>
          </cell>
          <cell r="G7">
            <v>3218.863526831411</v>
          </cell>
        </row>
        <row r="10">
          <cell r="D10">
            <v>597</v>
          </cell>
          <cell r="E10">
            <v>624.00000000000034</v>
          </cell>
          <cell r="F10">
            <v>754.67194576271231</v>
          </cell>
          <cell r="G10">
            <v>889.57307162033953</v>
          </cell>
        </row>
        <row r="11">
          <cell r="D11">
            <v>508</v>
          </cell>
          <cell r="E11">
            <v>853.00000000000057</v>
          </cell>
          <cell r="F11">
            <v>1049.7018000000007</v>
          </cell>
          <cell r="G11">
            <v>1253.6168716680011</v>
          </cell>
        </row>
        <row r="12">
          <cell r="D12">
            <v>214</v>
          </cell>
          <cell r="E12">
            <v>73.999999999999943</v>
          </cell>
          <cell r="F12">
            <v>91.064399999999935</v>
          </cell>
          <cell r="G12">
            <v>108.75457034399992</v>
          </cell>
        </row>
        <row r="16">
          <cell r="E16">
            <v>1228</v>
          </cell>
          <cell r="F16">
            <v>1385.5656251360001</v>
          </cell>
          <cell r="G16">
            <v>1515.3090817061122</v>
          </cell>
        </row>
        <row r="24">
          <cell r="E24">
            <v>740.99999999999977</v>
          </cell>
          <cell r="F24">
            <v>869.21929309123766</v>
          </cell>
          <cell r="G24">
            <v>993.6860794988761</v>
          </cell>
        </row>
        <row r="30">
          <cell r="D30">
            <v>335.39999999999986</v>
          </cell>
          <cell r="E30">
            <v>424.00000000000045</v>
          </cell>
          <cell r="F30">
            <v>521.77440000000058</v>
          </cell>
          <cell r="G30">
            <v>623.13429494400066</v>
          </cell>
        </row>
        <row r="31">
          <cell r="E31">
            <v>0</v>
          </cell>
          <cell r="F31">
            <v>0</v>
          </cell>
          <cell r="G31">
            <v>0</v>
          </cell>
        </row>
        <row r="32">
          <cell r="E32">
            <v>191.99999999999989</v>
          </cell>
          <cell r="F32">
            <v>19.182208741921816</v>
          </cell>
          <cell r="G32">
            <v>22.622765849412179</v>
          </cell>
        </row>
        <row r="39">
          <cell r="D39">
            <v>139.96640000000008</v>
          </cell>
          <cell r="E39">
            <v>168.99999999999977</v>
          </cell>
          <cell r="F39">
            <v>149.58509630698157</v>
          </cell>
          <cell r="G39">
            <v>65.906763912916119</v>
          </cell>
        </row>
        <row r="40">
          <cell r="D40">
            <v>441.73359999999997</v>
          </cell>
          <cell r="E40">
            <v>533.00447200000008</v>
          </cell>
          <cell r="F40">
            <v>591.42073712260003</v>
          </cell>
          <cell r="G40">
            <v>530.66368446038643</v>
          </cell>
        </row>
        <row r="43">
          <cell r="D43">
            <v>1917.1</v>
          </cell>
          <cell r="E43">
            <v>2714.0044719999996</v>
          </cell>
          <cell r="F43">
            <v>2919.5199767941322</v>
          </cell>
          <cell r="G43">
            <v>3114.3730786409815</v>
          </cell>
        </row>
        <row r="46">
          <cell r="D46">
            <v>495</v>
          </cell>
          <cell r="E46">
            <v>227</v>
          </cell>
          <cell r="F46">
            <v>150</v>
          </cell>
          <cell r="G46">
            <v>100</v>
          </cell>
        </row>
        <row r="47">
          <cell r="D47">
            <v>994</v>
          </cell>
          <cell r="E47">
            <v>1649</v>
          </cell>
          <cell r="F47">
            <v>1999.2211990253813</v>
          </cell>
          <cell r="G47">
            <v>2351.8327008711171</v>
          </cell>
        </row>
        <row r="60">
          <cell r="D60">
            <v>43.551199999999994</v>
          </cell>
          <cell r="E60">
            <v>80.106667362449173</v>
          </cell>
          <cell r="F60">
            <v>-154.98197684007951</v>
          </cell>
          <cell r="G60">
            <v>7.6181552546554476</v>
          </cell>
        </row>
        <row r="66">
          <cell r="D66">
            <v>34</v>
          </cell>
          <cell r="E66">
            <v>-99.999999999999915</v>
          </cell>
          <cell r="F66">
            <v>0</v>
          </cell>
          <cell r="G66">
            <v>0</v>
          </cell>
        </row>
        <row r="67">
          <cell r="D67">
            <v>38.01319999999987</v>
          </cell>
          <cell r="E67">
            <v>-46.906598562450739</v>
          </cell>
          <cell r="F67">
            <v>-228.30478942603713</v>
          </cell>
          <cell r="G67">
            <v>-583.49341062283884</v>
          </cell>
        </row>
      </sheetData>
      <sheetData sheetId="18">
        <row r="91">
          <cell r="D91">
            <v>2392</v>
          </cell>
          <cell r="E91">
            <v>2801.000934009056</v>
          </cell>
          <cell r="F91">
            <v>3321.2718637159096</v>
          </cell>
          <cell r="G91">
            <v>3878.3185329399985</v>
          </cell>
        </row>
      </sheetData>
      <sheetData sheetId="19"/>
      <sheetData sheetId="20">
        <row r="6">
          <cell r="E6">
            <v>4.1000344000000002</v>
          </cell>
          <cell r="F6">
            <v>4.5428381152000004</v>
          </cell>
          <cell r="G6">
            <v>4.8880938119552004</v>
          </cell>
        </row>
        <row r="41">
          <cell r="D41">
            <v>1</v>
          </cell>
          <cell r="E41">
            <v>1.0384577917329068</v>
          </cell>
          <cell r="F41">
            <v>1.0506955077409665</v>
          </cell>
          <cell r="G41">
            <v>1.0718719799991214</v>
          </cell>
        </row>
        <row r="54">
          <cell r="D54">
            <v>0.99999999999999989</v>
          </cell>
          <cell r="E54">
            <v>1.0587262655326468</v>
          </cell>
          <cell r="F54">
            <v>1.0930343567900833</v>
          </cell>
          <cell r="G54">
            <v>1.1328428962793993</v>
          </cell>
        </row>
      </sheetData>
      <sheetData sheetId="21"/>
      <sheetData sheetId="22"/>
      <sheetData sheetId="23"/>
      <sheetData sheetId="24"/>
      <sheetData sheetId="25"/>
      <sheetData sheetId="26"/>
      <sheetData sheetId="27">
        <row r="86">
          <cell r="E86">
            <v>6.1500879529300168E-2</v>
          </cell>
          <cell r="F86">
            <v>3.8961038961038863E-2</v>
          </cell>
          <cell r="G86">
            <v>0.05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World Bank User" refreshedDate="36999.622015393521" createdVersion="1" recordCount="110" upgradeOnRefresh="1">
  <cacheSource type="worksheet">
    <worksheetSource ref="A1:J111" sheet="RESULTS"/>
  </cacheSource>
  <cacheFields count="10">
    <cacheField name="ACCOUNT" numFmtId="0">
      <sharedItems count="3">
        <s v="FISCAL"/>
        <s v="GDP"/>
        <s v="BOP"/>
      </sharedItems>
    </cacheField>
    <cacheField name="CATEGORY" numFmtId="0">
      <sharedItems count="14">
        <s v="I.  Revenue"/>
        <s v="II.  Current expenditure"/>
        <s v="III.  Capital expenditure"/>
        <s v="IV.  Fiscal balance"/>
        <s v="V.  Financing"/>
        <s v="I.  GDP &amp; inflatiom"/>
        <s v="II.  Current prices"/>
        <s v="III. Constant prices"/>
        <s v="IV. Exchange Rate"/>
        <s v="I. CURRENT ACCOUNT"/>
        <s v="II. CAPITAL ACCOUNT"/>
        <s v="III. FINANCING"/>
        <s v="I.  CURRENT PRICES" u="1"/>
        <s v="II. CONSTANT PRICES" u="1"/>
      </sharedItems>
    </cacheField>
    <cacheField name="INDIVIDUAL ITEMS" numFmtId="0">
      <sharedItems count="328">
        <s v="1. Revenue and grants"/>
        <s v="2. Grants"/>
        <s v="3. Revenue, before grants"/>
        <s v="4. Revenue/GDPm  ( %)"/>
        <s v="5. Non-tax revenue "/>
        <s v="6. Tax revenue"/>
        <s v="7. Tax revenue/GDPm (%)"/>
        <s v="8.    Domestic indirect taxes"/>
        <s v="9.    Customs duties"/>
        <s v="10.   Export duties"/>
        <s v="11.   Direct &amp; other taxes"/>
        <s v="1.  Current expenditure"/>
        <s v="2.  Goods and services"/>
        <s v="3.     Wages and salaries"/>
        <s v="4.     Other goods and services"/>
        <s v="5.  Subsidies and transfers"/>
        <s v="6.      Export subsidies"/>
        <s v="7.      Other subsidies"/>
        <s v="8.      Other current transfers"/>
        <s v="9.   Interest on debt"/>
        <s v="10.     Foreign debt"/>
        <s v="11.     Domestic debt"/>
        <s v="12.  Capital expenditure."/>
        <s v="13.     Public investment"/>
        <s v="14.     Net lending"/>
        <s v="1.  Fiscal balance"/>
        <s v="2.  Fiscal balance/GDPm (%)"/>
        <s v="3.  Fiscal bal. excl. grants"/>
        <s v="4.  Fiscal bal. excl. grnts/GDPm (%)"/>
        <s v="5.  Fiscal balance, cash basis"/>
        <s v="6.  Fiscal balance, cash basis /GDPm(%)"/>
        <s v="7.  Dom. balance, cash basis"/>
        <s v="8.  Dom. balance, cash basis /GDPm(%)"/>
        <s v="1.  Total financing"/>
        <s v="2.  Contingency"/>
        <s v="3.      of which : payments of domestic arreas"/>
        <s v="4.  Change in balances/other "/>
        <s v="5.  Payment of domestic arrears"/>
        <s v="6.  Domestic financing"/>
        <s v="7.        Bank"/>
        <s v="8.        Nonbank and others per RMSM (accrual)"/>
        <s v="9.  External financing"/>
        <s v="10.      Program loans"/>
        <s v="11.      Project loans"/>
        <s v="12.      Amortization due"/>
        <s v="13.Other fiscal financing"/>
        <s v="14.       source 1"/>
        <s v="15.       source 2"/>
        <s v="16.       source 3"/>
        <s v="17.Financing gap= actual gap+(payments of dom. Arr. +changes in balances)"/>
        <s v="GDP growth (%)"/>
        <s v="Inflation (%)"/>
        <s v="GDP at factor prices"/>
        <s v="      Net indirect taxes"/>
        <s v="GDP at  market prices"/>
        <s v="      Private consumption"/>
        <s v="      Public consumption"/>
        <s v="      Investment"/>
        <s v="          Public investment"/>
        <s v="      Exports"/>
        <s v="      Imports"/>
        <s v="Resource balance"/>
        <s v="Domestic absorption"/>
        <s v="Exchange Rate (kwa/$)"/>
        <s v="Exchange Rate (Index)"/>
        <s v="Net factor income"/>
        <s v="      Net interest income (payment)"/>
        <s v="      Net profit remittances"/>
        <s v="Net current transfers"/>
        <s v="       Official transfers"/>
        <s v="       Private transfers "/>
        <s v="Cur.account balance"/>
        <s v="Cur.account balance after grants"/>
        <s v="Capital account"/>
        <s v="       Of which official capital grants etc."/>
        <s v="LT financial account"/>
        <s v="Net loan disburshment"/>
        <s v="            Project loans"/>
        <s v="            Amortization (incl. Program loans, excl. IMF)"/>
        <s v="Change in net foreign assets of com.  banks"/>
        <s v="Private foreign direct &amp; portf. investment"/>
        <s v="ST capital/ errors &amp; omissions"/>
        <s v="Overall balance"/>
        <s v="Financing"/>
        <s v="Debt relief (non-HIPC)"/>
        <s v="Debt relief (HIPC)"/>
        <s v="Net changes in arrears (+inc)"/>
        <s v="Change in net int'l reserves (-inc)"/>
        <s v="       Change in gross reserves"/>
        <s v="       Other net liabilities"/>
        <s v="       IMF credit (net)"/>
        <s v="BOP support grants"/>
        <s v="BOP support loans"/>
        <s v="        Multilateral"/>
        <s v="        Bilateral"/>
        <s v="Other BOP financing"/>
        <s v="        Source 1"/>
        <s v="        Source 2"/>
        <s v="Financing gap"/>
        <s v="1.  Revenue" u="1"/>
        <s v="9.  Overall balance" u="1"/>
        <s v="9.1.   % of GDP" u="1"/>
        <s v="10. Primary balance" u="1"/>
        <s v="10.1.  % of GDP" u="1"/>
        <s v="11.  Total financing" u="1"/>
        <s v="12.  Grants" u="1"/>
        <s v="13.  Privatization proceeds" u="1"/>
        <s v="14.  Foreign financing" u="1"/>
        <s v="14.1.  Borrowing" u="1"/>
        <s v="14.2.  Repayment" u="1"/>
        <s v="15.  Domestic financing" u="1"/>
        <s v="15.1.  Nonbank financing" u="1"/>
        <s v="15.2.  Bank financing" u="1"/>
        <s v="2.  Non-tax revenue " u="1"/>
        <s v="3.  Tax revenue" u="1"/>
        <s v="3.1.  Domestic indirect taxes" u="1"/>
        <s v="3.2.  Customs duties" u="1"/>
        <s v="3.3.  Export duties" u="1"/>
        <s v="3.4.  Direct &amp; other taxes" u="1"/>
        <s v="4.  Current expenditure" u="1"/>
        <s v="5.  Goods and services" u="1"/>
        <s v="5.1.  Wages and salaries" u="1"/>
        <s v="5.2.  Other goods and services" u="1"/>
        <s v="5.2.  Other subsidies" u="1"/>
        <s v="6.   Subsidies and transfers" u="1"/>
        <s v="6.1.  Export subsidies" u="1"/>
        <s v="6.3.  Other current transfers" u="1"/>
        <s v="7.  Interest on debt" u="1"/>
        <s v="7.1.   Foreign debt" u="1"/>
        <s v="7.2.   Domestic debt" u="1"/>
        <s v="8.  Total cap. expenditure." u="1"/>
        <s v="8.1.   Capital expenditure" u="1"/>
        <s v="8.2.   Net lending" u="1"/>
        <s v="Revenue" u="1"/>
        <s v="Formula2" f="1"/>
        <s v="Non-tax revenue " u="1"/>
        <s v="Tax revenue" u="1"/>
        <s v="Formula1" f="1"/>
        <s v="    Domestic indirect taxes" u="1"/>
        <s v="    Customs duties" u="1"/>
        <s v="    Export duties" u="1"/>
        <s v="    Direct &amp; other taxes" u="1"/>
        <s v="Current expenditure" u="1"/>
        <s v="Goods and services" u="1"/>
        <s v="    Wages and salaries" u="1"/>
        <s v="    Other goods and services" u="1"/>
        <s v="Subsidies and transfers" u="1"/>
        <s v="     Export subsidies" u="1"/>
        <s v="     Other subsidies" u="1"/>
        <s v="     Other current transfers" u="1"/>
        <s v="Interest on debt" u="1"/>
        <s v="      Foreign debt" u="1"/>
        <s v="      Domestic debt" u="1"/>
        <s v="Total capital expenditure." u="1"/>
        <s v="      Capital expenditure" u="1"/>
        <s v="      Net lending" u="1"/>
        <s v="      % of GDP" u="1"/>
        <s v="Primary balance" u="1"/>
        <s v="     % of GDP" u="1"/>
        <s v="Total financing" u="1"/>
        <s v="Grants" u="1"/>
        <s v="Privatization proceeds" u="1"/>
        <s v="Foreign financing" u="1"/>
        <s v="      Borrowing" u="1"/>
        <s v="      Repayment" u="1"/>
        <s v="Domestic financing" u="1"/>
        <s v="      Nonbank financing" u="1"/>
        <s v="      Bank financing" u="1"/>
        <s v="GDP growth" u="1"/>
        <s v="Inflation" u="1"/>
        <s v="    % of GDP" u="1"/>
        <s v="Net foreign transfers" u="1"/>
        <s v="Current account balance" u="1"/>
        <s v="M&amp;L term capital inflows, net" u="1"/>
        <s v="            o.w. Gapfill" u="1"/>
        <s v="      Net disbursement" u="1"/>
        <s v="            Government" u="1"/>
        <s v="            Private" u="1"/>
        <s v="      Foreign investment, net" u="1"/>
        <s v="            Portfolio investment" u="1"/>
        <s v="      Capital official grants" u="1"/>
        <s v="            budgetary financing" u="1"/>
        <s v="            extra-bud. entities" u="1"/>
        <s v="ST capital inflow" u="1"/>
        <s v="       Government" u="1"/>
        <s v="       Private Sector" u="1"/>
        <s v="Capital n.e.i." u="1"/>
        <s v="Errors &amp; omissions" u="1"/>
        <s v="IMF credit" u="1"/>
        <s v="Change in gross int'l reserves" u="1"/>
        <s v="       Monetary auth." u="1"/>
        <s v="       Com. banks" u="1"/>
        <s v="Gross int'lt reserves at year end" u="1"/>
        <s v="        Monetary auth." u="1"/>
        <s v="        Com. banks" u="1"/>
        <s v="Adjs to sched. debt service" u="1"/>
        <s v="        wrt.  interest " u="1"/>
        <s v="        wrt.  principal " u="1"/>
        <s v="Revenue/GDP  ( %)" u="1"/>
        <s v="Tax revenue/GDP (%)" u="1"/>
        <s v="Overall balance/GDP (%)" u="1"/>
        <s v="Primary balance/GDP (%)" u="1"/>
        <s v="Revenue/GDPm  ( %)" u="1"/>
        <s v="Tax revenue/GDPm (%)" u="1"/>
        <s v="Overall balance/GDPm (%)" u="1"/>
        <s v="Primary balance/GDPm (%)" u="1"/>
        <s v="Revenue and grants" u="1"/>
        <s v="Revenue, before grants" u="1"/>
        <s v="      Change in arrears, interest" u="1"/>
        <s v="      Bank" u="1"/>
        <s v="      Nonbank and others" u="1"/>
        <s v="Central Bank" u="1"/>
        <s v="       IMF credit" u="1"/>
        <s v="       Change in reserves" u="1"/>
        <s v="Commercial Banks (net)" u="1"/>
        <s v="Changes in Arrears" u="1"/>
        <s v="Debt relief" u="1"/>
        <s v=" 1. Revenue and grants" u="1"/>
        <s v="10.      Foreign debt" u="1"/>
        <s v="11.      Domestic debt" u="1"/>
        <s v="12. Total capital expenditure." u="1"/>
        <s v="13.      Capital expenditure" u="1"/>
        <s v="14.      Net lending" u="1"/>
        <s v="1.  Overall balance" u="1"/>
        <s v="2.  Overall balance/GDPm (%)" u="1"/>
        <s v="3.  Primary balance" u="1"/>
        <s v="4.  Primary balance/GDPm (%)" u="1"/>
        <s v="1. Total financing" u="1"/>
        <s v="2. Privatization proceeds" u="1"/>
        <s v="3. Foreign financing" u="1"/>
        <s v="4.        Borrowing" u="1"/>
        <s v="5.        Repayment" u="1"/>
        <s v="6.        Change in arrears, interest" u="1"/>
        <s v="7. Domestic financing" u="1"/>
        <s v="8.       Bank" u="1"/>
        <s v="9.       Nonbank and others" u="1"/>
        <s v="12. Capital expenditure." u="1"/>
        <s v="13.      Public investment" u="1"/>
        <s v="2. Changes in Arrears" u="1"/>
        <s v="3. Debt relief (flow/stock)" u="1"/>
        <s v="4. Privatization proceeds" u="1"/>
        <s v="5. Domestic financing" u="1"/>
        <s v="8. Foreign financing" u="1"/>
        <s v="ST capital inflow (incl. Fdi)" u="1"/>
        <s v="Other capital inflows." u="1"/>
        <s v="1.  Overall balance before grants" u="1"/>
        <s v="2.      Percent of GDPm (%)" u="1"/>
        <s v="3.  Primary balance before grants" u="1"/>
        <s v="4.      Percent of GDPm (%)" u="1"/>
        <s v="5.  Overall balance" u="1"/>
        <s v="6.      Percent of GDPm (%)" u="1"/>
        <s v="7.  Primary balance" u="1"/>
        <s v="8.      Percent of GDPm (%)" u="1"/>
        <s v="Real Depreciation (1997=1.00)" u="1"/>
        <s v="9. BOP Financing gap" u="1"/>
        <s v="Exchange Rate (Birr/$)" u="1"/>
        <s v="Financing gap/GDPmp" u="1"/>
        <s v="10. Fiscal Financing gap" u="1"/>
        <s v="11. Fiscal gap/GDPmp" u="1"/>
        <s v="1.   Total financing" u="1"/>
        <s v="2.   Changes in Arrears" u="1"/>
        <s v="3.   Debt relief (flow/stock)" u="1"/>
        <s v="4.   Privatization proceeds" u="1"/>
        <s v="5.   Domestic financing" u="1"/>
        <s v="8.   Foreign financing" u="1"/>
        <s v="9.   BOP Financing gap" u="1"/>
        <s v="1   Total financing" u="1"/>
        <s v="2   Changes in Arrears" u="1"/>
        <s v="3   Debt relief (flow/stock)" u="1"/>
        <s v="4   Privatization proceeds" u="1"/>
        <s v="5   Domestic financing" u="1"/>
        <s v="8   Foreign financing" u="1"/>
        <s v="9   BOP Financing gap" u="1"/>
        <s v="10 Fiscal Financing gap" u="1"/>
        <s v="11 Fiscal gap/GDPmp" u="1"/>
        <s v="Current account balance/GDPmp" u="1"/>
        <s v="1 Capital account" u="1"/>
        <s v="2 M&amp;L term capital inflows, net" u="1"/>
        <s v="3          Government" u="1"/>
        <s v="4           Private" u="1"/>
        <s v="5 ST capital inflow (incl. Fdi)" u="1"/>
        <s v="6 Other capital inflows" u="1"/>
        <s v="7 Errors &amp; omissions" u="1"/>
        <s v="8 Overall balance" u="1"/>
        <s v="9 Overall balance/GDPmp" u="1"/>
        <s v="1.  Overall fiscal balance" u="1"/>
        <s v="3.  Overall fiscal balance, before grants" u="1"/>
        <s v="5.  Primary fiscal balance" u="1"/>
        <s v="7.  Primary fiscal balance, before grants" u="1"/>
        <s v="9.  Overall balance, cash basis" u="1"/>
        <s v="10.      Percent of GDPm (%)" u="1"/>
        <s v="11. Domestic balance, cash basis" u="1"/>
        <s v="12.      Percent of GDPm (%)" u="1"/>
        <s v="8.        Nonbank and others" u="1"/>
        <s v="11.      Program loans" u="1"/>
        <s v="12.      Project loans" u="1"/>
        <s v="13.      Amortization due" u="1"/>
        <s v="14.Other fiscal financing" u="1"/>
        <s v="15.       source 1" u="1"/>
        <s v="16.       source 2" u="1"/>
        <s v="17.       source 3" u="1"/>
        <s v="18.Financing gap" u="1"/>
        <s v="            Amortization/Programs" u="1"/>
        <s v="Change in net foreign assets in banks" u="1"/>
        <s v="Private foreign direct investment" u="1"/>
        <s v="Debt relief (flow/stock resch)" u="1"/>
        <s v="Net changes in arrears" u="1"/>
        <s v="Change in net int'l reserves" u="1"/>
        <s v="IMF credit (net)" u="1"/>
        <s v="        Source 3" u="1"/>
        <s v="2.        Percent of GDPm (%)" u="1"/>
        <s v="4.        Percent of GDPm (%)" u="1"/>
        <s v="6.        Percent of GDPm (%)" u="1"/>
        <s v="8.        Percent of GDPm (%)" u="1"/>
        <s v="1. Overall fiscal balance" u="1"/>
        <s v="2.       Percent of GDPm (%)" u="1"/>
        <s v="17.Financing gap" u="1"/>
        <s v="2.  Fiscal balance /GDPm (%)" u="1"/>
        <s v="3.  Fis. bal. excl. grants" u="1"/>
        <s v="4.  Fis. bal. excl. grnts/GDPm (%)" u="1"/>
        <s v="2.  Ratio to GDPm (%)" u="1"/>
        <s v="5.  Pri. fiscal bal./GDPm (%)" u="1"/>
        <s v="2.       Ratio to GDPm (%)" u="1"/>
        <s v="6.  Pri. fiscal bal./GDPm (%)" u="1"/>
        <s v="6.  Primary fiscal bal./GDPm (%)" u="1"/>
        <s v="6.  Primary fiscal balance/GDPm (%)" u="1"/>
        <s v="17.Financing gap= actual gap (zero per RMSM)+(payments of dom. Arr. +changes in balances)" u="1"/>
        <s v="       Of which official capital grants" u="1"/>
      </sharedItems>
    </cacheField>
    <cacheField name="2000" numFmtId="0">
      <sharedItems containsString="0" containsNumber="1"/>
    </cacheField>
    <cacheField name="2001" numFmtId="0">
      <sharedItems containsSemiMixedTypes="0" containsString="0" containsNumber="1"/>
    </cacheField>
    <cacheField name="2002" numFmtId="0">
      <sharedItems containsSemiMixedTypes="0" containsString="0" containsNumber="1"/>
    </cacheField>
    <cacheField name="2003" numFmtId="0">
      <sharedItems containsSemiMixedTypes="0" containsString="0" containsNumber="1"/>
    </cacheField>
    <cacheField name="2004" numFmtId="0">
      <sharedItems containsMixedTypes="1" containsNumber="1" containsInteger="1" minValue="-1" maxValue="0" count="4">
        <e v="#VALUE!"/>
        <n v="0"/>
        <n v="-1"/>
        <e v="#DIV/0!"/>
      </sharedItems>
    </cacheField>
    <cacheField name="2005" numFmtId="0">
      <sharedItems containsMixedTypes="1" containsNumber="1" containsInteger="1" minValue="0" maxValue="0" count="3">
        <e v="#VALUE!"/>
        <n v="0"/>
        <e v="#DIV/0!"/>
      </sharedItems>
    </cacheField>
    <cacheField name="2006" numFmtId="0">
      <sharedItems containsMixedTypes="1" containsNumber="1" containsInteger="1" minValue="0" maxValue="0" count="3">
        <e v="#VALUE!"/>
        <n v="0"/>
        <e v="#DIV/0!"/>
      </sharedItems>
    </cacheField>
  </cacheFields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Data" showMissing="0" showItems="0" showMultipleLabel="0" showMemberPropertyTips="0" subtotalHiddenItems="1" rowGrandTotals="0" colGrandTotals="0" itemPrintTitles="1" indent="0" compact="0" compactData="0" gridDropZones="1">
  <location ref="A3:F40" firstHeaderRow="1" firstDataRow="2" firstDataCol="2" rowPageCount="1" colPageCount="1"/>
  <pivotFields count="10"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 defaultSubtotal="0">
      <items count="14">
        <item x="0"/>
        <item x="1"/>
        <item x="2"/>
        <item x="3"/>
        <item x="4"/>
        <item m="1" x="12"/>
        <item m="1" x="13"/>
        <item x="5"/>
        <item x="6"/>
        <item x="7"/>
        <item x="9"/>
        <item x="10"/>
        <item x="11"/>
        <item x="8"/>
      </items>
    </pivotField>
    <pivotField axis="axisRow" compact="0" outline="0" subtotalTop="0" showAll="0" includeNewItemsInFilter="1">
      <items count="329">
        <item h="1"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h="1" f="1" x="134"/>
        <item m="1" x="135"/>
        <item m="1" x="136"/>
        <item h="1" f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x="82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x="52"/>
        <item x="53"/>
        <item x="54"/>
        <item x="55"/>
        <item x="56"/>
        <item x="57"/>
        <item x="58"/>
        <item x="59"/>
        <item x="60"/>
        <item x="61"/>
        <item x="62"/>
        <item m="1" x="168"/>
        <item m="1" x="169"/>
        <item x="50"/>
        <item x="51"/>
        <item m="1" x="170"/>
        <item x="65"/>
        <item m="1" x="171"/>
        <item x="69"/>
        <item x="70"/>
        <item m="1" x="172"/>
        <item x="73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x="89"/>
        <item m="1" x="214"/>
        <item m="1" x="215"/>
        <item m="1" x="216"/>
        <item x="0"/>
        <item x="1"/>
        <item x="2"/>
        <item x="3"/>
        <item x="4"/>
        <item x="5"/>
        <item x="6"/>
        <item x="7"/>
        <item x="8"/>
        <item x="9"/>
        <item x="10"/>
        <item m="1" x="217"/>
        <item x="11"/>
        <item x="12"/>
        <item x="13"/>
        <item x="14"/>
        <item x="15"/>
        <item x="16"/>
        <item x="17"/>
        <item x="18"/>
        <item x="19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x="98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x="33"/>
        <item x="34"/>
        <item x="35"/>
        <item x="36"/>
        <item x="37"/>
        <item x="38"/>
        <item x="39"/>
        <item m="1" x="293"/>
        <item x="41"/>
        <item m="1" x="294"/>
        <item m="1" x="295"/>
        <item m="1" x="296"/>
        <item m="1" x="297"/>
        <item m="1" x="298"/>
        <item m="1" x="299"/>
        <item m="1" x="300"/>
        <item m="1" x="301"/>
        <item x="63"/>
        <item x="64"/>
        <item x="66"/>
        <item x="67"/>
        <item x="68"/>
        <item x="71"/>
        <item x="72"/>
        <item x="74"/>
        <item x="75"/>
        <item x="76"/>
        <item x="77"/>
        <item m="1" x="302"/>
        <item m="1" x="303"/>
        <item m="1" x="304"/>
        <item x="81"/>
        <item x="83"/>
        <item m="1" x="305"/>
        <item m="1" x="306"/>
        <item m="1" x="307"/>
        <item x="88"/>
        <item m="1" x="308"/>
        <item x="91"/>
        <item x="92"/>
        <item x="93"/>
        <item x="94"/>
        <item x="95"/>
        <item x="96"/>
        <item x="97"/>
        <item m="1" x="309"/>
        <item m="1" x="310"/>
        <item m="1" x="311"/>
        <item m="1" x="312"/>
        <item m="1" x="313"/>
        <item x="22"/>
        <item x="20"/>
        <item x="21"/>
        <item x="23"/>
        <item x="24"/>
        <item m="1" x="314"/>
        <item m="1" x="315"/>
        <item x="42"/>
        <item x="43"/>
        <item x="44"/>
        <item x="45"/>
        <item x="46"/>
        <item x="47"/>
        <item x="48"/>
        <item m="1" x="316"/>
        <item x="25"/>
        <item m="1" x="317"/>
        <item m="1" x="318"/>
        <item m="1" x="319"/>
        <item m="1" x="320"/>
        <item m="1" x="321"/>
        <item m="1" x="322"/>
        <item x="26"/>
        <item x="27"/>
        <item x="28"/>
        <item m="1" x="323"/>
        <item m="1" x="324"/>
        <item m="1" x="325"/>
        <item x="29"/>
        <item x="30"/>
        <item x="31"/>
        <item x="32"/>
        <item x="40"/>
        <item x="49"/>
        <item x="78"/>
        <item x="79"/>
        <item x="80"/>
        <item m="1" x="326"/>
        <item m="1" x="327"/>
        <item x="84"/>
        <item x="85"/>
        <item x="86"/>
        <item x="87"/>
        <item x="90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1"/>
    <field x="2"/>
  </rowFields>
  <rowItems count="36">
    <i>
      <x v="10"/>
      <x v="86"/>
    </i>
    <i r="1">
      <x v="88"/>
    </i>
    <i r="1">
      <x v="89"/>
    </i>
    <i r="1">
      <x v="253"/>
    </i>
    <i r="1">
      <x v="254"/>
    </i>
    <i r="1">
      <x v="255"/>
    </i>
    <i>
      <x v="11"/>
      <x v="91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318"/>
    </i>
    <i r="1">
      <x v="319"/>
    </i>
    <i>
      <x v="12"/>
      <x v="57"/>
    </i>
    <i r="1">
      <x v="133"/>
    </i>
    <i r="1">
      <x v="185"/>
    </i>
    <i r="1">
      <x v="265"/>
    </i>
    <i r="1">
      <x v="266"/>
    </i>
    <i r="1">
      <x v="270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320"/>
    </i>
    <i r="1">
      <x v="323"/>
    </i>
    <i r="1">
      <x v="324"/>
    </i>
    <i r="1">
      <x v="325"/>
    </i>
    <i r="1">
      <x v="326"/>
    </i>
    <i r="1">
      <x v="327"/>
    </i>
    <i>
      <x v="13"/>
      <x v="251"/>
    </i>
    <i r="1">
      <x v="252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item="2" hier="0"/>
  </pageFields>
  <dataFields count="4">
    <dataField name="           2000" fld="3" baseField="0" baseItem="0" numFmtId="165"/>
    <dataField name="           2001" fld="4" baseField="0" baseItem="0" numFmtId="165"/>
    <dataField name="           2002" fld="5" baseField="0" baseItem="0" numFmtId="165"/>
    <dataField name="           2003" fld="6" baseField="0" baseItem="0" numFmtId="165"/>
  </dataFields>
  <formats count="8">
    <format dxfId="7">
      <pivotArea outline="0" fieldPosition="0">
        <references count="1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7"/>
          </reference>
        </references>
      </pivotArea>
    </format>
    <format dxfId="6">
      <pivotArea outline="0" fieldPosition="0">
        <references count="1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13"/>
          </reference>
        </references>
      </pivotArea>
    </format>
    <format dxfId="5">
      <pivotArea outline="0" fieldPosition="0">
        <references count="1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13"/>
          </reference>
        </references>
      </pivotArea>
    </format>
    <format dxfId="4">
      <pivotArea outline="0" fieldPosition="0">
        <references count="2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12"/>
          </reference>
          <reference field="2" count="1" selected="0">
            <x v="197"/>
          </reference>
        </references>
      </pivotArea>
    </format>
    <format dxfId="3">
      <pivotArea outline="0" fieldPosition="0">
        <references count="2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4"/>
          </reference>
          <reference field="2" count="1" selected="0">
            <x v="199"/>
          </reference>
        </references>
      </pivotArea>
    </format>
    <format dxfId="2">
      <pivotArea outline="0" fieldPosition="0">
        <references count="2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11"/>
          </reference>
          <reference field="2" count="1" selected="0">
            <x v="225"/>
          </reference>
        </references>
      </pivotArea>
    </format>
    <format dxfId="1">
      <pivotArea outline="0" fieldPosition="0">
        <references count="2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4"/>
          </reference>
          <reference field="2" count="1" selected="0">
            <x v="215"/>
          </reference>
        </references>
      </pivotArea>
    </format>
    <format dxfId="0">
      <pivotArea outline="0" fieldPosition="0">
        <references count="2">
          <reference field="1" count="1" selected="0" defaultSubtotal="1" sumSubtotal="1" countASubtotal="1" avgSubtotal="1" maxSubtotal="1" minSubtotal="1" productSubtotal="1" countSubtotal="1" stdDevSubtotal="1" stdDevPSubtotal="1" varSubtotal="1" varPSubtotal="1">
            <x v="10"/>
          </reference>
          <reference field="2" count="1" selected="0">
            <x v="216"/>
          </reference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R127"/>
  <sheetViews>
    <sheetView topLeftCell="A2" zoomScale="75" zoomScaleNormal="120" zoomScaleSheetLayoutView="115" workbookViewId="0">
      <pane xSplit="2" ySplit="6" topLeftCell="C26" activePane="bottomRight" state="frozen"/>
      <selection activeCell="A2" sqref="A1:IV65536"/>
      <selection pane="topRight" activeCell="A2" sqref="A1:IV65536"/>
      <selection pane="bottomLeft" activeCell="A2" sqref="A1:IV65536"/>
      <selection pane="bottomRight" activeCell="D46" sqref="D46"/>
    </sheetView>
  </sheetViews>
  <sheetFormatPr defaultRowHeight="12.75"/>
  <cols>
    <col min="1" max="1" width="4.140625" customWidth="1"/>
    <col min="2" max="2" width="33.5703125" customWidth="1"/>
    <col min="3" max="3" width="11.140625" style="66" customWidth="1"/>
    <col min="4" max="4" width="12.7109375" style="275" customWidth="1"/>
    <col min="5" max="6" width="12.7109375" customWidth="1"/>
    <col min="7" max="7" width="9.42578125" customWidth="1"/>
    <col min="8" max="8" width="9.5703125" style="41" customWidth="1"/>
    <col min="9" max="9" width="8.7109375" style="41" customWidth="1"/>
  </cols>
  <sheetData>
    <row r="1" spans="1:18" ht="13.5" thickBot="1">
      <c r="D1" s="315"/>
    </row>
    <row r="2" spans="1:18" ht="20.100000000000001" customHeight="1" thickBot="1">
      <c r="A2" t="s">
        <v>1448</v>
      </c>
      <c r="B2" s="333" t="s">
        <v>2040</v>
      </c>
      <c r="C2" s="141" t="s">
        <v>1433</v>
      </c>
      <c r="D2" s="335" t="s">
        <v>1863</v>
      </c>
      <c r="E2" s="55" t="s">
        <v>1912</v>
      </c>
      <c r="F2" s="337" t="s">
        <v>1864</v>
      </c>
      <c r="G2" s="823" t="s">
        <v>2031</v>
      </c>
      <c r="H2" s="820" t="s">
        <v>2044</v>
      </c>
      <c r="I2" s="817" t="s">
        <v>2041</v>
      </c>
      <c r="J2" s="826" t="s">
        <v>2032</v>
      </c>
      <c r="K2" s="829" t="s">
        <v>2036</v>
      </c>
      <c r="L2" s="806" t="s">
        <v>2048</v>
      </c>
      <c r="M2" s="809" t="s">
        <v>2049</v>
      </c>
      <c r="N2" s="812" t="s">
        <v>2057</v>
      </c>
      <c r="O2" s="803" t="s">
        <v>2548</v>
      </c>
    </row>
    <row r="3" spans="1:18" ht="20.100000000000001" customHeight="1">
      <c r="A3">
        <v>1</v>
      </c>
      <c r="B3" s="2" t="s">
        <v>1434</v>
      </c>
      <c r="C3" s="334">
        <v>1000</v>
      </c>
      <c r="D3" s="266"/>
      <c r="E3" s="147" t="s">
        <v>1926</v>
      </c>
      <c r="F3" s="336">
        <v>36940</v>
      </c>
      <c r="G3" s="824"/>
      <c r="H3" s="821"/>
      <c r="I3" s="818"/>
      <c r="J3" s="827"/>
      <c r="K3" s="830"/>
      <c r="L3" s="807"/>
      <c r="M3" s="810"/>
      <c r="N3" s="813"/>
      <c r="O3" s="804"/>
    </row>
    <row r="4" spans="1:18" ht="19.899999999999999" customHeight="1" thickBot="1">
      <c r="B4" s="2" t="s">
        <v>2356</v>
      </c>
      <c r="C4" s="453" t="str">
        <f>[1]ORD!$D$6</f>
        <v>VAB</v>
      </c>
      <c r="D4" s="267"/>
      <c r="F4" s="300"/>
      <c r="G4" s="825"/>
      <c r="H4" s="822"/>
      <c r="I4" s="819"/>
      <c r="J4" s="828"/>
      <c r="K4" s="831"/>
      <c r="L4" s="808"/>
      <c r="M4" s="811"/>
      <c r="N4" s="814"/>
      <c r="O4" s="805"/>
    </row>
    <row r="5" spans="1:18" ht="19.899999999999999" customHeight="1" thickBot="1">
      <c r="B5" s="2"/>
      <c r="C5" s="114"/>
      <c r="D5" s="267"/>
      <c r="F5" s="300"/>
      <c r="G5" s="832" t="s">
        <v>2040</v>
      </c>
      <c r="H5" s="833"/>
      <c r="I5" s="833"/>
      <c r="J5" s="833"/>
      <c r="K5" s="834"/>
    </row>
    <row r="6" spans="1:18" ht="36.6" customHeight="1" thickBot="1">
      <c r="A6" t="s">
        <v>1448</v>
      </c>
      <c r="B6" s="638" t="s">
        <v>291</v>
      </c>
      <c r="C6" s="302" t="s">
        <v>1911</v>
      </c>
      <c r="D6" s="303" t="s">
        <v>1837</v>
      </c>
      <c r="E6" s="815" t="s">
        <v>2054</v>
      </c>
      <c r="F6" s="815"/>
      <c r="G6" s="815"/>
      <c r="H6" s="815"/>
      <c r="I6" s="815"/>
      <c r="J6" s="815"/>
      <c r="K6" s="816"/>
      <c r="M6" s="637"/>
    </row>
    <row r="7" spans="1:18" ht="19.899999999999999" customHeight="1">
      <c r="A7">
        <v>2</v>
      </c>
      <c r="B7" s="35" t="s">
        <v>1835</v>
      </c>
      <c r="C7" s="295"/>
      <c r="D7" s="298">
        <f>[1]ORD!$D$1</f>
        <v>2000</v>
      </c>
      <c r="E7" s="299">
        <f>D7+1</f>
        <v>2001</v>
      </c>
      <c r="F7" s="299">
        <f>E7+1</f>
        <v>2002</v>
      </c>
      <c r="G7" s="299">
        <f>F7+1</f>
        <v>2003</v>
      </c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</row>
    <row r="8" spans="1:18" ht="19.149999999999999" customHeight="1">
      <c r="A8" t="s">
        <v>1448</v>
      </c>
      <c r="B8" s="35" t="s">
        <v>1435</v>
      </c>
      <c r="C8" s="295"/>
      <c r="D8" s="296"/>
      <c r="E8" s="295"/>
      <c r="F8" s="297"/>
      <c r="G8" s="21"/>
      <c r="H8" s="43"/>
      <c r="J8" s="23"/>
      <c r="K8" s="23"/>
      <c r="L8" s="23"/>
      <c r="M8" s="23"/>
      <c r="N8" s="23"/>
      <c r="O8" s="23"/>
      <c r="P8" s="23"/>
      <c r="Q8" s="23"/>
      <c r="R8" s="23"/>
    </row>
    <row r="9" spans="1:18">
      <c r="A9" s="94">
        <v>3</v>
      </c>
      <c r="B9" s="310" t="s">
        <v>2045</v>
      </c>
      <c r="C9" s="114"/>
      <c r="D9" s="321">
        <v>3.5000000000000003E-2</v>
      </c>
      <c r="E9" s="306">
        <f>'[1]ASU - 123'!E$7</f>
        <v>0.05</v>
      </c>
      <c r="F9" s="306">
        <f>'[1]ASU - 123'!F$7</f>
        <v>0.05</v>
      </c>
      <c r="G9" s="306">
        <f>'[1]ASU - 123'!G$7</f>
        <v>5.5E-2</v>
      </c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23"/>
    </row>
    <row r="10" spans="1:18">
      <c r="A10" s="94">
        <f t="shared" ref="A10:A20" si="0">A9+1</f>
        <v>4</v>
      </c>
      <c r="B10" s="2" t="s">
        <v>1436</v>
      </c>
      <c r="C10" s="114"/>
      <c r="D10" s="282">
        <f>[1]ORD!$D$16/[1]ORD!$C$16-1</f>
        <v>0.18100000000000005</v>
      </c>
      <c r="E10" s="306">
        <f>'[1]ASU - 123'!E$8</f>
        <v>0.249</v>
      </c>
      <c r="F10" s="306">
        <f>'[1]ASU - 123'!F$8</f>
        <v>0.17199999999999999</v>
      </c>
      <c r="G10" s="306">
        <f>'[1]ASU - 123'!G$8</f>
        <v>0.13200000000000001</v>
      </c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23"/>
    </row>
    <row r="11" spans="1:18" ht="13.5" thickBot="1">
      <c r="A11" s="94">
        <f t="shared" si="0"/>
        <v>5</v>
      </c>
      <c r="B11" s="2" t="s">
        <v>1437</v>
      </c>
      <c r="C11" s="452"/>
      <c r="D11" s="322">
        <v>0.5</v>
      </c>
      <c r="E11" s="323"/>
      <c r="F11" s="323"/>
      <c r="G11" s="323"/>
      <c r="H11" s="714"/>
      <c r="I11" s="714"/>
      <c r="J11" s="714"/>
      <c r="K11" s="714"/>
      <c r="L11" s="714"/>
      <c r="M11" s="714"/>
      <c r="N11" s="714"/>
      <c r="O11" s="714"/>
      <c r="P11" s="714"/>
      <c r="Q11" s="714"/>
      <c r="R11" s="23"/>
    </row>
    <row r="12" spans="1:18" ht="13.5" thickBot="1">
      <c r="A12" s="94">
        <f t="shared" si="0"/>
        <v>6</v>
      </c>
      <c r="B12" s="2" t="s">
        <v>1438</v>
      </c>
      <c r="C12" s="114"/>
      <c r="D12" s="307"/>
      <c r="E12" s="314">
        <f>'[1]ASU - 123'!E$9</f>
        <v>3.6549972390944232</v>
      </c>
      <c r="F12" s="348">
        <f>'[1]ASU - 123'!F$9</f>
        <v>4.0999999999999996</v>
      </c>
      <c r="G12" s="348">
        <f>'[1]ASU - 123'!G$9</f>
        <v>3.9</v>
      </c>
      <c r="H12" s="715"/>
      <c r="I12" s="715"/>
      <c r="J12" s="715"/>
      <c r="K12" s="715"/>
      <c r="L12" s="715"/>
      <c r="M12" s="715"/>
      <c r="N12" s="715"/>
      <c r="O12" s="715"/>
      <c r="P12" s="715"/>
      <c r="Q12" s="715"/>
      <c r="R12" s="715"/>
    </row>
    <row r="13" spans="1:18" ht="20.100000000000001" customHeight="1">
      <c r="A13" s="94">
        <f t="shared" si="0"/>
        <v>7</v>
      </c>
      <c r="B13" s="109" t="s">
        <v>1439</v>
      </c>
      <c r="C13" s="18" t="s">
        <v>1923</v>
      </c>
      <c r="D13" s="283">
        <f>[1]ORD!$D$5</f>
        <v>9055</v>
      </c>
      <c r="E13" s="308">
        <f>[1]SNA!E$5</f>
        <v>11875.179750000001</v>
      </c>
      <c r="F13" s="308">
        <f>[1]SNA!F$5</f>
        <v>14613.596200350003</v>
      </c>
      <c r="G13" s="308">
        <f>[1]SNA!G$5</f>
        <v>17452.433398229994</v>
      </c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23"/>
    </row>
    <row r="14" spans="1:18">
      <c r="A14" s="94">
        <f t="shared" si="0"/>
        <v>8</v>
      </c>
      <c r="B14" s="18" t="s">
        <v>1440</v>
      </c>
      <c r="C14" s="18"/>
      <c r="D14" s="268">
        <f>D13-D15-D16-D17+D18</f>
        <v>7866.2844000000005</v>
      </c>
      <c r="E14" s="29">
        <f>E13-E15-E16-E17+E18</f>
        <v>9105.6045548404218</v>
      </c>
      <c r="F14" s="29">
        <f>F13-F15-F16-F17+F18</f>
        <v>11038.040771483567</v>
      </c>
      <c r="G14" s="29">
        <f>G13-G15-G16-G17+G18</f>
        <v>13165.14917502881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3"/>
    </row>
    <row r="15" spans="1:18">
      <c r="A15" s="94">
        <f t="shared" si="0"/>
        <v>9</v>
      </c>
      <c r="B15" s="18" t="s">
        <v>1441</v>
      </c>
      <c r="C15" s="18"/>
      <c r="D15" s="268">
        <f>D40</f>
        <v>912</v>
      </c>
      <c r="E15" s="29">
        <f>E40</f>
        <v>1395.9999999999993</v>
      </c>
      <c r="F15" s="29">
        <f>F40</f>
        <v>1637.5575346226281</v>
      </c>
      <c r="G15" s="29">
        <f>G40</f>
        <v>1872.0455694742659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3"/>
    </row>
    <row r="16" spans="1:18">
      <c r="A16" s="94">
        <f t="shared" si="0"/>
        <v>10</v>
      </c>
      <c r="B16" s="18" t="s">
        <v>1442</v>
      </c>
      <c r="C16" s="18"/>
      <c r="D16" s="284">
        <f>[1]ORD!$D$12</f>
        <v>1654.8000000000002</v>
      </c>
      <c r="E16" s="309">
        <f>[1]SNA!E$26</f>
        <v>2591.2854119595804</v>
      </c>
      <c r="F16" s="309">
        <f>[1]SNA!F$26</f>
        <v>3287.2208144582064</v>
      </c>
      <c r="G16" s="309">
        <f>[1]SNA!G$26</f>
        <v>3867.0025158776125</v>
      </c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3"/>
    </row>
    <row r="17" spans="1:18">
      <c r="A17" s="94">
        <f t="shared" si="0"/>
        <v>11</v>
      </c>
      <c r="B17" s="18" t="s">
        <v>1443</v>
      </c>
      <c r="C17" s="18"/>
      <c r="D17" s="268">
        <f>D78*D73</f>
        <v>2768.6119999999996</v>
      </c>
      <c r="E17" s="29">
        <f>E78*E73</f>
        <v>4247.6356384000001</v>
      </c>
      <c r="F17" s="29">
        <f>F78*F73</f>
        <v>4706.3802873472005</v>
      </c>
      <c r="G17" s="29">
        <f>G78*G73</f>
        <v>5064.0651891855878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3"/>
    </row>
    <row r="18" spans="1:18">
      <c r="A18" s="94">
        <f t="shared" si="0"/>
        <v>12</v>
      </c>
      <c r="B18" s="18" t="s">
        <v>1444</v>
      </c>
      <c r="C18" s="18"/>
      <c r="D18" s="268">
        <f>D79*D73</f>
        <v>4146.6963999999998</v>
      </c>
      <c r="E18" s="29">
        <f>E79*E73</f>
        <v>5465.3458552000002</v>
      </c>
      <c r="F18" s="29">
        <f>F79*F73</f>
        <v>6055.6032075616004</v>
      </c>
      <c r="G18" s="29">
        <f>G79*G73</f>
        <v>6515.8290513362817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3"/>
    </row>
    <row r="19" spans="1:18">
      <c r="A19" s="94">
        <f t="shared" si="0"/>
        <v>13</v>
      </c>
      <c r="B19" s="18" t="s">
        <v>1445</v>
      </c>
      <c r="C19" s="18"/>
      <c r="D19" s="269">
        <f>D34+D35+D36-D44-D45</f>
        <v>1017</v>
      </c>
      <c r="E19" s="34">
        <f>E34+E35+E36-E44-E45</f>
        <v>1285.0000000000009</v>
      </c>
      <c r="F19" s="34">
        <f>F34+F35+F36-F44-F45</f>
        <v>1786.1915370207912</v>
      </c>
      <c r="G19" s="34">
        <f>G34+G35+G36-G44-G45</f>
        <v>2122.5671774389284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23"/>
    </row>
    <row r="20" spans="1:18" ht="20.100000000000001" customHeight="1">
      <c r="A20" s="94">
        <f t="shared" si="0"/>
        <v>14</v>
      </c>
      <c r="B20" s="109" t="s">
        <v>1446</v>
      </c>
      <c r="C20" s="139"/>
      <c r="D20" s="285">
        <f>[1]SNA!$D$7</f>
        <v>8038</v>
      </c>
      <c r="E20" s="311">
        <f>[1]SNA!E$7</f>
        <v>10590.179749999999</v>
      </c>
      <c r="F20" s="311">
        <f>[1]SNA!F$7</f>
        <v>12828.404663329211</v>
      </c>
      <c r="G20" s="311">
        <f>[1]SNA!G$7</f>
        <v>15331.866220791066</v>
      </c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23"/>
    </row>
    <row r="21" spans="1:18" ht="20.100000000000001" customHeight="1">
      <c r="A21" t="s">
        <v>1448</v>
      </c>
      <c r="B21" s="35" t="s">
        <v>1447</v>
      </c>
      <c r="C21" s="18" t="s">
        <v>1421</v>
      </c>
      <c r="D21" s="271"/>
      <c r="E21" s="21"/>
      <c r="F21" s="21"/>
      <c r="G21" s="21"/>
      <c r="H21" s="716"/>
      <c r="I21" s="716"/>
      <c r="J21" s="716"/>
      <c r="K21" s="716"/>
      <c r="L21" s="716"/>
      <c r="M21" s="716"/>
      <c r="N21" s="716"/>
      <c r="O21" s="716"/>
      <c r="P21" s="716"/>
      <c r="Q21" s="716"/>
      <c r="R21" s="23"/>
    </row>
    <row r="22" spans="1:18" ht="19.899999999999999" customHeight="1">
      <c r="A22" s="94">
        <f>A20+1</f>
        <v>15</v>
      </c>
      <c r="B22" s="149" t="s">
        <v>1509</v>
      </c>
      <c r="C22" s="93"/>
      <c r="D22" s="270">
        <f>D23+D29</f>
        <v>-878.09999999999991</v>
      </c>
      <c r="E22" s="26">
        <f>E23+E29</f>
        <v>-1068.0044719999987</v>
      </c>
      <c r="F22" s="26">
        <f>F23+F29</f>
        <v>-887.70502682508368</v>
      </c>
      <c r="G22" s="26">
        <f>G23+G29</f>
        <v>-723.27860063057528</v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23"/>
    </row>
    <row r="23" spans="1:18" ht="12.75" customHeight="1">
      <c r="A23" s="94">
        <f t="shared" ref="A23:A29" si="1">A22+1</f>
        <v>16</v>
      </c>
      <c r="B23" s="111" t="s">
        <v>1886</v>
      </c>
      <c r="C23" s="32"/>
      <c r="D23" s="270">
        <f>D31-D39-D50</f>
        <v>-1453.1</v>
      </c>
      <c r="E23" s="26">
        <f>E31-E39-E50</f>
        <v>-2296.0044719999987</v>
      </c>
      <c r="F23" s="26">
        <f>F31-F39-F50</f>
        <v>-2273.2706519610838</v>
      </c>
      <c r="G23" s="26">
        <f>G31-G39-G50</f>
        <v>-2238.5876823366875</v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23"/>
    </row>
    <row r="24" spans="1:18">
      <c r="A24" s="94">
        <f t="shared" si="1"/>
        <v>17</v>
      </c>
      <c r="B24" s="111" t="s">
        <v>1887</v>
      </c>
      <c r="C24" s="32"/>
      <c r="D24" s="270">
        <f>D25+D29</f>
        <v>-296.39999999999986</v>
      </c>
      <c r="E24" s="26">
        <f>E25+E29</f>
        <v>-365.99999999999886</v>
      </c>
      <c r="F24" s="26">
        <f>F25+F29</f>
        <v>-146.69919339550211</v>
      </c>
      <c r="G24" s="26">
        <f>G25+G29</f>
        <v>-126.70815225727279</v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23"/>
    </row>
    <row r="25" spans="1:18">
      <c r="A25" s="94">
        <f t="shared" si="1"/>
        <v>18</v>
      </c>
      <c r="B25" s="111" t="s">
        <v>1888</v>
      </c>
      <c r="C25" s="32"/>
      <c r="D25" s="270">
        <f>D23+D47</f>
        <v>-871.39999999999986</v>
      </c>
      <c r="E25" s="26">
        <f>E23+E47</f>
        <v>-1593.9999999999989</v>
      </c>
      <c r="F25" s="26">
        <f>F23+F47</f>
        <v>-1532.2648185315022</v>
      </c>
      <c r="G25" s="26">
        <f>G23+G47</f>
        <v>-1642.017233963385</v>
      </c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23"/>
    </row>
    <row r="26" spans="1:18" ht="16.149999999999999" customHeight="1">
      <c r="A26" s="94">
        <f t="shared" si="1"/>
        <v>19</v>
      </c>
      <c r="B26" s="111" t="s">
        <v>1876</v>
      </c>
      <c r="C26" s="32"/>
      <c r="D26" s="269">
        <f>D22-D56+D58+D59</f>
        <v>-1023.0999999999999</v>
      </c>
      <c r="E26" s="34">
        <f>E22-E56+E58+E59</f>
        <v>-1112.0044719999987</v>
      </c>
      <c r="F26" s="34">
        <f>F22-F56+F58+F59</f>
        <v>-931.70502682508368</v>
      </c>
      <c r="G26" s="34">
        <f>G22-G56+G58+G59</f>
        <v>-767.27860063057528</v>
      </c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23"/>
    </row>
    <row r="27" spans="1:18">
      <c r="A27" s="94">
        <f t="shared" si="1"/>
        <v>20</v>
      </c>
      <c r="B27" s="111" t="s">
        <v>1875</v>
      </c>
      <c r="C27" s="32"/>
      <c r="D27" s="269">
        <f>D26-D29+D48+D52+D54</f>
        <v>-338.36639999999989</v>
      </c>
      <c r="E27" s="34">
        <f>E26-E29+E48+E52+E54</f>
        <v>-840.99999999999864</v>
      </c>
      <c r="F27" s="34">
        <f>F26-F29+F48+F52+F54</f>
        <v>-554.84991483848376</v>
      </c>
      <c r="G27" s="34">
        <f>G26-G29+G48+G52+G54</f>
        <v>-502.9239978763012</v>
      </c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23"/>
    </row>
    <row r="28" spans="1:18" ht="20.100000000000001" customHeight="1">
      <c r="A28" s="94">
        <f t="shared" si="1"/>
        <v>21</v>
      </c>
      <c r="B28" s="106" t="s">
        <v>1449</v>
      </c>
      <c r="C28" s="93"/>
      <c r="D28" s="272">
        <f>D29+D31</f>
        <v>2528</v>
      </c>
      <c r="E28" s="76">
        <f>E29+E31</f>
        <v>3522.0000000000009</v>
      </c>
      <c r="F28" s="76">
        <f>F29+F31</f>
        <v>4181.0361489944298</v>
      </c>
      <c r="G28" s="76">
        <f>G29+G31</f>
        <v>4842.9271788815231</v>
      </c>
      <c r="H28" s="717"/>
      <c r="I28" s="717"/>
      <c r="J28" s="717"/>
      <c r="K28" s="717"/>
      <c r="L28" s="717"/>
      <c r="M28" s="717"/>
      <c r="N28" s="717"/>
      <c r="O28" s="717"/>
      <c r="P28" s="717"/>
      <c r="Q28" s="717"/>
      <c r="R28" s="23"/>
    </row>
    <row r="29" spans="1:18">
      <c r="A29" s="94">
        <f t="shared" si="1"/>
        <v>22</v>
      </c>
      <c r="B29" s="4" t="s">
        <v>1450</v>
      </c>
      <c r="C29" s="32"/>
      <c r="D29" s="286">
        <f>[1]ORD!$D$58</f>
        <v>575</v>
      </c>
      <c r="E29" s="312">
        <f>[1]GOV!E$16</f>
        <v>1228</v>
      </c>
      <c r="F29" s="312">
        <f>[1]GOV!F$16</f>
        <v>1385.5656251360001</v>
      </c>
      <c r="G29" s="312">
        <f>[1]GOV!G$16</f>
        <v>1515.3090817061122</v>
      </c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23"/>
    </row>
    <row r="30" spans="1:18">
      <c r="A30" s="94"/>
      <c r="B30" s="4" t="s">
        <v>1894</v>
      </c>
      <c r="C30" s="32"/>
      <c r="D30" s="324">
        <v>457</v>
      </c>
      <c r="E30" s="325">
        <v>468</v>
      </c>
      <c r="F30" s="325">
        <v>469</v>
      </c>
      <c r="G30" s="325">
        <v>470</v>
      </c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23"/>
    </row>
    <row r="31" spans="1:18" ht="20.100000000000001" customHeight="1">
      <c r="A31" s="94">
        <f>A29+1</f>
        <v>23</v>
      </c>
      <c r="B31" s="106" t="s">
        <v>1451</v>
      </c>
      <c r="C31" s="93"/>
      <c r="D31" s="270">
        <f>D32+D33</f>
        <v>1953</v>
      </c>
      <c r="E31" s="26">
        <f>E32+E33</f>
        <v>2294.0000000000009</v>
      </c>
      <c r="F31" s="26">
        <f>F32+F33</f>
        <v>2795.4705238584297</v>
      </c>
      <c r="G31" s="26">
        <f>G32+G33</f>
        <v>3327.6180971754111</v>
      </c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23"/>
    </row>
    <row r="32" spans="1:18">
      <c r="A32" s="94">
        <f t="shared" ref="A32:A54" si="2">A31+1</f>
        <v>24</v>
      </c>
      <c r="B32" s="4" t="s">
        <v>1452</v>
      </c>
      <c r="C32" s="32"/>
      <c r="D32" s="287">
        <f>[1]GOV!D$12</f>
        <v>214</v>
      </c>
      <c r="E32" s="313">
        <f>[1]GOV!E$12</f>
        <v>73.999999999999943</v>
      </c>
      <c r="F32" s="313">
        <f>[1]GOV!F$12</f>
        <v>91.064399999999935</v>
      </c>
      <c r="G32" s="313">
        <f>[1]GOV!G$12</f>
        <v>108.75457034399992</v>
      </c>
      <c r="H32" s="718"/>
      <c r="I32" s="718"/>
      <c r="J32" s="718"/>
      <c r="K32" s="718"/>
      <c r="L32" s="718"/>
      <c r="M32" s="718"/>
      <c r="N32" s="718"/>
      <c r="O32" s="718"/>
      <c r="P32" s="718"/>
      <c r="Q32" s="718"/>
      <c r="R32" s="23"/>
    </row>
    <row r="33" spans="1:18" ht="20.100000000000001" customHeight="1">
      <c r="A33" s="94">
        <f t="shared" si="2"/>
        <v>25</v>
      </c>
      <c r="B33" s="106" t="s">
        <v>1453</v>
      </c>
      <c r="C33" s="93"/>
      <c r="D33" s="287">
        <f>[1]GOV!D$7</f>
        <v>1739</v>
      </c>
      <c r="E33" s="313">
        <f>[1]GOV!E$7</f>
        <v>2220.0000000000009</v>
      </c>
      <c r="F33" s="313">
        <f>[1]GOV!F$7</f>
        <v>2704.40612385843</v>
      </c>
      <c r="G33" s="313">
        <f>[1]GOV!G$7</f>
        <v>3218.863526831411</v>
      </c>
      <c r="H33" s="718"/>
      <c r="I33" s="718"/>
      <c r="J33" s="718"/>
      <c r="K33" s="718"/>
      <c r="L33" s="718"/>
      <c r="M33" s="718"/>
      <c r="N33" s="718"/>
      <c r="O33" s="718"/>
      <c r="P33" s="718"/>
      <c r="Q33" s="718"/>
      <c r="R33" s="23"/>
    </row>
    <row r="34" spans="1:18">
      <c r="A34" s="94">
        <f t="shared" si="2"/>
        <v>26</v>
      </c>
      <c r="B34" s="4" t="s">
        <v>1454</v>
      </c>
      <c r="C34" s="32"/>
      <c r="D34" s="287">
        <f>[1]GOV!D$11</f>
        <v>508</v>
      </c>
      <c r="E34" s="313">
        <f>[1]GOV!E$11</f>
        <v>853.00000000000057</v>
      </c>
      <c r="F34" s="313">
        <f>[1]GOV!F$11</f>
        <v>1049.7018000000007</v>
      </c>
      <c r="G34" s="313">
        <f>[1]GOV!G$11</f>
        <v>1253.6168716680011</v>
      </c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23"/>
    </row>
    <row r="35" spans="1:18">
      <c r="A35" s="94">
        <f t="shared" si="2"/>
        <v>27</v>
      </c>
      <c r="B35" s="4" t="s">
        <v>1455</v>
      </c>
      <c r="C35" s="32"/>
      <c r="D35" s="287">
        <f>[1]GOV!D$10</f>
        <v>597</v>
      </c>
      <c r="E35" s="313">
        <f>[1]GOV!E$10</f>
        <v>624.00000000000034</v>
      </c>
      <c r="F35" s="313">
        <f>[1]GOV!F$10</f>
        <v>754.67194576271231</v>
      </c>
      <c r="G35" s="313">
        <f>[1]GOV!G$10</f>
        <v>889.57307162033953</v>
      </c>
      <c r="H35" s="718"/>
      <c r="I35" s="718"/>
      <c r="J35" s="718"/>
      <c r="K35" s="718"/>
      <c r="L35" s="718"/>
      <c r="M35" s="718"/>
      <c r="N35" s="718"/>
      <c r="O35" s="718"/>
      <c r="P35" s="718"/>
      <c r="Q35" s="718"/>
      <c r="R35" s="23"/>
    </row>
    <row r="36" spans="1:18">
      <c r="A36" s="94">
        <f t="shared" si="2"/>
        <v>28</v>
      </c>
      <c r="B36" s="2" t="s">
        <v>1456</v>
      </c>
      <c r="C36" s="114"/>
      <c r="D36" s="326">
        <v>0</v>
      </c>
      <c r="E36" s="327">
        <v>0</v>
      </c>
      <c r="F36" s="327">
        <v>1</v>
      </c>
      <c r="G36" s="327">
        <v>2</v>
      </c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23"/>
    </row>
    <row r="37" spans="1:18">
      <c r="A37" s="94">
        <f t="shared" si="2"/>
        <v>29</v>
      </c>
      <c r="B37" s="4" t="s">
        <v>1457</v>
      </c>
      <c r="C37" s="32"/>
      <c r="D37" s="270">
        <f>D33-SUM(D34:D36)</f>
        <v>634</v>
      </c>
      <c r="E37" s="26">
        <f>E33-SUM(E34:E36)</f>
        <v>743</v>
      </c>
      <c r="F37" s="26">
        <f>F33-SUM(F34:F36)</f>
        <v>899.03237809571692</v>
      </c>
      <c r="G37" s="26">
        <f>G33-SUM(G34:G36)</f>
        <v>1073.6735835430704</v>
      </c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23"/>
    </row>
    <row r="38" spans="1:18" ht="19.899999999999999" customHeight="1">
      <c r="A38" s="94">
        <f t="shared" si="2"/>
        <v>30</v>
      </c>
      <c r="B38" s="106" t="s">
        <v>1866</v>
      </c>
      <c r="C38" s="93"/>
      <c r="D38" s="270">
        <f>D39+D50</f>
        <v>3406.1</v>
      </c>
      <c r="E38" s="26">
        <f>E39+E50</f>
        <v>4590.0044719999996</v>
      </c>
      <c r="F38" s="26">
        <f>F39+F50</f>
        <v>5068.741175819514</v>
      </c>
      <c r="G38" s="26">
        <f>G39+G50</f>
        <v>5566.2057795120982</v>
      </c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23"/>
    </row>
    <row r="39" spans="1:18" ht="20.100000000000001" customHeight="1">
      <c r="A39" s="94">
        <f t="shared" si="2"/>
        <v>31</v>
      </c>
      <c r="B39" s="106" t="s">
        <v>1458</v>
      </c>
      <c r="C39" s="93"/>
      <c r="D39" s="288">
        <f>[1]GOV!D$43</f>
        <v>1917.1</v>
      </c>
      <c r="E39" s="316">
        <f>[1]GOV!E$43</f>
        <v>2714.0044719999996</v>
      </c>
      <c r="F39" s="316">
        <f>[1]GOV!F$43</f>
        <v>2919.5199767941322</v>
      </c>
      <c r="G39" s="316">
        <f>[1]GOV!G$43</f>
        <v>3114.3730786409815</v>
      </c>
      <c r="H39" s="719"/>
      <c r="I39" s="719"/>
      <c r="J39" s="719"/>
      <c r="K39" s="719"/>
      <c r="L39" s="719"/>
      <c r="M39" s="719"/>
      <c r="N39" s="719"/>
      <c r="O39" s="719"/>
      <c r="P39" s="719"/>
      <c r="Q39" s="719"/>
      <c r="R39" s="23"/>
    </row>
    <row r="40" spans="1:18">
      <c r="A40" s="94">
        <f t="shared" si="2"/>
        <v>32</v>
      </c>
      <c r="B40" s="4" t="s">
        <v>1459</v>
      </c>
      <c r="C40" s="32"/>
      <c r="D40" s="268">
        <f>D39-D43-D47</f>
        <v>912</v>
      </c>
      <c r="E40" s="29">
        <f>E39-E43-E47</f>
        <v>1395.9999999999993</v>
      </c>
      <c r="F40" s="29">
        <f>F39-F43-F47</f>
        <v>1637.5575346226281</v>
      </c>
      <c r="G40" s="29">
        <f>G39-G43-G47</f>
        <v>1872.0455694742659</v>
      </c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3"/>
    </row>
    <row r="41" spans="1:18">
      <c r="A41" s="94">
        <f t="shared" si="2"/>
        <v>33</v>
      </c>
      <c r="B41" s="4" t="s">
        <v>1460</v>
      </c>
      <c r="C41" s="32"/>
      <c r="D41" s="284">
        <f>[1]ORD!$D$65</f>
        <v>538</v>
      </c>
      <c r="E41" s="317">
        <f>[1]GOV!E$24</f>
        <v>740.99999999999977</v>
      </c>
      <c r="F41" s="317">
        <f>[1]GOV!F$24</f>
        <v>869.21929309123766</v>
      </c>
      <c r="G41" s="317">
        <f>[1]GOV!G$24</f>
        <v>993.6860794988761</v>
      </c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23"/>
    </row>
    <row r="42" spans="1:18">
      <c r="A42" s="94">
        <f t="shared" si="2"/>
        <v>34</v>
      </c>
      <c r="B42" s="4" t="s">
        <v>1461</v>
      </c>
      <c r="C42" s="32"/>
      <c r="D42" s="273">
        <f>D40-D41</f>
        <v>374</v>
      </c>
      <c r="E42" s="3">
        <f>E40-E41</f>
        <v>654.99999999999955</v>
      </c>
      <c r="F42" s="3">
        <f>F40-F41</f>
        <v>768.33824153139039</v>
      </c>
      <c r="G42" s="3">
        <f>G40-G41</f>
        <v>878.35948997538981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3"/>
    </row>
    <row r="43" spans="1:18">
      <c r="A43" s="94">
        <f t="shared" si="2"/>
        <v>35</v>
      </c>
      <c r="B43" s="12" t="s">
        <v>1462</v>
      </c>
      <c r="C43" s="115"/>
      <c r="D43" s="274">
        <f>SUM(D44:D46)</f>
        <v>423.39999999999986</v>
      </c>
      <c r="E43" s="2">
        <f>SUM(E44:E46)</f>
        <v>616.00000000000034</v>
      </c>
      <c r="F43" s="2">
        <f>SUM(F44:F46)</f>
        <v>540.95660874192242</v>
      </c>
      <c r="G43" s="2">
        <f>SUM(G44:G46)</f>
        <v>645.75706079341285</v>
      </c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23"/>
    </row>
    <row r="44" spans="1:18">
      <c r="A44" s="94">
        <f t="shared" si="2"/>
        <v>36</v>
      </c>
      <c r="B44" s="4" t="s">
        <v>1463</v>
      </c>
      <c r="C44" s="32"/>
      <c r="D44" s="284">
        <f>[1]ORD!$D$63</f>
        <v>0</v>
      </c>
      <c r="E44" s="318">
        <f>[1]GOV!E$31</f>
        <v>0</v>
      </c>
      <c r="F44" s="318">
        <f>[1]GOV!F$31</f>
        <v>0</v>
      </c>
      <c r="G44" s="318">
        <f>[1]GOV!G$31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3"/>
    </row>
    <row r="45" spans="1:18">
      <c r="A45" s="94">
        <f t="shared" si="2"/>
        <v>37</v>
      </c>
      <c r="B45" s="4" t="s">
        <v>1464</v>
      </c>
      <c r="C45" s="32"/>
      <c r="D45" s="284">
        <f>[1]ORD!$D$62-[1]ORD!$D$63</f>
        <v>88</v>
      </c>
      <c r="E45" s="318">
        <f>[1]GOV!E$32</f>
        <v>191.99999999999989</v>
      </c>
      <c r="F45" s="318">
        <f>[1]GOV!F$32</f>
        <v>19.182208741921816</v>
      </c>
      <c r="G45" s="318">
        <f>[1]GOV!G$32</f>
        <v>22.622765849412179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3"/>
    </row>
    <row r="46" spans="1:18">
      <c r="A46" s="94">
        <f t="shared" si="2"/>
        <v>38</v>
      </c>
      <c r="B46" s="4" t="s">
        <v>1465</v>
      </c>
      <c r="C46" s="32"/>
      <c r="D46" s="288">
        <f>[1]GOV!D$30</f>
        <v>335.39999999999986</v>
      </c>
      <c r="E46" s="316">
        <f>[1]GOV!E$30</f>
        <v>424.00000000000045</v>
      </c>
      <c r="F46" s="316">
        <f>[1]GOV!F$30</f>
        <v>521.77440000000058</v>
      </c>
      <c r="G46" s="316">
        <f>[1]GOV!G$30</f>
        <v>623.13429494400066</v>
      </c>
      <c r="H46" s="719"/>
      <c r="I46" s="719"/>
      <c r="J46" s="719"/>
      <c r="K46" s="719"/>
      <c r="L46" s="719"/>
      <c r="M46" s="719"/>
      <c r="N46" s="719"/>
      <c r="O46" s="719"/>
      <c r="P46" s="719"/>
      <c r="Q46" s="719"/>
      <c r="R46" s="23"/>
    </row>
    <row r="47" spans="1:18">
      <c r="A47" s="94">
        <f t="shared" si="2"/>
        <v>39</v>
      </c>
      <c r="B47" s="4" t="s">
        <v>1466</v>
      </c>
      <c r="C47" s="32"/>
      <c r="D47" s="268">
        <f>SUM(D48:D49)</f>
        <v>581.70000000000005</v>
      </c>
      <c r="E47" s="29">
        <f>SUM(E48:E49)</f>
        <v>702.00447199999985</v>
      </c>
      <c r="F47" s="29">
        <f>SUM(F48:F49)</f>
        <v>741.00583342958157</v>
      </c>
      <c r="G47" s="29">
        <f>SUM(G48:G49)</f>
        <v>596.5704483733025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3"/>
    </row>
    <row r="48" spans="1:18">
      <c r="A48" s="94">
        <f t="shared" si="2"/>
        <v>40</v>
      </c>
      <c r="B48" s="4" t="s">
        <v>1877</v>
      </c>
      <c r="C48" s="32" t="s">
        <v>1448</v>
      </c>
      <c r="D48" s="288">
        <f>[1]GOV!D$40</f>
        <v>441.73359999999997</v>
      </c>
      <c r="E48" s="316">
        <f>[1]GOV!E$40</f>
        <v>533.00447200000008</v>
      </c>
      <c r="F48" s="316">
        <f>[1]GOV!F$40</f>
        <v>591.42073712260003</v>
      </c>
      <c r="G48" s="316">
        <f>[1]GOV!G$40</f>
        <v>530.66368446038643</v>
      </c>
      <c r="H48" s="719"/>
      <c r="I48" s="719"/>
      <c r="J48" s="719"/>
      <c r="K48" s="719"/>
      <c r="L48" s="719"/>
      <c r="M48" s="719"/>
      <c r="N48" s="719"/>
      <c r="O48" s="719"/>
      <c r="P48" s="719"/>
      <c r="Q48" s="719"/>
      <c r="R48" s="23"/>
    </row>
    <row r="49" spans="1:18">
      <c r="A49" s="94">
        <f t="shared" si="2"/>
        <v>41</v>
      </c>
      <c r="B49" s="4" t="s">
        <v>1467</v>
      </c>
      <c r="C49" s="32"/>
      <c r="D49" s="288">
        <f>[1]GOV!D$39</f>
        <v>139.96640000000008</v>
      </c>
      <c r="E49" s="316">
        <f>[1]GOV!E$39</f>
        <v>168.99999999999977</v>
      </c>
      <c r="F49" s="316">
        <f>[1]GOV!F$39</f>
        <v>149.58509630698157</v>
      </c>
      <c r="G49" s="316">
        <f>[1]GOV!G$39</f>
        <v>65.906763912916119</v>
      </c>
      <c r="H49" s="719"/>
      <c r="I49" s="719"/>
      <c r="J49" s="719"/>
      <c r="K49" s="719"/>
      <c r="L49" s="719"/>
      <c r="M49" s="719"/>
      <c r="N49" s="719"/>
      <c r="O49" s="719"/>
      <c r="P49" s="719"/>
      <c r="Q49" s="719"/>
      <c r="R49" s="23"/>
    </row>
    <row r="50" spans="1:18" ht="20.100000000000001" customHeight="1">
      <c r="A50" s="94">
        <f t="shared" si="2"/>
        <v>42</v>
      </c>
      <c r="B50" s="110" t="s">
        <v>1867</v>
      </c>
      <c r="C50" s="140"/>
      <c r="D50" s="270">
        <f>D51+D53</f>
        <v>1489</v>
      </c>
      <c r="E50" s="26">
        <f>E51+E53</f>
        <v>1876</v>
      </c>
      <c r="F50" s="26">
        <f>F51+F53</f>
        <v>2149.2211990253813</v>
      </c>
      <c r="G50" s="26">
        <f>G51+G53</f>
        <v>2451.8327008711171</v>
      </c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23"/>
    </row>
    <row r="51" spans="1:18">
      <c r="A51" s="94">
        <f t="shared" si="2"/>
        <v>43</v>
      </c>
      <c r="B51" s="4" t="s">
        <v>1469</v>
      </c>
      <c r="C51" s="32"/>
      <c r="D51" s="289">
        <f>[1]GOV!D$47</f>
        <v>994</v>
      </c>
      <c r="E51" s="319">
        <f>[1]GOV!E$47</f>
        <v>1649</v>
      </c>
      <c r="F51" s="319">
        <f>[1]GOV!F$47</f>
        <v>1999.2211990253813</v>
      </c>
      <c r="G51" s="319">
        <f>[1]GOV!G$47</f>
        <v>2351.8327008711171</v>
      </c>
      <c r="H51" s="720"/>
      <c r="I51" s="720"/>
      <c r="J51" s="720"/>
      <c r="K51" s="720"/>
      <c r="L51" s="720"/>
      <c r="M51" s="720"/>
      <c r="N51" s="720"/>
      <c r="O51" s="720"/>
      <c r="P51" s="720"/>
      <c r="Q51" s="720"/>
      <c r="R51" s="23"/>
    </row>
    <row r="52" spans="1:18">
      <c r="A52" s="94">
        <f t="shared" si="2"/>
        <v>44</v>
      </c>
      <c r="B52" s="4" t="s">
        <v>1878</v>
      </c>
      <c r="C52" s="32"/>
      <c r="D52" s="324">
        <f>666</f>
        <v>666</v>
      </c>
      <c r="E52" s="325">
        <v>884</v>
      </c>
      <c r="F52" s="325">
        <v>1072</v>
      </c>
      <c r="G52" s="325">
        <v>1192</v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23"/>
    </row>
    <row r="53" spans="1:18">
      <c r="A53" s="94">
        <f t="shared" si="2"/>
        <v>45</v>
      </c>
      <c r="B53" s="4" t="s">
        <v>1470</v>
      </c>
      <c r="C53" s="32"/>
      <c r="D53" s="289">
        <f>[1]GOV!D$46</f>
        <v>495</v>
      </c>
      <c r="E53" s="319">
        <f>[1]GOV!E$46</f>
        <v>227</v>
      </c>
      <c r="F53" s="319">
        <f>[1]GOV!F$46</f>
        <v>150</v>
      </c>
      <c r="G53" s="319">
        <f>[1]GOV!G$46</f>
        <v>100</v>
      </c>
      <c r="H53" s="720"/>
      <c r="I53" s="720"/>
      <c r="J53" s="720"/>
      <c r="K53" s="720"/>
      <c r="L53" s="720"/>
      <c r="M53" s="720"/>
      <c r="N53" s="720"/>
      <c r="O53" s="720"/>
      <c r="P53" s="720"/>
      <c r="Q53" s="720"/>
      <c r="R53" s="23"/>
    </row>
    <row r="54" spans="1:18">
      <c r="A54" s="94">
        <f t="shared" si="2"/>
        <v>46</v>
      </c>
      <c r="B54" s="4" t="s">
        <v>1883</v>
      </c>
      <c r="C54" s="32"/>
      <c r="D54" s="324">
        <v>152</v>
      </c>
      <c r="E54" s="325">
        <v>82</v>
      </c>
      <c r="F54" s="325">
        <v>99</v>
      </c>
      <c r="G54" s="325">
        <v>57</v>
      </c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23"/>
    </row>
    <row r="55" spans="1:18" ht="20.100000000000001" customHeight="1">
      <c r="A55" s="94">
        <f>A24+1</f>
        <v>18</v>
      </c>
      <c r="B55" s="106" t="s">
        <v>1472</v>
      </c>
      <c r="C55" s="93"/>
      <c r="D55" s="272">
        <f>-D22</f>
        <v>878.09999999999991</v>
      </c>
      <c r="E55" s="76">
        <f>-E22</f>
        <v>1068.0044719999987</v>
      </c>
      <c r="F55" s="76">
        <f>-F22</f>
        <v>887.70502682508368</v>
      </c>
      <c r="G55" s="76">
        <f>-G22</f>
        <v>723.27860063057528</v>
      </c>
      <c r="H55" s="717"/>
      <c r="I55" s="717"/>
      <c r="J55" s="717"/>
      <c r="K55" s="717"/>
      <c r="L55" s="717"/>
      <c r="M55" s="717"/>
      <c r="N55" s="717"/>
      <c r="O55" s="717"/>
      <c r="P55" s="717"/>
      <c r="Q55" s="717"/>
      <c r="R55" s="23"/>
    </row>
    <row r="56" spans="1:18">
      <c r="A56" s="94">
        <f>A55+1</f>
        <v>19</v>
      </c>
      <c r="B56" s="111" t="s">
        <v>1868</v>
      </c>
      <c r="C56" s="32"/>
      <c r="D56" s="324">
        <v>0</v>
      </c>
      <c r="E56" s="325">
        <v>0</v>
      </c>
      <c r="F56" s="325">
        <v>0</v>
      </c>
      <c r="G56" s="325">
        <v>0</v>
      </c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23"/>
    </row>
    <row r="57" spans="1:18">
      <c r="A57" s="94">
        <f>A56+1</f>
        <v>20</v>
      </c>
      <c r="B57" s="111" t="s">
        <v>1870</v>
      </c>
      <c r="C57" s="32"/>
      <c r="D57" s="324"/>
      <c r="E57" s="325"/>
      <c r="F57" s="325"/>
      <c r="G57" s="325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23"/>
    </row>
    <row r="58" spans="1:18">
      <c r="A58" s="94">
        <f>A57+1</f>
        <v>21</v>
      </c>
      <c r="B58" s="111" t="s">
        <v>1874</v>
      </c>
      <c r="C58" s="32"/>
      <c r="D58" s="324">
        <v>-24</v>
      </c>
      <c r="E58" s="325">
        <v>0</v>
      </c>
      <c r="F58" s="325">
        <v>0</v>
      </c>
      <c r="G58" s="325">
        <v>0</v>
      </c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23"/>
    </row>
    <row r="59" spans="1:18">
      <c r="A59" s="94">
        <f>A58+1</f>
        <v>22</v>
      </c>
      <c r="B59" s="111" t="s">
        <v>1869</v>
      </c>
      <c r="C59" s="32"/>
      <c r="D59" s="324">
        <v>-121</v>
      </c>
      <c r="E59" s="325">
        <v>-44</v>
      </c>
      <c r="F59" s="325">
        <v>-44</v>
      </c>
      <c r="G59" s="325">
        <v>-44</v>
      </c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23"/>
    </row>
    <row r="60" spans="1:18">
      <c r="A60" s="94">
        <f>A27+1</f>
        <v>21</v>
      </c>
      <c r="B60" s="111" t="s">
        <v>1473</v>
      </c>
      <c r="C60" s="32"/>
      <c r="D60" s="269">
        <f>D62+D61</f>
        <v>72.01319999999987</v>
      </c>
      <c r="E60" s="34">
        <f>E62+E61</f>
        <v>-146.90659856245065</v>
      </c>
      <c r="F60" s="34">
        <f>F62+F61</f>
        <v>-228.30478942603713</v>
      </c>
      <c r="G60" s="34">
        <f>G62+G61</f>
        <v>-583.49341062283884</v>
      </c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23"/>
    </row>
    <row r="61" spans="1:18">
      <c r="A61" s="94">
        <f t="shared" ref="A61:A71" si="3">A60+1</f>
        <v>22</v>
      </c>
      <c r="B61" s="111" t="s">
        <v>1474</v>
      </c>
      <c r="C61" s="32"/>
      <c r="D61" s="289">
        <f>[1]GOV!D$66</f>
        <v>34</v>
      </c>
      <c r="E61" s="319">
        <f>[1]GOV!E$66</f>
        <v>-99.999999999999915</v>
      </c>
      <c r="F61" s="319">
        <f>[1]GOV!F$66</f>
        <v>0</v>
      </c>
      <c r="G61" s="319">
        <f>[1]GOV!G$66</f>
        <v>0</v>
      </c>
      <c r="H61" s="720"/>
      <c r="I61" s="720"/>
      <c r="J61" s="720"/>
      <c r="K61" s="720"/>
      <c r="L61" s="720"/>
      <c r="M61" s="720"/>
      <c r="N61" s="720"/>
      <c r="O61" s="720"/>
      <c r="P61" s="720"/>
      <c r="Q61" s="720"/>
      <c r="R61" s="23"/>
    </row>
    <row r="62" spans="1:18">
      <c r="A62" s="94">
        <f t="shared" si="3"/>
        <v>23</v>
      </c>
      <c r="B62" s="111" t="s">
        <v>2033</v>
      </c>
      <c r="C62" s="32"/>
      <c r="D62" s="289">
        <f>[1]GOV!D$67</f>
        <v>38.01319999999987</v>
      </c>
      <c r="E62" s="319">
        <f>[1]GOV!E$67</f>
        <v>-46.906598562450739</v>
      </c>
      <c r="F62" s="319">
        <f>[1]GOV!F$67</f>
        <v>-228.30478942603713</v>
      </c>
      <c r="G62" s="319">
        <f>[1]GOV!G$67</f>
        <v>-583.49341062283884</v>
      </c>
      <c r="H62" s="720"/>
      <c r="I62" s="720"/>
      <c r="J62" s="720"/>
      <c r="K62" s="720"/>
      <c r="L62" s="720"/>
      <c r="M62" s="720"/>
      <c r="N62" s="720"/>
      <c r="O62" s="720"/>
      <c r="P62" s="720"/>
      <c r="Q62" s="720"/>
      <c r="R62" s="23"/>
    </row>
    <row r="63" spans="1:18">
      <c r="A63" s="94">
        <f t="shared" si="3"/>
        <v>24</v>
      </c>
      <c r="B63" s="111" t="s">
        <v>1879</v>
      </c>
      <c r="C63" s="32"/>
      <c r="D63" s="289">
        <f>[1]GOV!D$60</f>
        <v>43.551199999999994</v>
      </c>
      <c r="E63" s="319">
        <f>[1]GOV!E$60</f>
        <v>80.106667362449173</v>
      </c>
      <c r="F63" s="319">
        <f>[1]GOV!F$60</f>
        <v>-154.98197684007951</v>
      </c>
      <c r="G63" s="319">
        <f>[1]GOV!G$60</f>
        <v>7.6181552546554476</v>
      </c>
      <c r="H63" s="720"/>
      <c r="I63" s="720"/>
      <c r="J63" s="720"/>
      <c r="K63" s="720"/>
      <c r="L63" s="720"/>
      <c r="M63" s="720"/>
      <c r="N63" s="720"/>
      <c r="O63" s="720"/>
      <c r="P63" s="720"/>
      <c r="Q63" s="720"/>
      <c r="R63" s="23"/>
    </row>
    <row r="64" spans="1:18">
      <c r="A64" s="94">
        <f t="shared" si="3"/>
        <v>25</v>
      </c>
      <c r="B64" s="111" t="s">
        <v>1880</v>
      </c>
      <c r="C64" s="32"/>
      <c r="D64" s="324">
        <v>266</v>
      </c>
      <c r="E64" s="325"/>
      <c r="F64" s="325"/>
      <c r="G64" s="325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23"/>
    </row>
    <row r="65" spans="1:18">
      <c r="A65" s="94">
        <f t="shared" si="3"/>
        <v>26</v>
      </c>
      <c r="B65" s="111" t="s">
        <v>1881</v>
      </c>
      <c r="C65" s="32"/>
      <c r="D65" s="324">
        <v>209</v>
      </c>
      <c r="E65" s="325"/>
      <c r="F65" s="325"/>
      <c r="G65" s="325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23"/>
    </row>
    <row r="66" spans="1:18">
      <c r="A66" s="94">
        <f t="shared" si="3"/>
        <v>27</v>
      </c>
      <c r="B66" s="111" t="s">
        <v>1882</v>
      </c>
      <c r="C66" s="32"/>
      <c r="D66" s="324">
        <v>-249</v>
      </c>
      <c r="E66" s="325"/>
      <c r="F66" s="325"/>
      <c r="G66" s="325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23"/>
    </row>
    <row r="67" spans="1:18" ht="20.100000000000001" customHeight="1">
      <c r="A67" s="94">
        <f t="shared" si="3"/>
        <v>28</v>
      </c>
      <c r="B67" s="112" t="s">
        <v>1914</v>
      </c>
      <c r="D67" s="328"/>
      <c r="E67" s="329"/>
      <c r="F67" s="329"/>
      <c r="G67" s="329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</row>
    <row r="68" spans="1:18" ht="12.75" customHeight="1">
      <c r="A68" s="94">
        <f t="shared" si="3"/>
        <v>29</v>
      </c>
      <c r="B68" s="111" t="s">
        <v>1905</v>
      </c>
      <c r="C68" s="32"/>
      <c r="D68" s="324"/>
      <c r="E68" s="325"/>
      <c r="F68" s="325"/>
      <c r="G68" s="325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23"/>
    </row>
    <row r="69" spans="1:18">
      <c r="A69" s="94">
        <f t="shared" si="3"/>
        <v>30</v>
      </c>
      <c r="B69" s="111" t="s">
        <v>1906</v>
      </c>
      <c r="C69" s="32"/>
      <c r="D69" s="324"/>
      <c r="E69" s="325"/>
      <c r="F69" s="325"/>
      <c r="G69" s="325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23"/>
    </row>
    <row r="70" spans="1:18">
      <c r="A70" s="94">
        <f t="shared" si="3"/>
        <v>31</v>
      </c>
      <c r="B70" s="111" t="s">
        <v>1907</v>
      </c>
      <c r="C70" s="32"/>
      <c r="D70" s="324"/>
      <c r="E70" s="325"/>
      <c r="F70" s="325"/>
      <c r="G70" s="325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23"/>
    </row>
    <row r="71" spans="1:18" ht="43.9" customHeight="1">
      <c r="A71" s="94">
        <f t="shared" si="3"/>
        <v>32</v>
      </c>
      <c r="B71" s="292" t="s">
        <v>2046</v>
      </c>
      <c r="C71" s="93"/>
      <c r="D71" s="269">
        <f>D26+D60+D63</f>
        <v>-907.53560000000004</v>
      </c>
      <c r="E71" s="34">
        <f>E26+E60+E63</f>
        <v>-1178.8044032000003</v>
      </c>
      <c r="F71" s="34">
        <f>F26+F60+F63</f>
        <v>-1314.9917930912004</v>
      </c>
      <c r="G71" s="34">
        <f>G26+G60+G63</f>
        <v>-1343.1538559987587</v>
      </c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23"/>
    </row>
    <row r="72" spans="1:18" ht="20.100000000000001" customHeight="1">
      <c r="A72" t="s">
        <v>1448</v>
      </c>
      <c r="B72" s="35" t="s">
        <v>1924</v>
      </c>
      <c r="C72" s="142" t="s">
        <v>1925</v>
      </c>
      <c r="D72" s="271"/>
      <c r="E72" s="21"/>
      <c r="F72" s="21"/>
      <c r="G72" s="21"/>
      <c r="H72" s="716"/>
      <c r="I72" s="716"/>
      <c r="J72" s="716"/>
      <c r="K72" s="716"/>
      <c r="L72" s="716"/>
      <c r="M72" s="716"/>
      <c r="N72" s="716"/>
      <c r="O72" s="716"/>
      <c r="P72" s="716"/>
      <c r="Q72" s="716"/>
      <c r="R72" s="23"/>
    </row>
    <row r="73" spans="1:18" ht="19.899999999999999" customHeight="1">
      <c r="A73" s="94">
        <f>A71+1</f>
        <v>33</v>
      </c>
      <c r="B73" s="79" t="s">
        <v>1865</v>
      </c>
      <c r="C73" s="79"/>
      <c r="D73" s="290">
        <f>[1]ORD!$D$120</f>
        <v>3.1107999999999998</v>
      </c>
      <c r="E73" s="320">
        <f>[1]PIT!E$6</f>
        <v>4.1000344000000002</v>
      </c>
      <c r="F73" s="320">
        <f>[1]PIT!F$6</f>
        <v>4.5428381152000004</v>
      </c>
      <c r="G73" s="320">
        <f>[1]PIT!G$6</f>
        <v>4.8880938119552004</v>
      </c>
      <c r="H73" s="690"/>
      <c r="I73" s="690"/>
      <c r="J73" s="690"/>
      <c r="K73" s="690"/>
      <c r="L73" s="690"/>
      <c r="M73" s="690"/>
      <c r="N73" s="690"/>
      <c r="O73" s="690"/>
      <c r="P73" s="690"/>
      <c r="Q73" s="690"/>
      <c r="R73" s="23"/>
    </row>
    <row r="74" spans="1:18" ht="19.899999999999999" customHeight="1">
      <c r="A74" s="94">
        <f t="shared" ref="A74:A86" si="4">A73+1</f>
        <v>34</v>
      </c>
      <c r="B74" s="39" t="s">
        <v>1939</v>
      </c>
      <c r="C74" s="39"/>
      <c r="D74" s="544">
        <v>1</v>
      </c>
      <c r="E74" s="545">
        <f>D74*(1+[1]ASU!E$86)</f>
        <v>1.0615008795293002</v>
      </c>
      <c r="F74" s="545">
        <f>E74*(1+[1]ASU!F$86)</f>
        <v>1.1028580566538182</v>
      </c>
      <c r="G74" s="545">
        <f>F74*(1+[1]ASU!G$86)</f>
        <v>1.1580009594865091</v>
      </c>
      <c r="H74" s="716"/>
      <c r="I74" s="716"/>
      <c r="J74" s="716"/>
      <c r="K74" s="716"/>
      <c r="L74" s="716"/>
      <c r="M74" s="716"/>
      <c r="N74" s="716"/>
      <c r="O74" s="716"/>
      <c r="P74" s="716"/>
      <c r="Q74" s="716"/>
      <c r="R74" s="23"/>
    </row>
    <row r="75" spans="1:18" ht="13.15" customHeight="1">
      <c r="A75" s="94">
        <f t="shared" si="4"/>
        <v>35</v>
      </c>
      <c r="B75" s="31" t="s">
        <v>2055</v>
      </c>
      <c r="C75" s="116"/>
      <c r="D75" s="350">
        <f>[1]PIT!D$41</f>
        <v>1</v>
      </c>
      <c r="E75" s="349">
        <f>[1]PIT!E$41</f>
        <v>1.0384577917329068</v>
      </c>
      <c r="F75" s="349">
        <f>[1]PIT!F$41</f>
        <v>1.0506955077409665</v>
      </c>
      <c r="G75" s="349">
        <f>[1]PIT!G$41</f>
        <v>1.0718719799991214</v>
      </c>
      <c r="H75" s="721"/>
      <c r="I75" s="721"/>
      <c r="J75" s="721"/>
      <c r="K75" s="721"/>
      <c r="L75" s="721"/>
      <c r="M75" s="721"/>
      <c r="N75" s="721"/>
      <c r="O75" s="721"/>
      <c r="P75" s="721"/>
      <c r="Q75" s="721"/>
      <c r="R75" s="23"/>
    </row>
    <row r="76" spans="1:18" ht="13.15" customHeight="1">
      <c r="A76" s="94">
        <f t="shared" si="4"/>
        <v>36</v>
      </c>
      <c r="B76" s="31" t="s">
        <v>2056</v>
      </c>
      <c r="C76" s="116"/>
      <c r="D76" s="459">
        <f>[1]PIT!D$54</f>
        <v>0.99999999999999989</v>
      </c>
      <c r="E76" s="460">
        <f>[1]PIT!E$54</f>
        <v>1.0587262655326468</v>
      </c>
      <c r="F76" s="460">
        <f>[1]PIT!F$54</f>
        <v>1.0930343567900833</v>
      </c>
      <c r="G76" s="460">
        <f>[1]PIT!G$54</f>
        <v>1.1328428962793993</v>
      </c>
      <c r="H76" s="722"/>
      <c r="I76" s="722"/>
      <c r="J76" s="722"/>
      <c r="K76" s="722"/>
      <c r="L76" s="722"/>
      <c r="M76" s="722"/>
      <c r="N76" s="722"/>
      <c r="O76" s="722"/>
      <c r="P76" s="722"/>
      <c r="Q76" s="722"/>
      <c r="R76" s="23"/>
    </row>
    <row r="77" spans="1:18" ht="19.899999999999999" customHeight="1">
      <c r="A77" s="94">
        <f t="shared" si="4"/>
        <v>37</v>
      </c>
      <c r="B77" s="33" t="s">
        <v>1478</v>
      </c>
      <c r="C77" s="93"/>
      <c r="D77" s="270">
        <f>D78-D79</f>
        <v>-443</v>
      </c>
      <c r="E77" s="26">
        <f>E78-E79</f>
        <v>-297</v>
      </c>
      <c r="F77" s="26">
        <f>F78-F79</f>
        <v>-297</v>
      </c>
      <c r="G77" s="26">
        <f>G78-G79</f>
        <v>-297</v>
      </c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23"/>
    </row>
    <row r="78" spans="1:18">
      <c r="A78" s="94">
        <f t="shared" si="4"/>
        <v>38</v>
      </c>
      <c r="B78" s="18" t="s">
        <v>1479</v>
      </c>
      <c r="C78" s="18"/>
      <c r="D78" s="291">
        <f>[1]ORD!$D$26</f>
        <v>890</v>
      </c>
      <c r="E78" s="330">
        <v>1036</v>
      </c>
      <c r="F78" s="330">
        <v>1036</v>
      </c>
      <c r="G78" s="330">
        <v>1036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3"/>
    </row>
    <row r="79" spans="1:18" ht="13.15" customHeight="1">
      <c r="A79" s="94">
        <f t="shared" si="4"/>
        <v>39</v>
      </c>
      <c r="B79" s="18" t="s">
        <v>1480</v>
      </c>
      <c r="C79" s="18"/>
      <c r="D79" s="284">
        <f>[1]ORD!$D$28</f>
        <v>1333</v>
      </c>
      <c r="E79" s="330">
        <v>1333</v>
      </c>
      <c r="F79" s="330">
        <v>1333</v>
      </c>
      <c r="G79" s="330">
        <v>1333</v>
      </c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3"/>
    </row>
    <row r="80" spans="1:18" ht="19.899999999999999" customHeight="1">
      <c r="A80" s="94">
        <f t="shared" si="4"/>
        <v>40</v>
      </c>
      <c r="B80" s="33" t="s">
        <v>1481</v>
      </c>
      <c r="C80" s="93"/>
      <c r="D80" s="283">
        <f>[1]BOP!$D$26</f>
        <v>-144</v>
      </c>
      <c r="E80" s="331">
        <v>-145</v>
      </c>
      <c r="F80" s="331">
        <v>-145</v>
      </c>
      <c r="G80" s="331">
        <v>-145</v>
      </c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23"/>
    </row>
    <row r="81" spans="1:18">
      <c r="A81" s="94">
        <f t="shared" si="4"/>
        <v>41</v>
      </c>
      <c r="B81" s="4" t="s">
        <v>1884</v>
      </c>
      <c r="C81" s="32"/>
      <c r="D81" s="293">
        <f>[1]BOP!$D$22-[1]BOP!$D$17</f>
        <v>-144.00000000000099</v>
      </c>
      <c r="E81" s="332">
        <v>-162</v>
      </c>
      <c r="F81" s="332">
        <v>-162</v>
      </c>
      <c r="G81" s="332">
        <v>-162</v>
      </c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23"/>
    </row>
    <row r="82" spans="1:18" ht="13.15" customHeight="1">
      <c r="A82" s="94">
        <f t="shared" si="4"/>
        <v>42</v>
      </c>
      <c r="B82" s="4" t="s">
        <v>1482</v>
      </c>
      <c r="C82" s="32"/>
      <c r="D82" s="276">
        <f>D80-D81</f>
        <v>9.9475983006414026E-13</v>
      </c>
      <c r="E82" s="104">
        <f>E80-E81</f>
        <v>17</v>
      </c>
      <c r="F82" s="104">
        <f>F80-F81</f>
        <v>17</v>
      </c>
      <c r="G82" s="104">
        <f>G80-G81</f>
        <v>17</v>
      </c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23"/>
    </row>
    <row r="83" spans="1:18" ht="19.899999999999999" customHeight="1">
      <c r="A83" s="94">
        <f t="shared" si="4"/>
        <v>43</v>
      </c>
      <c r="B83" s="33" t="s">
        <v>1885</v>
      </c>
      <c r="C83" s="93"/>
      <c r="D83" s="283">
        <f>[1]BOP!$D$40</f>
        <v>-1.0000000000000036</v>
      </c>
      <c r="E83" s="331">
        <v>-18</v>
      </c>
      <c r="F83" s="331">
        <v>-17</v>
      </c>
      <c r="G83" s="331">
        <v>-16</v>
      </c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23"/>
    </row>
    <row r="84" spans="1:18" ht="13.15" customHeight="1">
      <c r="A84" s="94">
        <f t="shared" si="4"/>
        <v>44</v>
      </c>
      <c r="B84" s="32" t="s">
        <v>1484</v>
      </c>
      <c r="C84" s="32"/>
      <c r="D84" s="277">
        <f>(D29-D30)/D73</f>
        <v>37.932364665037937</v>
      </c>
      <c r="E84" s="105">
        <f>(E29-E30)/E73</f>
        <v>185.36429840686213</v>
      </c>
      <c r="F84" s="105">
        <f>(F29-F30)/F73</f>
        <v>201.76057387324443</v>
      </c>
      <c r="G84" s="105">
        <f>(G29-G30)/G73</f>
        <v>213.84799922405674</v>
      </c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23"/>
    </row>
    <row r="85" spans="1:18" ht="13.15" customHeight="1">
      <c r="A85" s="94">
        <f t="shared" si="4"/>
        <v>45</v>
      </c>
      <c r="B85" s="32" t="s">
        <v>1485</v>
      </c>
      <c r="C85" s="32"/>
      <c r="D85" s="277">
        <f>D83-D84</f>
        <v>-38.932364665037937</v>
      </c>
      <c r="E85" s="105">
        <f>E83-E84</f>
        <v>-203.36429840686213</v>
      </c>
      <c r="F85" s="105">
        <f>F83-F84</f>
        <v>-218.76057387324443</v>
      </c>
      <c r="G85" s="105">
        <f>G83-G84</f>
        <v>-229.84799922405674</v>
      </c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23"/>
    </row>
    <row r="86" spans="1:18" ht="19.899999999999999" customHeight="1">
      <c r="A86" s="94">
        <f t="shared" si="4"/>
        <v>46</v>
      </c>
      <c r="B86" s="106" t="s">
        <v>1895</v>
      </c>
      <c r="C86" s="93"/>
      <c r="D86" s="278">
        <f>D77+D80+D83</f>
        <v>-588</v>
      </c>
      <c r="E86" s="15">
        <f>E77+E80+E83</f>
        <v>-460</v>
      </c>
      <c r="F86" s="15">
        <f>F77+F80+F83</f>
        <v>-459</v>
      </c>
      <c r="G86" s="15">
        <f>G77+G80+G83</f>
        <v>-458</v>
      </c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23"/>
    </row>
    <row r="87" spans="1:18" ht="19.899999999999999" customHeight="1">
      <c r="A87" s="94">
        <f>A89+1</f>
        <v>48</v>
      </c>
      <c r="B87" s="106" t="s">
        <v>1893</v>
      </c>
      <c r="C87" s="93"/>
      <c r="D87" s="278">
        <f>D86+D89</f>
        <v>-435</v>
      </c>
      <c r="E87" s="15">
        <f>E86+E89</f>
        <v>-259</v>
      </c>
      <c r="F87" s="15">
        <f>F86+F89</f>
        <v>-154</v>
      </c>
      <c r="G87" s="15">
        <f>G86+G89</f>
        <v>-148</v>
      </c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23"/>
    </row>
    <row r="88" spans="1:18" ht="19.899999999999999" customHeight="1">
      <c r="A88" s="94">
        <f>A87+1</f>
        <v>49</v>
      </c>
      <c r="B88" s="106" t="s">
        <v>1487</v>
      </c>
      <c r="C88" s="93"/>
      <c r="D88" s="294">
        <f>[1]BOP!D$48-D106</f>
        <v>153</v>
      </c>
      <c r="E88" s="339">
        <f>[1]BOP!E$48-E106</f>
        <v>201</v>
      </c>
      <c r="F88" s="339">
        <f>[1]BOP!F$48-F106</f>
        <v>305</v>
      </c>
      <c r="G88" s="339">
        <f>[1]BOP!G$48-G106</f>
        <v>310</v>
      </c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23"/>
    </row>
    <row r="89" spans="1:18" ht="12.75" customHeight="1">
      <c r="A89" s="94">
        <f>A86+1</f>
        <v>47</v>
      </c>
      <c r="B89" s="4" t="s">
        <v>2047</v>
      </c>
      <c r="C89" s="32"/>
      <c r="D89" s="341">
        <f>D88</f>
        <v>153</v>
      </c>
      <c r="E89" s="343">
        <f>E88</f>
        <v>201</v>
      </c>
      <c r="F89" s="343">
        <f>F88</f>
        <v>305</v>
      </c>
      <c r="G89" s="343">
        <f>G88</f>
        <v>310</v>
      </c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23"/>
    </row>
    <row r="90" spans="1:18" ht="19.899999999999999" customHeight="1">
      <c r="A90" s="94">
        <f>A88+1</f>
        <v>50</v>
      </c>
      <c r="B90" s="106" t="s">
        <v>1892</v>
      </c>
      <c r="C90" s="93"/>
      <c r="D90" s="278">
        <f>D91+D94+D95</f>
        <v>-40</v>
      </c>
      <c r="E90" s="15">
        <f>E91+E94+E95</f>
        <v>39.922559528539921</v>
      </c>
      <c r="F90" s="15">
        <f>F91+F94+F95</f>
        <v>122.10540951769741</v>
      </c>
      <c r="G90" s="15">
        <f>G91+G94+G95</f>
        <v>185.36930355609996</v>
      </c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23"/>
    </row>
    <row r="91" spans="1:18" ht="13.15" customHeight="1">
      <c r="A91" s="94">
        <f t="shared" ref="A91:A98" si="5">A90+1</f>
        <v>51</v>
      </c>
      <c r="B91" s="4" t="s">
        <v>1889</v>
      </c>
      <c r="C91" s="32"/>
      <c r="D91" s="279">
        <f>D92-D93</f>
        <v>-140</v>
      </c>
      <c r="E91" s="338">
        <f>E92-E93</f>
        <v>-85.077440471460079</v>
      </c>
      <c r="F91" s="338">
        <f>F92-F93</f>
        <v>-27.89459048230259</v>
      </c>
      <c r="G91" s="338">
        <f>G92-G93</f>
        <v>25.369303556099965</v>
      </c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23"/>
    </row>
    <row r="92" spans="1:18" ht="13.15" customHeight="1">
      <c r="A92" s="94">
        <f t="shared" si="5"/>
        <v>52</v>
      </c>
      <c r="B92" s="32" t="s">
        <v>1890</v>
      </c>
      <c r="C92" s="32"/>
      <c r="D92" s="294">
        <f>[1]BOP!D$56-D107</f>
        <v>93</v>
      </c>
      <c r="E92" s="339">
        <f>[1]BOP!E$56-E107</f>
        <v>146.92255952853992</v>
      </c>
      <c r="F92" s="339">
        <f>[1]BOP!F$56-F107</f>
        <v>207.10540951769741</v>
      </c>
      <c r="G92" s="339">
        <f>[1]BOP!G$56-G107</f>
        <v>257.36930355609996</v>
      </c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23"/>
    </row>
    <row r="93" spans="1:18">
      <c r="A93" s="94">
        <f t="shared" si="5"/>
        <v>53</v>
      </c>
      <c r="B93" s="4" t="s">
        <v>2034</v>
      </c>
      <c r="C93" s="32"/>
      <c r="D93" s="294">
        <f>[1]BOP!D$57</f>
        <v>233</v>
      </c>
      <c r="E93" s="339">
        <f>[1]BOP!E$57</f>
        <v>232</v>
      </c>
      <c r="F93" s="339">
        <f>[1]BOP!F$57</f>
        <v>235</v>
      </c>
      <c r="G93" s="339">
        <f>[1]BOP!G$57</f>
        <v>232</v>
      </c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23"/>
    </row>
    <row r="94" spans="1:18">
      <c r="A94" s="94">
        <f t="shared" si="5"/>
        <v>54</v>
      </c>
      <c r="B94" s="4" t="s">
        <v>2035</v>
      </c>
      <c r="C94" s="32"/>
      <c r="D94" s="294">
        <f>[1]BOP!D$67</f>
        <v>-26</v>
      </c>
      <c r="E94" s="339">
        <f>[1]BOP!E$67</f>
        <v>-15</v>
      </c>
      <c r="F94" s="339">
        <f>[1]BOP!F$67</f>
        <v>0</v>
      </c>
      <c r="G94" s="339">
        <f>[1]BOP!G$67</f>
        <v>0</v>
      </c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23"/>
    </row>
    <row r="95" spans="1:18">
      <c r="A95" s="94">
        <f t="shared" si="5"/>
        <v>55</v>
      </c>
      <c r="B95" s="4" t="s">
        <v>2038</v>
      </c>
      <c r="C95" s="32"/>
      <c r="D95" s="346">
        <f>[1]BOP!D$51+[1]BOP!D$52</f>
        <v>126</v>
      </c>
      <c r="E95" s="340">
        <f>[1]BOP!E$51+[1]BOP!E$52</f>
        <v>140</v>
      </c>
      <c r="F95" s="340">
        <f>[1]BOP!F$51+[1]BOP!F$52</f>
        <v>150</v>
      </c>
      <c r="G95" s="340">
        <f>[1]BOP!G$51+[1]BOP!G$52</f>
        <v>160</v>
      </c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23"/>
    </row>
    <row r="96" spans="1:18" ht="19.899999999999999" customHeight="1">
      <c r="A96" s="94">
        <f t="shared" si="5"/>
        <v>56</v>
      </c>
      <c r="B96" s="108" t="s">
        <v>1891</v>
      </c>
      <c r="C96" s="93"/>
      <c r="D96" s="294">
        <f>[1]BOP!D$68+[1]BOP!D$66</f>
        <v>134</v>
      </c>
      <c r="E96" s="339">
        <f>[1]BOP!E$68+[1]BOP!E$66</f>
        <v>0</v>
      </c>
      <c r="F96" s="339">
        <f>[1]BOP!F$68+[1]BOP!F$66</f>
        <v>0</v>
      </c>
      <c r="G96" s="339">
        <f>[1]BOP!G$68+[1]BOP!G$66</f>
        <v>0</v>
      </c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23"/>
    </row>
    <row r="97" spans="1:18" ht="19.899999999999999" customHeight="1">
      <c r="A97" s="94">
        <f t="shared" si="5"/>
        <v>57</v>
      </c>
      <c r="B97" s="106" t="s">
        <v>1471</v>
      </c>
      <c r="C97" s="93"/>
      <c r="D97" s="279">
        <f>D86+D88+D90+D96</f>
        <v>-341</v>
      </c>
      <c r="E97" s="75">
        <f>E86+E88+E90+E96</f>
        <v>-219.07744047146008</v>
      </c>
      <c r="F97" s="75">
        <f>F86+F88+F90+F96</f>
        <v>-31.89459048230259</v>
      </c>
      <c r="G97" s="75">
        <f>G86+G88+G90+G96</f>
        <v>37.369303556099965</v>
      </c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23"/>
    </row>
    <row r="98" spans="1:18" ht="19.899999999999999" customHeight="1">
      <c r="A98" s="94">
        <f t="shared" si="5"/>
        <v>58</v>
      </c>
      <c r="B98" s="106" t="s">
        <v>1488</v>
      </c>
      <c r="C98" s="93"/>
      <c r="D98" s="278">
        <f>D100+D101+D102+D105+D106+D107</f>
        <v>368</v>
      </c>
      <c r="E98" s="15">
        <f>E100+E101+E102+E105+E106+E107</f>
        <v>324.07744047145906</v>
      </c>
      <c r="F98" s="15">
        <f>F100+F101+F102+F105+F106+F107</f>
        <v>138.88322293254197</v>
      </c>
      <c r="G98" s="15">
        <f>G100+G101+G102+G105+G106+G107</f>
        <v>128.90079462678506</v>
      </c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23"/>
    </row>
    <row r="99" spans="1:18" ht="19.899999999999999" customHeight="1">
      <c r="A99" s="94"/>
      <c r="B99" s="106" t="s">
        <v>2039</v>
      </c>
      <c r="C99" s="93"/>
      <c r="D99" s="294">
        <f>[1]BOP!D$71</f>
        <v>207</v>
      </c>
      <c r="E99" s="339">
        <f>[1]BOP!E$71</f>
        <v>437</v>
      </c>
      <c r="F99" s="339">
        <f>[1]BOP!F$71</f>
        <v>440</v>
      </c>
      <c r="G99" s="339">
        <f>[1]BOP!G$71</f>
        <v>426</v>
      </c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23"/>
    </row>
    <row r="100" spans="1:18" ht="12.75" customHeight="1">
      <c r="A100" s="94">
        <f>A98+1</f>
        <v>59</v>
      </c>
      <c r="B100" s="111" t="s">
        <v>1836</v>
      </c>
      <c r="C100" s="32"/>
      <c r="D100" s="294">
        <f>[1]BOP!D$71</f>
        <v>207</v>
      </c>
      <c r="E100" s="339">
        <f>[1]BOP!E$71</f>
        <v>437</v>
      </c>
      <c r="F100" s="339">
        <f>[1]BOP!F$71</f>
        <v>440</v>
      </c>
      <c r="G100" s="339">
        <f>[1]BOP!G$71</f>
        <v>426</v>
      </c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23"/>
    </row>
    <row r="101" spans="1:18" ht="12.75" customHeight="1">
      <c r="A101" s="94">
        <f t="shared" ref="A101:A115" si="6">A100+1</f>
        <v>60</v>
      </c>
      <c r="B101" s="111" t="s">
        <v>1897</v>
      </c>
      <c r="C101" s="32"/>
      <c r="D101" s="279">
        <v>0</v>
      </c>
      <c r="E101" s="338">
        <v>0</v>
      </c>
      <c r="F101" s="338">
        <v>0</v>
      </c>
      <c r="G101" s="338">
        <v>0</v>
      </c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23"/>
    </row>
    <row r="102" spans="1:18" ht="20.100000000000001" customHeight="1">
      <c r="A102" s="94">
        <f t="shared" si="6"/>
        <v>61</v>
      </c>
      <c r="B102" s="111" t="s">
        <v>1898</v>
      </c>
      <c r="C102" s="342"/>
      <c r="D102" s="294">
        <f>[1]BOP!D$75</f>
        <v>-52</v>
      </c>
      <c r="E102" s="339">
        <f>[1]BOP!E$75</f>
        <v>-233.92255952854094</v>
      </c>
      <c r="F102" s="339">
        <f>[1]BOP!F$75</f>
        <v>-213.11677706745803</v>
      </c>
      <c r="G102" s="339">
        <f>[1]BOP!G$75</f>
        <v>-208.09920537321494</v>
      </c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23"/>
    </row>
    <row r="103" spans="1:18" ht="12.75" customHeight="1">
      <c r="A103" s="94">
        <f t="shared" si="6"/>
        <v>62</v>
      </c>
      <c r="B103" s="111" t="s">
        <v>1899</v>
      </c>
      <c r="C103" s="32"/>
      <c r="D103" s="294">
        <f>[1]BOP!D$76</f>
        <v>-79</v>
      </c>
      <c r="E103" s="339">
        <f>[1]BOP!E$76</f>
        <v>-146.92255952854094</v>
      </c>
      <c r="F103" s="339">
        <f>[1]BOP!F$76</f>
        <v>-125.11677706745803</v>
      </c>
      <c r="G103" s="339">
        <f>[1]BOP!G$76</f>
        <v>-119.09920537321494</v>
      </c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23"/>
    </row>
    <row r="104" spans="1:18" ht="12.75" customHeight="1">
      <c r="A104" s="94">
        <f t="shared" si="6"/>
        <v>63</v>
      </c>
      <c r="B104" s="111" t="s">
        <v>1489</v>
      </c>
      <c r="C104" s="32"/>
      <c r="D104" s="279">
        <v>0</v>
      </c>
      <c r="E104" s="338">
        <v>0</v>
      </c>
      <c r="F104" s="338">
        <v>0</v>
      </c>
      <c r="G104" s="338">
        <v>0</v>
      </c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23"/>
    </row>
    <row r="105" spans="1:18" ht="12.75" customHeight="1">
      <c r="A105" s="94">
        <f t="shared" si="6"/>
        <v>64</v>
      </c>
      <c r="B105" s="111" t="s">
        <v>1900</v>
      </c>
      <c r="C105" s="32"/>
      <c r="D105" s="294">
        <f>[1]BOP!D$77</f>
        <v>27</v>
      </c>
      <c r="E105" s="339">
        <f>[1]BOP!E$77</f>
        <v>-87</v>
      </c>
      <c r="F105" s="339">
        <f>[1]BOP!F$77</f>
        <v>-88</v>
      </c>
      <c r="G105" s="339">
        <f>[1]BOP!G$77</f>
        <v>-89</v>
      </c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23"/>
    </row>
    <row r="106" spans="1:18" ht="12.75" customHeight="1">
      <c r="A106" s="94">
        <f t="shared" si="6"/>
        <v>65</v>
      </c>
      <c r="B106" s="111" t="s">
        <v>1901</v>
      </c>
      <c r="C106" s="32"/>
      <c r="D106" s="341">
        <v>32</v>
      </c>
      <c r="E106" s="331">
        <v>99</v>
      </c>
      <c r="F106" s="331">
        <v>0</v>
      </c>
      <c r="G106" s="331">
        <v>0</v>
      </c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23"/>
    </row>
    <row r="107" spans="1:18" ht="12.75" customHeight="1">
      <c r="A107" s="94">
        <f t="shared" si="6"/>
        <v>66</v>
      </c>
      <c r="B107" s="111" t="s">
        <v>1902</v>
      </c>
      <c r="C107" s="32"/>
      <c r="D107" s="279">
        <f>D108+D109</f>
        <v>154</v>
      </c>
      <c r="E107" s="75">
        <f>E108+E109</f>
        <v>109</v>
      </c>
      <c r="F107" s="75">
        <f>F108+F109</f>
        <v>0</v>
      </c>
      <c r="G107" s="75">
        <f>G108+G109</f>
        <v>0</v>
      </c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23"/>
    </row>
    <row r="108" spans="1:18" ht="12.75" customHeight="1">
      <c r="A108" s="94">
        <f t="shared" si="6"/>
        <v>67</v>
      </c>
      <c r="B108" s="111" t="s">
        <v>1903</v>
      </c>
      <c r="C108" s="32"/>
      <c r="D108" s="341">
        <v>154</v>
      </c>
      <c r="E108" s="331">
        <v>109</v>
      </c>
      <c r="F108" s="331">
        <v>0</v>
      </c>
      <c r="G108" s="331">
        <v>0</v>
      </c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23"/>
    </row>
    <row r="109" spans="1:18" ht="12.75" customHeight="1">
      <c r="A109" s="94">
        <f t="shared" si="6"/>
        <v>68</v>
      </c>
      <c r="B109" s="111" t="s">
        <v>1904</v>
      </c>
      <c r="C109" s="32"/>
      <c r="D109" s="341">
        <v>0</v>
      </c>
      <c r="E109" s="331">
        <v>0</v>
      </c>
      <c r="F109" s="331">
        <v>0</v>
      </c>
      <c r="G109" s="331">
        <v>0</v>
      </c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23"/>
    </row>
    <row r="110" spans="1:18" ht="12.75" customHeight="1">
      <c r="A110" s="94">
        <f t="shared" si="6"/>
        <v>69</v>
      </c>
      <c r="B110" s="111" t="s">
        <v>1915</v>
      </c>
      <c r="C110" s="32"/>
      <c r="D110" s="279">
        <f>SUM(D111:D113)</f>
        <v>0</v>
      </c>
      <c r="E110" s="338">
        <f>SUM(E111:E113)</f>
        <v>0</v>
      </c>
      <c r="F110" s="338">
        <f>SUM(F111:F113)</f>
        <v>0</v>
      </c>
      <c r="G110" s="338">
        <f>SUM(G111:G113)</f>
        <v>0</v>
      </c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23"/>
    </row>
    <row r="111" spans="1:18" ht="12.75" customHeight="1">
      <c r="A111" s="94">
        <f t="shared" si="6"/>
        <v>70</v>
      </c>
      <c r="B111" s="111" t="s">
        <v>1908</v>
      </c>
      <c r="C111" s="32"/>
      <c r="D111" s="341"/>
      <c r="E111" s="331"/>
      <c r="F111" s="331"/>
      <c r="G111" s="331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23"/>
    </row>
    <row r="112" spans="1:18" ht="12.75" customHeight="1">
      <c r="A112" s="94">
        <f t="shared" si="6"/>
        <v>71</v>
      </c>
      <c r="B112" s="111" t="s">
        <v>1909</v>
      </c>
      <c r="C112" s="32"/>
      <c r="D112" s="341"/>
      <c r="E112" s="331"/>
      <c r="F112" s="331"/>
      <c r="G112" s="331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23"/>
    </row>
    <row r="113" spans="1:18" ht="12.75" customHeight="1">
      <c r="A113" s="94">
        <f t="shared" si="6"/>
        <v>72</v>
      </c>
      <c r="B113" s="111" t="s">
        <v>1910</v>
      </c>
      <c r="C113" s="32"/>
      <c r="D113" s="341"/>
      <c r="E113" s="331"/>
      <c r="F113" s="331"/>
      <c r="G113" s="331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23"/>
    </row>
    <row r="114" spans="1:18" ht="19.899999999999999" customHeight="1">
      <c r="A114" s="94">
        <f t="shared" si="6"/>
        <v>73</v>
      </c>
      <c r="B114" s="106" t="s">
        <v>1847</v>
      </c>
      <c r="C114" s="93"/>
      <c r="D114" s="279">
        <f>D97+D98</f>
        <v>27</v>
      </c>
      <c r="E114" s="75">
        <f>E97+E98</f>
        <v>104.99999999999898</v>
      </c>
      <c r="F114" s="75">
        <f>F97+F98</f>
        <v>106.98863245023938</v>
      </c>
      <c r="G114" s="75">
        <f>G97+G98</f>
        <v>166.27009818288502</v>
      </c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23"/>
    </row>
    <row r="115" spans="1:18" ht="19.899999999999999" customHeight="1">
      <c r="A115" s="94">
        <f t="shared" si="6"/>
        <v>74</v>
      </c>
      <c r="B115" s="93" t="s">
        <v>2050</v>
      </c>
      <c r="C115" s="93"/>
      <c r="D115" s="724">
        <f>[1]DIT!D$24</f>
        <v>5669.2</v>
      </c>
      <c r="E115" s="725">
        <f>[1]DIT!E$24</f>
        <v>5445.9017990393104</v>
      </c>
      <c r="F115" s="725">
        <f>[1]DIT!F$24</f>
        <v>5219.786448067779</v>
      </c>
      <c r="G115" s="725">
        <f>[1]DIT!G$24</f>
        <v>5045.934991134649</v>
      </c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23"/>
    </row>
    <row r="116" spans="1:18" ht="20.100000000000001" customHeight="1">
      <c r="A116" s="94" t="s">
        <v>1448</v>
      </c>
      <c r="B116" s="38" t="s">
        <v>1490</v>
      </c>
      <c r="C116" s="116"/>
      <c r="D116" s="280"/>
      <c r="E116" s="15"/>
      <c r="F116" s="15"/>
      <c r="G116" s="1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23"/>
    </row>
    <row r="117" spans="1:18" ht="20.100000000000001" customHeight="1">
      <c r="A117" s="94">
        <f>A115+1</f>
        <v>75</v>
      </c>
      <c r="B117" s="31" t="s">
        <v>1491</v>
      </c>
      <c r="C117" s="116"/>
      <c r="D117" s="344">
        <v>0.6</v>
      </c>
      <c r="E117" s="42"/>
      <c r="F117" s="42"/>
      <c r="G117" s="42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23"/>
    </row>
    <row r="118" spans="1:18">
      <c r="A118" s="94">
        <f>A117+1</f>
        <v>76</v>
      </c>
      <c r="B118" s="31" t="s">
        <v>1492</v>
      </c>
      <c r="C118" s="116"/>
      <c r="D118" s="344">
        <v>0.6</v>
      </c>
      <c r="E118" s="42"/>
      <c r="F118" s="42"/>
      <c r="G118" s="42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23"/>
    </row>
    <row r="119" spans="1:18" ht="20.100000000000001" customHeight="1">
      <c r="A119" s="94"/>
      <c r="B119" s="36" t="s">
        <v>1494</v>
      </c>
      <c r="D119" s="278"/>
      <c r="E119" s="15"/>
      <c r="F119" s="15"/>
      <c r="G119" s="1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23"/>
    </row>
    <row r="120" spans="1:18" ht="20.100000000000001" customHeight="1">
      <c r="A120" s="94">
        <f>A118+1</f>
        <v>77</v>
      </c>
      <c r="B120" t="s">
        <v>1495</v>
      </c>
      <c r="D120" s="347">
        <f>[1]MON!D$91</f>
        <v>2392</v>
      </c>
      <c r="E120" s="726">
        <f>[1]MON!E$91</f>
        <v>2801.000934009056</v>
      </c>
      <c r="F120" s="726">
        <f>[1]MON!F$91</f>
        <v>3321.2718637159096</v>
      </c>
      <c r="G120" s="726">
        <f>[1]MON!G$91</f>
        <v>3878.3185329399985</v>
      </c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23"/>
    </row>
    <row r="121" spans="1:18">
      <c r="A121" s="94">
        <f>A120+1</f>
        <v>78</v>
      </c>
      <c r="B121" t="s">
        <v>1496</v>
      </c>
      <c r="D121" s="281">
        <f>D13/D120</f>
        <v>3.7855351170568561</v>
      </c>
      <c r="E121" s="345">
        <f>E13/E120</f>
        <v>4.2396200607484724</v>
      </c>
      <c r="F121" s="345">
        <f>F13/F120</f>
        <v>4.4000000000000004</v>
      </c>
      <c r="G121" s="345">
        <f>G13/G120</f>
        <v>4.5</v>
      </c>
      <c r="H121" s="723"/>
      <c r="I121" s="723"/>
      <c r="J121" s="723"/>
      <c r="K121" s="723"/>
      <c r="L121" s="723"/>
      <c r="M121" s="723"/>
      <c r="N121" s="723"/>
      <c r="O121" s="723"/>
      <c r="P121" s="723"/>
      <c r="Q121" s="723"/>
      <c r="R121" s="23"/>
    </row>
    <row r="122" spans="1:18">
      <c r="D122" s="281"/>
      <c r="E122" s="37"/>
      <c r="F122" s="37"/>
      <c r="G122" s="37"/>
    </row>
    <row r="123" spans="1:18">
      <c r="D123" s="281" t="s">
        <v>1448</v>
      </c>
    </row>
    <row r="124" spans="1:18">
      <c r="D124" s="275" t="s">
        <v>1448</v>
      </c>
    </row>
    <row r="127" spans="1:18">
      <c r="A127" t="s">
        <v>1448</v>
      </c>
    </row>
  </sheetData>
  <mergeCells count="11">
    <mergeCell ref="G5:K5"/>
    <mergeCell ref="O2:O4"/>
    <mergeCell ref="L2:L4"/>
    <mergeCell ref="M2:M4"/>
    <mergeCell ref="N2:N4"/>
    <mergeCell ref="E6:K6"/>
    <mergeCell ref="I2:I4"/>
    <mergeCell ref="H2:H4"/>
    <mergeCell ref="G2:G4"/>
    <mergeCell ref="J2:J4"/>
    <mergeCell ref="K2:K4"/>
  </mergeCells>
  <printOptions headings="1" gridLines="1"/>
  <pageMargins left="0.75" right="0.75" top="1" bottom="1" header="0.5" footer="0.5"/>
  <pageSetup scale="79" orientation="portrait" r:id="rId1"/>
  <headerFooter alignWithMargins="0"/>
  <rowBreaks count="1" manualBreakCount="1">
    <brk id="54" max="7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K65533"/>
  <sheetViews>
    <sheetView zoomScaleNormal="120" zoomScaleSheetLayoutView="115" workbookViewId="0">
      <selection activeCell="H133" sqref="H133"/>
    </sheetView>
  </sheetViews>
  <sheetFormatPr defaultRowHeight="12.75"/>
  <cols>
    <col min="1" max="1" width="4.140625" customWidth="1"/>
    <col min="2" max="2" width="33.5703125" customWidth="1"/>
    <col min="3" max="3" width="11.140625" style="66" customWidth="1"/>
    <col min="4" max="4" width="12.7109375" style="592" customWidth="1"/>
    <col min="5" max="6" width="12.7109375" customWidth="1"/>
    <col min="7" max="7" width="9.42578125" customWidth="1"/>
    <col min="8" max="8" width="9.5703125" style="41" customWidth="1"/>
    <col min="9" max="9" width="8.7109375" style="41" customWidth="1"/>
  </cols>
  <sheetData>
    <row r="1" spans="1:11" ht="13.5" thickBot="1">
      <c r="D1" s="732"/>
    </row>
    <row r="2" spans="1:11" ht="20.100000000000001" customHeight="1" thickBot="1">
      <c r="A2" t="s">
        <v>1448</v>
      </c>
      <c r="B2" s="301" t="s">
        <v>2043</v>
      </c>
      <c r="C2" s="141" t="s">
        <v>1433</v>
      </c>
      <c r="D2" s="733" t="s">
        <v>1863</v>
      </c>
      <c r="E2" s="55" t="s">
        <v>1912</v>
      </c>
      <c r="F2" s="146" t="s">
        <v>1864</v>
      </c>
      <c r="G2" s="836"/>
      <c r="H2" s="836"/>
      <c r="I2" s="836"/>
      <c r="J2" s="836"/>
      <c r="K2" s="837"/>
    </row>
    <row r="3" spans="1:11" ht="20.100000000000001" customHeight="1">
      <c r="A3">
        <v>1</v>
      </c>
      <c r="B3" s="2" t="s">
        <v>1434</v>
      </c>
      <c r="C3" s="138">
        <v>1000</v>
      </c>
      <c r="D3" s="734"/>
      <c r="E3" s="147" t="s">
        <v>1926</v>
      </c>
      <c r="F3" s="727">
        <v>36993</v>
      </c>
      <c r="G3" s="836"/>
      <c r="H3" s="836"/>
      <c r="I3" s="836"/>
      <c r="J3" s="836"/>
      <c r="K3" s="837"/>
    </row>
    <row r="4" spans="1:11" ht="19.899999999999999" customHeight="1">
      <c r="B4" s="2"/>
      <c r="C4" s="114"/>
      <c r="D4" s="735"/>
      <c r="F4" s="300"/>
      <c r="G4" s="836"/>
      <c r="H4" s="836"/>
      <c r="I4" s="836"/>
      <c r="J4" s="836"/>
      <c r="K4" s="837"/>
    </row>
    <row r="5" spans="1:11" ht="19.899999999999999" customHeight="1" thickBot="1">
      <c r="B5" s="2"/>
      <c r="C5" s="114"/>
      <c r="D5" s="735"/>
      <c r="F5" s="300"/>
      <c r="G5" s="835"/>
      <c r="H5" s="835"/>
      <c r="I5" s="835"/>
      <c r="J5" s="835"/>
      <c r="K5" s="835"/>
    </row>
    <row r="6" spans="1:11" ht="36.6" customHeight="1" thickBot="1">
      <c r="A6" t="s">
        <v>1448</v>
      </c>
      <c r="B6" s="638" t="s">
        <v>291</v>
      </c>
      <c r="C6" s="302" t="s">
        <v>1911</v>
      </c>
      <c r="D6" s="764" t="s">
        <v>1837</v>
      </c>
      <c r="E6" s="815" t="s">
        <v>2042</v>
      </c>
      <c r="F6" s="815"/>
      <c r="G6" s="815"/>
      <c r="H6" s="815"/>
      <c r="I6" s="815"/>
      <c r="J6" s="815"/>
      <c r="K6" s="816"/>
    </row>
    <row r="7" spans="1:11" ht="19.899999999999999" customHeight="1">
      <c r="A7">
        <v>2</v>
      </c>
      <c r="B7" s="35" t="s">
        <v>1835</v>
      </c>
      <c r="C7" s="295"/>
      <c r="D7" s="736">
        <v>2000</v>
      </c>
      <c r="E7" s="299">
        <f>D7+1</f>
        <v>2001</v>
      </c>
      <c r="F7" s="299">
        <f>E7+1</f>
        <v>2002</v>
      </c>
      <c r="G7" s="299">
        <f>F7+1</f>
        <v>2003</v>
      </c>
    </row>
    <row r="8" spans="1:11" ht="19.149999999999999" customHeight="1">
      <c r="A8" t="s">
        <v>1448</v>
      </c>
      <c r="B8" s="35" t="s">
        <v>1435</v>
      </c>
      <c r="C8" s="295"/>
      <c r="D8" s="737"/>
      <c r="E8" s="295"/>
      <c r="F8" s="297"/>
      <c r="G8" s="21"/>
      <c r="H8" s="43"/>
    </row>
    <row r="9" spans="1:11">
      <c r="A9" s="94">
        <v>3</v>
      </c>
      <c r="B9" s="2" t="s">
        <v>389</v>
      </c>
      <c r="C9" s="114"/>
      <c r="D9" s="738">
        <v>3.5999999999999997E-2</v>
      </c>
      <c r="E9" s="58">
        <v>0.05</v>
      </c>
      <c r="F9" s="58">
        <v>0.05</v>
      </c>
      <c r="G9" s="58">
        <v>5.5E-2</v>
      </c>
      <c r="H9" s="44"/>
    </row>
    <row r="10" spans="1:11">
      <c r="A10" s="94">
        <f t="shared" ref="A10:A20" si="0">A9+1</f>
        <v>4</v>
      </c>
      <c r="B10" s="2" t="s">
        <v>1818</v>
      </c>
      <c r="C10" s="114"/>
      <c r="D10" s="738">
        <v>0.27900000000000003</v>
      </c>
      <c r="E10" s="58">
        <v>0.249</v>
      </c>
      <c r="F10" s="58">
        <v>0.17199999999999999</v>
      </c>
      <c r="G10" s="58">
        <v>0.13300000000000001</v>
      </c>
      <c r="H10" s="44"/>
    </row>
    <row r="11" spans="1:11">
      <c r="A11" s="94">
        <f t="shared" si="0"/>
        <v>5</v>
      </c>
      <c r="B11" s="2" t="s">
        <v>1437</v>
      </c>
      <c r="C11" s="114"/>
      <c r="D11" s="739">
        <v>0.5</v>
      </c>
      <c r="E11" s="59"/>
      <c r="F11" s="59"/>
      <c r="G11" s="59"/>
      <c r="H11" s="44"/>
    </row>
    <row r="12" spans="1:11">
      <c r="A12" s="94">
        <f t="shared" si="0"/>
        <v>6</v>
      </c>
      <c r="B12" s="2" t="s">
        <v>1438</v>
      </c>
      <c r="C12" s="114"/>
      <c r="D12" s="739">
        <v>4.3664668111298699</v>
      </c>
      <c r="E12" s="59"/>
      <c r="F12" s="59"/>
      <c r="G12" s="59"/>
      <c r="H12" s="44"/>
    </row>
    <row r="13" spans="1:11" ht="20.100000000000001" customHeight="1">
      <c r="A13" s="94">
        <f t="shared" si="0"/>
        <v>7</v>
      </c>
      <c r="B13" s="109" t="s">
        <v>1439</v>
      </c>
      <c r="C13" s="18" t="s">
        <v>1923</v>
      </c>
      <c r="D13" s="740">
        <v>9055</v>
      </c>
      <c r="E13" s="75">
        <f>D13*(1+E9)*(1+E10)</f>
        <v>11875.179750000001</v>
      </c>
      <c r="F13" s="75">
        <f>E13*(1+F9)*(1+F10)</f>
        <v>14613.596200350003</v>
      </c>
      <c r="G13" s="75">
        <f>F13*(1+G9)*(1+G10)</f>
        <v>17467.850742221362</v>
      </c>
    </row>
    <row r="14" spans="1:11">
      <c r="A14" s="94">
        <f t="shared" si="0"/>
        <v>8</v>
      </c>
      <c r="B14" s="18" t="s">
        <v>1440</v>
      </c>
      <c r="C14" s="18"/>
      <c r="D14" s="741">
        <f>D13-D15-D16-D17+D18</f>
        <v>7865.2844000000005</v>
      </c>
      <c r="E14" s="29">
        <f>E13-E15-E16-E17+E18</f>
        <v>10412.292290000001</v>
      </c>
      <c r="F14" s="29">
        <f>F13-F15-F16-F17+F18</f>
        <v>12435.348933682453</v>
      </c>
      <c r="G14" s="29">
        <f>G13-G15-G16-G17+G18</f>
        <v>14237.34393858154</v>
      </c>
    </row>
    <row r="15" spans="1:11">
      <c r="A15" s="94">
        <f t="shared" si="0"/>
        <v>9</v>
      </c>
      <c r="B15" s="18" t="s">
        <v>1441</v>
      </c>
      <c r="C15" s="18"/>
      <c r="D15" s="741">
        <f>D40</f>
        <v>913</v>
      </c>
      <c r="E15" s="29">
        <f>E40</f>
        <v>1396</v>
      </c>
      <c r="F15" s="29">
        <f>F40</f>
        <v>1506</v>
      </c>
      <c r="G15" s="29">
        <f>G40</f>
        <v>1800</v>
      </c>
    </row>
    <row r="16" spans="1:11">
      <c r="A16" s="94">
        <f t="shared" si="0"/>
        <v>10</v>
      </c>
      <c r="B16" s="18" t="s">
        <v>1442</v>
      </c>
      <c r="C16" s="18"/>
      <c r="D16" s="742">
        <v>1654.8</v>
      </c>
      <c r="E16" s="25">
        <f>H16*E13</f>
        <v>2170.1874600000001</v>
      </c>
      <c r="F16" s="78">
        <f>0.193*F13</f>
        <v>2820.4240666675505</v>
      </c>
      <c r="G16" s="78">
        <f>0.207*G13</f>
        <v>3615.8451036398219</v>
      </c>
      <c r="H16" s="41">
        <f>D16/D13</f>
        <v>0.18274986195472115</v>
      </c>
    </row>
    <row r="17" spans="1:7">
      <c r="A17" s="94">
        <f t="shared" si="0"/>
        <v>11</v>
      </c>
      <c r="B17" s="18" t="s">
        <v>1443</v>
      </c>
      <c r="C17" s="18"/>
      <c r="D17" s="741">
        <f>D78*D73</f>
        <v>2768.6119999999996</v>
      </c>
      <c r="E17" s="29">
        <f>E78*E73</f>
        <v>4268.0999999999995</v>
      </c>
      <c r="F17" s="29">
        <f>F78*F73</f>
        <v>5331.8383999999996</v>
      </c>
      <c r="G17" s="29">
        <f>G78*G73</f>
        <v>7157.3495999999996</v>
      </c>
    </row>
    <row r="18" spans="1:7">
      <c r="A18" s="94">
        <f t="shared" si="0"/>
        <v>12</v>
      </c>
      <c r="B18" s="18" t="s">
        <v>1444</v>
      </c>
      <c r="C18" s="18"/>
      <c r="D18" s="741">
        <f>D79*D73</f>
        <v>4146.6963999999998</v>
      </c>
      <c r="E18" s="29">
        <f>E79*E73</f>
        <v>6371.4</v>
      </c>
      <c r="F18" s="29">
        <f>F79*F73</f>
        <v>7480.0151999999998</v>
      </c>
      <c r="G18" s="29">
        <f>G79*G73</f>
        <v>9342.687899999999</v>
      </c>
    </row>
    <row r="19" spans="1:7">
      <c r="A19" s="94">
        <f t="shared" si="0"/>
        <v>13</v>
      </c>
      <c r="B19" s="18" t="s">
        <v>1445</v>
      </c>
      <c r="C19" s="18"/>
      <c r="D19" s="743">
        <f>D34+D35+D36-D44-D45</f>
        <v>1017</v>
      </c>
      <c r="E19" s="34">
        <f>E34+E35+E36-E44-E45</f>
        <v>1285</v>
      </c>
      <c r="F19" s="34">
        <f>F34+F35+F36-F44-F45</f>
        <v>1645</v>
      </c>
      <c r="G19" s="34">
        <f>G34+G35+G36-G44-G45</f>
        <v>2028</v>
      </c>
    </row>
    <row r="20" spans="1:7" ht="20.100000000000001" customHeight="1">
      <c r="A20" s="94">
        <f t="shared" si="0"/>
        <v>14</v>
      </c>
      <c r="B20" s="109" t="s">
        <v>1446</v>
      </c>
      <c r="C20" s="139"/>
      <c r="D20" s="744">
        <v>8038</v>
      </c>
      <c r="E20" s="26">
        <f>E13-E19</f>
        <v>10590.179750000001</v>
      </c>
      <c r="F20" s="26">
        <f>F13-F19</f>
        <v>12968.596200350003</v>
      </c>
      <c r="G20" s="26">
        <f>G13-G19</f>
        <v>15439.850742221362</v>
      </c>
    </row>
    <row r="21" spans="1:7" ht="20.100000000000001" customHeight="1">
      <c r="A21" t="s">
        <v>1448</v>
      </c>
      <c r="B21" s="35" t="s">
        <v>1447</v>
      </c>
      <c r="C21" s="18" t="s">
        <v>1923</v>
      </c>
      <c r="D21" s="745"/>
      <c r="E21" s="21"/>
      <c r="F21" s="21"/>
      <c r="G21" s="21"/>
    </row>
    <row r="22" spans="1:7" ht="19.899999999999999" customHeight="1">
      <c r="A22" s="94">
        <f>A20+1</f>
        <v>15</v>
      </c>
      <c r="B22" s="149" t="s">
        <v>1509</v>
      </c>
      <c r="C22" s="93"/>
      <c r="D22" s="746">
        <f>D23+D29</f>
        <v>-421</v>
      </c>
      <c r="E22" s="26">
        <f>E23+E29</f>
        <v>-596</v>
      </c>
      <c r="F22" s="26">
        <f>F23+F29</f>
        <v>-872</v>
      </c>
      <c r="G22" s="26">
        <f>G23+G29</f>
        <v>-794</v>
      </c>
    </row>
    <row r="23" spans="1:7" ht="12.75" customHeight="1">
      <c r="A23" s="94">
        <f t="shared" ref="A23:A29" si="1">A22+1</f>
        <v>16</v>
      </c>
      <c r="B23" s="111" t="s">
        <v>1886</v>
      </c>
      <c r="C23" s="32"/>
      <c r="D23" s="746">
        <f>D31-D39-D50</f>
        <v>-996</v>
      </c>
      <c r="E23" s="26">
        <f>E31-E39-E50</f>
        <v>-1824</v>
      </c>
      <c r="F23" s="26">
        <f>F31-F39-F50</f>
        <v>-1803</v>
      </c>
      <c r="G23" s="26">
        <f>G31-G39-G50</f>
        <v>-1821</v>
      </c>
    </row>
    <row r="24" spans="1:7">
      <c r="A24" s="94">
        <f t="shared" si="1"/>
        <v>17</v>
      </c>
      <c r="B24" s="111" t="s">
        <v>1887</v>
      </c>
      <c r="C24" s="32"/>
      <c r="D24" s="746">
        <f>D25+D29</f>
        <v>-114</v>
      </c>
      <c r="E24" s="26">
        <f>E25+E29</f>
        <v>-316</v>
      </c>
      <c r="F24" s="26">
        <f>F25+F29</f>
        <v>-610</v>
      </c>
      <c r="G24" s="26">
        <f>G25+G29</f>
        <v>-562</v>
      </c>
    </row>
    <row r="25" spans="1:7">
      <c r="A25" s="94">
        <f t="shared" si="1"/>
        <v>18</v>
      </c>
      <c r="B25" s="111" t="s">
        <v>1888</v>
      </c>
      <c r="C25" s="32"/>
      <c r="D25" s="746">
        <f>D23+D47</f>
        <v>-689</v>
      </c>
      <c r="E25" s="26">
        <f>E23+E47</f>
        <v>-1544</v>
      </c>
      <c r="F25" s="26">
        <f>F23+F47</f>
        <v>-1541</v>
      </c>
      <c r="G25" s="26">
        <f>G23+G47</f>
        <v>-1589</v>
      </c>
    </row>
    <row r="26" spans="1:7" ht="16.149999999999999" customHeight="1">
      <c r="A26" s="94">
        <f t="shared" si="1"/>
        <v>19</v>
      </c>
      <c r="B26" s="111" t="s">
        <v>1876</v>
      </c>
      <c r="C26" s="32"/>
      <c r="D26" s="743">
        <f>D22-D56+D58+D59</f>
        <v>-709</v>
      </c>
      <c r="E26" s="34">
        <f>E22-E56+E58+E59</f>
        <v>-646</v>
      </c>
      <c r="F26" s="34">
        <f>F22-F56+F58+F59</f>
        <v>-934</v>
      </c>
      <c r="G26" s="34">
        <f>G22-G56+G58+G59</f>
        <v>-867</v>
      </c>
    </row>
    <row r="27" spans="1:7">
      <c r="A27" s="94">
        <f t="shared" si="1"/>
        <v>20</v>
      </c>
      <c r="B27" s="111" t="s">
        <v>1875</v>
      </c>
      <c r="C27" s="32"/>
      <c r="D27" s="743">
        <f>D26-D29+D48+D52+D54</f>
        <v>-336</v>
      </c>
      <c r="E27" s="34">
        <f>E26-E29+E48+E52+E54</f>
        <v>-428</v>
      </c>
      <c r="F27" s="34">
        <f>F26-F29+F48+F52+F54</f>
        <v>-230</v>
      </c>
      <c r="G27" s="34">
        <f>G26-G29+G48+G52+G54</f>
        <v>-90</v>
      </c>
    </row>
    <row r="28" spans="1:7" ht="20.100000000000001" customHeight="1">
      <c r="A28" s="94">
        <f t="shared" si="1"/>
        <v>21</v>
      </c>
      <c r="B28" s="106" t="s">
        <v>1449</v>
      </c>
      <c r="C28" s="93"/>
      <c r="D28" s="747">
        <f>D29+D31</f>
        <v>2528</v>
      </c>
      <c r="E28" s="76">
        <f>E29+E31</f>
        <v>3522</v>
      </c>
      <c r="F28" s="76">
        <f>F29+F31</f>
        <v>3778</v>
      </c>
      <c r="G28" s="76">
        <f>G29+G31</f>
        <v>4485</v>
      </c>
    </row>
    <row r="29" spans="1:7">
      <c r="A29" s="94">
        <f t="shared" si="1"/>
        <v>22</v>
      </c>
      <c r="B29" s="4" t="s">
        <v>1450</v>
      </c>
      <c r="C29" s="32"/>
      <c r="D29" s="744">
        <v>575</v>
      </c>
      <c r="E29" s="30">
        <v>1228</v>
      </c>
      <c r="F29" s="30">
        <v>931</v>
      </c>
      <c r="G29" s="30">
        <v>1027</v>
      </c>
    </row>
    <row r="30" spans="1:7">
      <c r="A30" s="94"/>
      <c r="B30" s="4" t="s">
        <v>1894</v>
      </c>
      <c r="C30" s="32"/>
      <c r="D30" s="744">
        <v>476</v>
      </c>
      <c r="E30" s="30">
        <v>823</v>
      </c>
      <c r="F30" s="30">
        <v>931</v>
      </c>
      <c r="G30" s="30">
        <v>1027</v>
      </c>
    </row>
    <row r="31" spans="1:7" ht="20.100000000000001" customHeight="1">
      <c r="A31" s="94">
        <f>A29+1</f>
        <v>23</v>
      </c>
      <c r="B31" s="106" t="s">
        <v>1451</v>
      </c>
      <c r="C31" s="93"/>
      <c r="D31" s="746">
        <f>D32+D33</f>
        <v>1953</v>
      </c>
      <c r="E31" s="26">
        <f>E32+E33</f>
        <v>2294</v>
      </c>
      <c r="F31" s="26">
        <f>F32+F33</f>
        <v>2847</v>
      </c>
      <c r="G31" s="26">
        <f>G32+G33</f>
        <v>3458</v>
      </c>
    </row>
    <row r="32" spans="1:7">
      <c r="A32" s="94">
        <f t="shared" ref="A32:A54" si="2">A31+1</f>
        <v>24</v>
      </c>
      <c r="B32" s="4" t="s">
        <v>1452</v>
      </c>
      <c r="C32" s="32"/>
      <c r="D32" s="748">
        <v>22</v>
      </c>
      <c r="E32" s="73">
        <v>37</v>
      </c>
      <c r="F32" s="73">
        <v>64</v>
      </c>
      <c r="G32" s="73">
        <v>77</v>
      </c>
    </row>
    <row r="33" spans="1:9" ht="20.100000000000001" customHeight="1">
      <c r="A33" s="94">
        <f t="shared" si="2"/>
        <v>25</v>
      </c>
      <c r="B33" s="106" t="s">
        <v>1453</v>
      </c>
      <c r="C33" s="93"/>
      <c r="D33" s="748">
        <v>1931</v>
      </c>
      <c r="E33" s="73">
        <v>2257</v>
      </c>
      <c r="F33" s="73">
        <v>2783</v>
      </c>
      <c r="G33" s="73">
        <v>3381</v>
      </c>
    </row>
    <row r="34" spans="1:9">
      <c r="A34" s="94">
        <f t="shared" si="2"/>
        <v>26</v>
      </c>
      <c r="B34" s="4" t="s">
        <v>1454</v>
      </c>
      <c r="C34" s="32"/>
      <c r="D34" s="749">
        <v>508</v>
      </c>
      <c r="E34" s="73">
        <v>853</v>
      </c>
      <c r="F34" s="73">
        <v>1078</v>
      </c>
      <c r="G34" s="73">
        <v>1316</v>
      </c>
    </row>
    <row r="35" spans="1:9">
      <c r="A35" s="94">
        <f t="shared" si="2"/>
        <v>27</v>
      </c>
      <c r="B35" s="4" t="s">
        <v>1455</v>
      </c>
      <c r="C35" s="32"/>
      <c r="D35" s="749">
        <v>597</v>
      </c>
      <c r="E35" s="73">
        <v>624</v>
      </c>
      <c r="F35" s="73">
        <v>780</v>
      </c>
      <c r="G35" s="73">
        <v>946</v>
      </c>
    </row>
    <row r="36" spans="1:9">
      <c r="A36" s="94">
        <f t="shared" si="2"/>
        <v>28</v>
      </c>
      <c r="B36" s="2" t="s">
        <v>1456</v>
      </c>
      <c r="C36" s="114"/>
      <c r="D36" s="749">
        <v>0</v>
      </c>
      <c r="E36" s="73">
        <v>0</v>
      </c>
      <c r="F36" s="73">
        <v>0</v>
      </c>
      <c r="G36" s="73">
        <v>0</v>
      </c>
    </row>
    <row r="37" spans="1:9">
      <c r="A37" s="94">
        <f t="shared" si="2"/>
        <v>29</v>
      </c>
      <c r="B37" s="4" t="s">
        <v>1457</v>
      </c>
      <c r="C37" s="32"/>
      <c r="D37" s="746">
        <f>D33-SUM(D34:D36)</f>
        <v>826</v>
      </c>
      <c r="E37" s="26">
        <f>E33-SUM(E34:E36)</f>
        <v>780</v>
      </c>
      <c r="F37" s="26">
        <f>F33-SUM(F34:F36)</f>
        <v>925</v>
      </c>
      <c r="G37" s="26">
        <f>G33-SUM(G34:G36)</f>
        <v>1119</v>
      </c>
    </row>
    <row r="38" spans="1:9" ht="19.899999999999999" customHeight="1">
      <c r="A38" s="94">
        <f t="shared" si="2"/>
        <v>30</v>
      </c>
      <c r="B38" s="106" t="s">
        <v>1866</v>
      </c>
      <c r="C38" s="93"/>
      <c r="D38" s="746">
        <f>D39+D50</f>
        <v>2949</v>
      </c>
      <c r="E38" s="26">
        <f>E39+E50</f>
        <v>4118</v>
      </c>
      <c r="F38" s="26">
        <f>F39+F50</f>
        <v>4650</v>
      </c>
      <c r="G38" s="26">
        <f>G39+G50</f>
        <v>5279</v>
      </c>
    </row>
    <row r="39" spans="1:9" ht="20.100000000000001" customHeight="1">
      <c r="A39" s="94">
        <f t="shared" si="2"/>
        <v>31</v>
      </c>
      <c r="B39" s="106" t="s">
        <v>1458</v>
      </c>
      <c r="C39" s="93"/>
      <c r="D39" s="742">
        <v>1527</v>
      </c>
      <c r="E39" s="25">
        <v>2292</v>
      </c>
      <c r="F39" s="25">
        <v>2512</v>
      </c>
      <c r="G39" s="25">
        <v>2919</v>
      </c>
    </row>
    <row r="40" spans="1:9">
      <c r="A40" s="94">
        <f t="shared" si="2"/>
        <v>32</v>
      </c>
      <c r="B40" s="4" t="s">
        <v>1459</v>
      </c>
      <c r="C40" s="32"/>
      <c r="D40" s="741">
        <f>D39-D43-D47</f>
        <v>913</v>
      </c>
      <c r="E40" s="29">
        <f>E39-E43-E47</f>
        <v>1396</v>
      </c>
      <c r="F40" s="29">
        <f>F39-F43-F47</f>
        <v>1506</v>
      </c>
      <c r="G40" s="29">
        <f>G39-G43-G47</f>
        <v>1800</v>
      </c>
    </row>
    <row r="41" spans="1:9">
      <c r="A41" s="94">
        <f t="shared" si="2"/>
        <v>33</v>
      </c>
      <c r="B41" s="4" t="s">
        <v>1460</v>
      </c>
      <c r="C41" s="32"/>
      <c r="D41" s="742">
        <v>538</v>
      </c>
      <c r="E41" s="73">
        <v>741</v>
      </c>
      <c r="F41" s="73">
        <v>912</v>
      </c>
      <c r="G41" s="73">
        <v>1089</v>
      </c>
    </row>
    <row r="42" spans="1:9">
      <c r="A42" s="94">
        <f t="shared" si="2"/>
        <v>34</v>
      </c>
      <c r="B42" s="4" t="s">
        <v>1461</v>
      </c>
      <c r="C42" s="32"/>
      <c r="D42" s="750">
        <f>D40-D41</f>
        <v>375</v>
      </c>
      <c r="E42" s="3">
        <f>E40-E41</f>
        <v>655</v>
      </c>
      <c r="F42" s="3">
        <f>F40-F41</f>
        <v>594</v>
      </c>
      <c r="G42" s="3">
        <f>G40-G41</f>
        <v>711</v>
      </c>
    </row>
    <row r="43" spans="1:9">
      <c r="A43" s="94">
        <f t="shared" si="2"/>
        <v>35</v>
      </c>
      <c r="B43" s="12" t="s">
        <v>1462</v>
      </c>
      <c r="C43" s="115"/>
      <c r="D43" s="751">
        <f>SUM(D44:D46)</f>
        <v>307</v>
      </c>
      <c r="E43" s="2">
        <f>SUM(E44:E46)</f>
        <v>616</v>
      </c>
      <c r="F43" s="2">
        <f>SUM(F44:F46)</f>
        <v>744</v>
      </c>
      <c r="G43" s="2">
        <f>SUM(G44:G46)</f>
        <v>887</v>
      </c>
    </row>
    <row r="44" spans="1:9">
      <c r="A44" s="94">
        <f t="shared" si="2"/>
        <v>36</v>
      </c>
      <c r="B44" s="4" t="s">
        <v>1463</v>
      </c>
      <c r="C44" s="32"/>
      <c r="D44" s="742">
        <v>0</v>
      </c>
      <c r="E44" s="25">
        <v>0</v>
      </c>
      <c r="F44" s="25">
        <v>0</v>
      </c>
      <c r="G44" s="25">
        <v>0</v>
      </c>
    </row>
    <row r="45" spans="1:9">
      <c r="A45" s="94">
        <f t="shared" si="2"/>
        <v>37</v>
      </c>
      <c r="B45" s="4" t="s">
        <v>1464</v>
      </c>
      <c r="C45" s="32"/>
      <c r="D45" s="742">
        <v>88</v>
      </c>
      <c r="E45" s="25">
        <v>192</v>
      </c>
      <c r="F45" s="25">
        <v>213</v>
      </c>
      <c r="G45" s="25">
        <v>234</v>
      </c>
    </row>
    <row r="46" spans="1:9">
      <c r="A46" s="94">
        <f t="shared" si="2"/>
        <v>38</v>
      </c>
      <c r="B46" s="4" t="s">
        <v>1465</v>
      </c>
      <c r="C46" s="32"/>
      <c r="D46" s="742">
        <v>219</v>
      </c>
      <c r="E46" s="25">
        <v>424</v>
      </c>
      <c r="F46" s="25">
        <v>531</v>
      </c>
      <c r="G46" s="25">
        <v>653</v>
      </c>
      <c r="I46" s="41" t="s">
        <v>1448</v>
      </c>
    </row>
    <row r="47" spans="1:9">
      <c r="A47" s="94">
        <f t="shared" si="2"/>
        <v>39</v>
      </c>
      <c r="B47" s="4" t="s">
        <v>1466</v>
      </c>
      <c r="C47" s="32"/>
      <c r="D47" s="741">
        <f>SUM(D48:D49)</f>
        <v>307</v>
      </c>
      <c r="E47" s="29">
        <f>SUM(E48:E49)</f>
        <v>280</v>
      </c>
      <c r="F47" s="29">
        <f>SUM(F48:F49)</f>
        <v>262</v>
      </c>
      <c r="G47" s="29">
        <f>SUM(G48:G49)</f>
        <v>232</v>
      </c>
    </row>
    <row r="48" spans="1:9">
      <c r="A48" s="94">
        <f t="shared" si="2"/>
        <v>40</v>
      </c>
      <c r="B48" s="4" t="s">
        <v>1877</v>
      </c>
      <c r="C48" s="32" t="s">
        <v>1448</v>
      </c>
      <c r="D48" s="742">
        <v>167</v>
      </c>
      <c r="E48" s="57">
        <v>111</v>
      </c>
      <c r="F48" s="25">
        <v>132</v>
      </c>
      <c r="G48" s="25">
        <v>152</v>
      </c>
    </row>
    <row r="49" spans="1:9">
      <c r="A49" s="94">
        <f t="shared" si="2"/>
        <v>41</v>
      </c>
      <c r="B49" s="4" t="s">
        <v>1467</v>
      </c>
      <c r="C49" s="32"/>
      <c r="D49" s="742">
        <v>140</v>
      </c>
      <c r="E49" s="57">
        <v>169</v>
      </c>
      <c r="F49" s="25">
        <v>130</v>
      </c>
      <c r="G49" s="25">
        <v>80</v>
      </c>
    </row>
    <row r="50" spans="1:9" ht="20.100000000000001" customHeight="1">
      <c r="A50" s="94">
        <f t="shared" si="2"/>
        <v>42</v>
      </c>
      <c r="B50" s="110" t="s">
        <v>1867</v>
      </c>
      <c r="C50" s="140"/>
      <c r="D50" s="746">
        <f>D51+D53</f>
        <v>1422</v>
      </c>
      <c r="E50" s="26">
        <f>E51+E53</f>
        <v>1826</v>
      </c>
      <c r="F50" s="26">
        <f>F51+F53</f>
        <v>2138</v>
      </c>
      <c r="G50" s="26">
        <f>G51+G53</f>
        <v>2360</v>
      </c>
    </row>
    <row r="51" spans="1:9">
      <c r="A51" s="94">
        <f t="shared" si="2"/>
        <v>43</v>
      </c>
      <c r="B51" s="4" t="s">
        <v>1469</v>
      </c>
      <c r="C51" s="32"/>
      <c r="D51" s="744">
        <v>1009</v>
      </c>
      <c r="E51" s="30">
        <v>1649</v>
      </c>
      <c r="F51" s="30">
        <v>1938</v>
      </c>
      <c r="G51" s="30">
        <v>2210</v>
      </c>
    </row>
    <row r="52" spans="1:9">
      <c r="A52" s="94">
        <f t="shared" si="2"/>
        <v>44</v>
      </c>
      <c r="B52" s="4" t="s">
        <v>1878</v>
      </c>
      <c r="C52" s="32"/>
      <c r="D52" s="744">
        <v>781</v>
      </c>
      <c r="E52" s="30">
        <v>1335</v>
      </c>
      <c r="F52" s="30">
        <v>1503</v>
      </c>
      <c r="G52" s="30">
        <v>1652</v>
      </c>
    </row>
    <row r="53" spans="1:9">
      <c r="A53" s="94">
        <f t="shared" si="2"/>
        <v>45</v>
      </c>
      <c r="B53" s="4" t="s">
        <v>527</v>
      </c>
      <c r="C53" s="32"/>
      <c r="D53" s="744">
        <v>413</v>
      </c>
      <c r="E53" s="30">
        <v>177</v>
      </c>
      <c r="F53" s="30">
        <v>200</v>
      </c>
      <c r="G53" s="30">
        <v>150</v>
      </c>
    </row>
    <row r="54" spans="1:9">
      <c r="A54" s="94">
        <f t="shared" si="2"/>
        <v>46</v>
      </c>
      <c r="B54" s="4" t="s">
        <v>1878</v>
      </c>
      <c r="C54" s="32"/>
      <c r="D54" s="744">
        <v>0</v>
      </c>
      <c r="E54" s="30">
        <v>0</v>
      </c>
      <c r="F54" s="30">
        <v>0</v>
      </c>
      <c r="G54" s="30">
        <v>0</v>
      </c>
    </row>
    <row r="55" spans="1:9" ht="20.100000000000001" customHeight="1">
      <c r="A55" s="94">
        <f>A24+1</f>
        <v>18</v>
      </c>
      <c r="B55" s="106" t="s">
        <v>1472</v>
      </c>
      <c r="C55" s="93"/>
      <c r="D55" s="747">
        <f>-D22</f>
        <v>421</v>
      </c>
      <c r="E55" s="76">
        <f>-E22</f>
        <v>596</v>
      </c>
      <c r="F55" s="76">
        <f>-F22</f>
        <v>872</v>
      </c>
      <c r="G55" s="76">
        <f>-G22</f>
        <v>794</v>
      </c>
    </row>
    <row r="56" spans="1:9">
      <c r="A56" s="94">
        <f>A55+1</f>
        <v>19</v>
      </c>
      <c r="B56" s="111" t="s">
        <v>1868</v>
      </c>
      <c r="C56" s="32"/>
      <c r="D56" s="744">
        <v>82</v>
      </c>
      <c r="E56" s="30">
        <v>50</v>
      </c>
      <c r="F56" s="30">
        <v>62</v>
      </c>
      <c r="G56" s="30">
        <v>73</v>
      </c>
    </row>
    <row r="57" spans="1:9">
      <c r="A57" s="94">
        <f>A56+1</f>
        <v>20</v>
      </c>
      <c r="B57" s="111" t="s">
        <v>1870</v>
      </c>
      <c r="C57" s="32"/>
      <c r="D57" s="744"/>
      <c r="E57" s="30"/>
      <c r="F57" s="30"/>
      <c r="G57" s="30"/>
    </row>
    <row r="58" spans="1:9">
      <c r="A58" s="94">
        <f>A57+1</f>
        <v>21</v>
      </c>
      <c r="B58" s="111" t="s">
        <v>1874</v>
      </c>
      <c r="C58" s="32"/>
      <c r="D58" s="744">
        <v>-114</v>
      </c>
      <c r="E58" s="30">
        <v>0</v>
      </c>
      <c r="F58" s="30">
        <v>0</v>
      </c>
      <c r="G58" s="30">
        <v>0</v>
      </c>
    </row>
    <row r="59" spans="1:9">
      <c r="A59" s="94">
        <f>A58+1</f>
        <v>22</v>
      </c>
      <c r="B59" s="111" t="s">
        <v>1869</v>
      </c>
      <c r="C59" s="32"/>
      <c r="D59" s="744">
        <v>-92</v>
      </c>
      <c r="E59" s="30">
        <v>0</v>
      </c>
      <c r="F59" s="30">
        <v>0</v>
      </c>
      <c r="G59" s="30">
        <v>0</v>
      </c>
    </row>
    <row r="60" spans="1:9">
      <c r="A60" s="94">
        <f>A27+1</f>
        <v>21</v>
      </c>
      <c r="B60" s="111" t="s">
        <v>1473</v>
      </c>
      <c r="C60" s="32"/>
      <c r="D60" s="743">
        <f>D62+D61</f>
        <v>177</v>
      </c>
      <c r="E60" s="34">
        <f>E62+E61</f>
        <v>-75</v>
      </c>
      <c r="F60" s="34">
        <f>F62+F61</f>
        <v>-171</v>
      </c>
      <c r="G60" s="34">
        <f>G62+G61</f>
        <v>-92</v>
      </c>
    </row>
    <row r="61" spans="1:9">
      <c r="A61" s="94">
        <f t="shared" ref="A61:A71" si="3">A60+1</f>
        <v>22</v>
      </c>
      <c r="B61" s="111" t="s">
        <v>1474</v>
      </c>
      <c r="C61" s="32"/>
      <c r="D61" s="744">
        <v>139</v>
      </c>
      <c r="E61" s="30">
        <v>-100</v>
      </c>
      <c r="F61" s="30">
        <v>-171</v>
      </c>
      <c r="G61" s="30">
        <v>-92</v>
      </c>
    </row>
    <row r="62" spans="1:9">
      <c r="A62" s="94">
        <f t="shared" si="3"/>
        <v>23</v>
      </c>
      <c r="B62" s="111" t="s">
        <v>2033</v>
      </c>
      <c r="C62" s="32"/>
      <c r="D62" s="744">
        <v>38</v>
      </c>
      <c r="E62" s="30">
        <v>25</v>
      </c>
      <c r="F62" s="30">
        <v>0</v>
      </c>
      <c r="G62" s="30">
        <v>0</v>
      </c>
    </row>
    <row r="63" spans="1:9">
      <c r="A63" s="94">
        <f t="shared" si="3"/>
        <v>24</v>
      </c>
      <c r="B63" s="111" t="s">
        <v>1879</v>
      </c>
      <c r="C63" s="32"/>
      <c r="D63" s="744">
        <v>531</v>
      </c>
      <c r="E63" s="26">
        <f>SUM(E64:E66)</f>
        <v>722</v>
      </c>
      <c r="F63" s="26">
        <f>SUM(F64:F66)</f>
        <v>-80</v>
      </c>
      <c r="G63" s="26">
        <f>SUM(G64:G66)</f>
        <v>3</v>
      </c>
      <c r="I63" s="62"/>
    </row>
    <row r="64" spans="1:9">
      <c r="A64" s="94">
        <f t="shared" si="3"/>
        <v>25</v>
      </c>
      <c r="B64" s="111" t="s">
        <v>1880</v>
      </c>
      <c r="C64" s="32"/>
      <c r="D64" s="744">
        <v>479</v>
      </c>
      <c r="E64" s="30">
        <v>447</v>
      </c>
      <c r="F64" s="30">
        <v>0</v>
      </c>
      <c r="G64" s="30">
        <v>0</v>
      </c>
    </row>
    <row r="65" spans="1:9">
      <c r="A65" s="94">
        <f t="shared" si="3"/>
        <v>26</v>
      </c>
      <c r="B65" s="111" t="s">
        <v>1881</v>
      </c>
      <c r="C65" s="32"/>
      <c r="D65" s="744">
        <v>289</v>
      </c>
      <c r="E65" s="30">
        <v>513</v>
      </c>
      <c r="F65" s="30">
        <v>510</v>
      </c>
      <c r="G65" s="30">
        <v>574</v>
      </c>
    </row>
    <row r="66" spans="1:9">
      <c r="A66" s="94">
        <f t="shared" si="3"/>
        <v>27</v>
      </c>
      <c r="B66" s="111" t="s">
        <v>1882</v>
      </c>
      <c r="C66" s="32"/>
      <c r="D66" s="744">
        <v>-237</v>
      </c>
      <c r="E66" s="30">
        <v>-238</v>
      </c>
      <c r="F66" s="30">
        <v>-590</v>
      </c>
      <c r="G66" s="30">
        <v>-571</v>
      </c>
      <c r="I66" s="62"/>
    </row>
    <row r="67" spans="1:9" ht="20.100000000000001" customHeight="1">
      <c r="A67" s="94">
        <f t="shared" si="3"/>
        <v>28</v>
      </c>
      <c r="B67" s="112" t="s">
        <v>1914</v>
      </c>
      <c r="D67" s="752"/>
    </row>
    <row r="68" spans="1:9" ht="12.75" customHeight="1">
      <c r="A68" s="94">
        <f t="shared" si="3"/>
        <v>29</v>
      </c>
      <c r="B68" s="111" t="s">
        <v>1905</v>
      </c>
      <c r="C68" s="32"/>
      <c r="D68" s="743"/>
      <c r="E68" s="34"/>
      <c r="F68" s="34"/>
      <c r="G68" s="34"/>
      <c r="I68" s="62"/>
    </row>
    <row r="69" spans="1:9">
      <c r="A69" s="94">
        <f t="shared" si="3"/>
        <v>30</v>
      </c>
      <c r="B69" s="111" t="s">
        <v>1906</v>
      </c>
      <c r="C69" s="32"/>
      <c r="D69" s="743"/>
      <c r="E69" s="34"/>
      <c r="F69" s="34"/>
      <c r="G69" s="34"/>
      <c r="I69" s="62"/>
    </row>
    <row r="70" spans="1:9">
      <c r="A70" s="94">
        <f t="shared" si="3"/>
        <v>31</v>
      </c>
      <c r="B70" s="111" t="s">
        <v>1907</v>
      </c>
      <c r="C70" s="32"/>
      <c r="D70" s="743"/>
      <c r="E70" s="34"/>
      <c r="F70" s="34"/>
      <c r="G70" s="34"/>
      <c r="I70" s="62"/>
    </row>
    <row r="71" spans="1:9" ht="43.9" customHeight="1">
      <c r="A71" s="94">
        <f t="shared" si="3"/>
        <v>32</v>
      </c>
      <c r="B71" s="292" t="s">
        <v>2037</v>
      </c>
      <c r="C71" s="93"/>
      <c r="D71" s="743">
        <f>D26+D60+D63</f>
        <v>-1</v>
      </c>
      <c r="E71" s="34">
        <f>E26+E60+E63</f>
        <v>1</v>
      </c>
      <c r="F71" s="34">
        <f>F26+F60+F63</f>
        <v>-1185</v>
      </c>
      <c r="G71" s="34">
        <f>G26+G60+G63</f>
        <v>-956</v>
      </c>
      <c r="I71" s="62"/>
    </row>
    <row r="72" spans="1:9" ht="20.100000000000001" customHeight="1">
      <c r="A72" t="s">
        <v>1448</v>
      </c>
      <c r="B72" s="35" t="s">
        <v>1924</v>
      </c>
      <c r="C72" s="142" t="s">
        <v>1925</v>
      </c>
      <c r="D72" s="745"/>
      <c r="E72" s="21"/>
      <c r="F72" s="21"/>
      <c r="G72" s="21"/>
    </row>
    <row r="73" spans="1:9" ht="19.899999999999999" customHeight="1">
      <c r="A73" s="94">
        <f>A71+1</f>
        <v>33</v>
      </c>
      <c r="B73" s="79" t="s">
        <v>1865</v>
      </c>
      <c r="C73" s="79"/>
      <c r="D73" s="753">
        <v>3.1107999999999998</v>
      </c>
      <c r="E73" s="56">
        <v>4.0999999999999996</v>
      </c>
      <c r="F73" s="56">
        <v>4.5415999999999999</v>
      </c>
      <c r="G73" s="56">
        <v>4.8888999999999996</v>
      </c>
    </row>
    <row r="74" spans="1:9" ht="19.899999999999999" customHeight="1">
      <c r="A74" s="94">
        <f t="shared" ref="A74:A86" si="4">A73+1</f>
        <v>34</v>
      </c>
      <c r="B74" s="39" t="s">
        <v>1939</v>
      </c>
      <c r="C74" s="39"/>
      <c r="D74" s="745">
        <v>1</v>
      </c>
      <c r="E74" s="21">
        <v>1.2</v>
      </c>
      <c r="F74" s="21">
        <v>1.2</v>
      </c>
      <c r="G74" s="21">
        <v>1.2</v>
      </c>
    </row>
    <row r="75" spans="1:9" ht="13.15" customHeight="1">
      <c r="A75" s="94">
        <f t="shared" si="4"/>
        <v>35</v>
      </c>
      <c r="B75" s="31" t="s">
        <v>1476</v>
      </c>
      <c r="C75" s="116"/>
      <c r="D75" s="754">
        <v>1</v>
      </c>
      <c r="E75" s="27">
        <v>1</v>
      </c>
      <c r="F75" s="27">
        <v>1</v>
      </c>
      <c r="G75" s="27">
        <v>1</v>
      </c>
    </row>
    <row r="76" spans="1:9" ht="13.15" customHeight="1">
      <c r="A76" s="94">
        <f t="shared" si="4"/>
        <v>36</v>
      </c>
      <c r="B76" s="31" t="s">
        <v>1477</v>
      </c>
      <c r="C76" s="116"/>
      <c r="D76" s="754">
        <v>1</v>
      </c>
      <c r="E76" s="27">
        <f>E74</f>
        <v>1.2</v>
      </c>
      <c r="F76" s="27">
        <f>F74</f>
        <v>1.2</v>
      </c>
      <c r="G76" s="27">
        <f>G74</f>
        <v>1.2</v>
      </c>
    </row>
    <row r="77" spans="1:9" ht="19.899999999999999" customHeight="1">
      <c r="A77" s="94">
        <f t="shared" si="4"/>
        <v>37</v>
      </c>
      <c r="B77" s="33" t="s">
        <v>1478</v>
      </c>
      <c r="C77" s="93"/>
      <c r="D77" s="746">
        <f>D78-D79</f>
        <v>-443</v>
      </c>
      <c r="E77" s="26">
        <f>E78-E79</f>
        <v>-513</v>
      </c>
      <c r="F77" s="26">
        <f>F78-F79</f>
        <v>-473</v>
      </c>
      <c r="G77" s="26">
        <f>G78-G79</f>
        <v>-447</v>
      </c>
    </row>
    <row r="78" spans="1:9">
      <c r="A78" s="94">
        <f t="shared" si="4"/>
        <v>38</v>
      </c>
      <c r="B78" s="18" t="s">
        <v>1479</v>
      </c>
      <c r="C78" s="18"/>
      <c r="D78" s="755">
        <v>890</v>
      </c>
      <c r="E78" s="25">
        <v>1041</v>
      </c>
      <c r="F78" s="25">
        <v>1174</v>
      </c>
      <c r="G78" s="25">
        <v>1464</v>
      </c>
    </row>
    <row r="79" spans="1:9" ht="13.15" customHeight="1">
      <c r="A79" s="94">
        <f t="shared" si="4"/>
        <v>39</v>
      </c>
      <c r="B79" s="18" t="s">
        <v>1480</v>
      </c>
      <c r="C79" s="18"/>
      <c r="D79" s="742">
        <v>1333</v>
      </c>
      <c r="E79" s="25">
        <v>1554</v>
      </c>
      <c r="F79" s="25">
        <v>1647</v>
      </c>
      <c r="G79" s="25">
        <v>1911</v>
      </c>
    </row>
    <row r="80" spans="1:9" ht="19.899999999999999" customHeight="1">
      <c r="A80" s="94">
        <f t="shared" si="4"/>
        <v>40</v>
      </c>
      <c r="B80" s="33" t="s">
        <v>1481</v>
      </c>
      <c r="C80" s="93"/>
      <c r="D80" s="740">
        <v>-144</v>
      </c>
      <c r="E80" s="28">
        <v>-127</v>
      </c>
      <c r="F80" s="28">
        <v>-117</v>
      </c>
      <c r="G80" s="28">
        <v>-203</v>
      </c>
    </row>
    <row r="81" spans="1:9">
      <c r="A81" s="94">
        <f t="shared" si="4"/>
        <v>41</v>
      </c>
      <c r="B81" s="4" t="s">
        <v>1884</v>
      </c>
      <c r="C81" s="32"/>
      <c r="D81" s="748">
        <v>-163</v>
      </c>
      <c r="E81" s="77">
        <v>-158</v>
      </c>
      <c r="F81" s="77">
        <v>-151</v>
      </c>
      <c r="G81" s="77">
        <v>-134</v>
      </c>
    </row>
    <row r="82" spans="1:9" ht="13.15" customHeight="1">
      <c r="A82" s="94">
        <f t="shared" si="4"/>
        <v>42</v>
      </c>
      <c r="B82" s="4" t="s">
        <v>1482</v>
      </c>
      <c r="C82" s="32"/>
      <c r="D82" s="756">
        <f>D80-D81</f>
        <v>19</v>
      </c>
      <c r="E82" s="104">
        <f>E80-E81</f>
        <v>31</v>
      </c>
      <c r="F82" s="104">
        <f>F80-F81</f>
        <v>34</v>
      </c>
      <c r="G82" s="104">
        <f>G80-G81</f>
        <v>-69</v>
      </c>
    </row>
    <row r="83" spans="1:9" ht="19.899999999999999" customHeight="1">
      <c r="A83" s="94">
        <f t="shared" si="4"/>
        <v>43</v>
      </c>
      <c r="B83" s="33" t="s">
        <v>1885</v>
      </c>
      <c r="C83" s="93"/>
      <c r="D83" s="740">
        <v>-18</v>
      </c>
      <c r="E83" s="28">
        <v>-20</v>
      </c>
      <c r="F83" s="28">
        <v>-23</v>
      </c>
      <c r="G83" s="28">
        <v>-31</v>
      </c>
    </row>
    <row r="84" spans="1:9" ht="13.15" customHeight="1">
      <c r="A84" s="94">
        <f t="shared" si="4"/>
        <v>44</v>
      </c>
      <c r="B84" s="32" t="s">
        <v>1484</v>
      </c>
      <c r="C84" s="32"/>
      <c r="D84" s="757">
        <f>(D29-D30)/D73</f>
        <v>31.824611032531827</v>
      </c>
      <c r="E84" s="105">
        <f>(E29-E30)/E73</f>
        <v>98.780487804878064</v>
      </c>
      <c r="F84" s="105">
        <f>(F29-F30)/F73</f>
        <v>0</v>
      </c>
      <c r="G84" s="105">
        <f>(G29-G30)/G73</f>
        <v>0</v>
      </c>
    </row>
    <row r="85" spans="1:9" ht="13.15" customHeight="1">
      <c r="A85" s="94">
        <f t="shared" si="4"/>
        <v>45</v>
      </c>
      <c r="B85" s="32" t="s">
        <v>1485</v>
      </c>
      <c r="C85" s="32"/>
      <c r="D85" s="757">
        <f>D83-D84</f>
        <v>-49.824611032531827</v>
      </c>
      <c r="E85" s="105">
        <f>E83-E84</f>
        <v>-118.78048780487806</v>
      </c>
      <c r="F85" s="105">
        <f>F83-F84</f>
        <v>-23</v>
      </c>
      <c r="G85" s="105">
        <f>G83-G84</f>
        <v>-31</v>
      </c>
    </row>
    <row r="86" spans="1:9" ht="19.899999999999999" customHeight="1">
      <c r="A86" s="94">
        <f t="shared" si="4"/>
        <v>46</v>
      </c>
      <c r="B86" s="106" t="s">
        <v>1895</v>
      </c>
      <c r="C86" s="93"/>
      <c r="D86" s="758">
        <f>D77+D80+D83</f>
        <v>-605</v>
      </c>
      <c r="E86" s="15">
        <f>E77+E80+E83</f>
        <v>-660</v>
      </c>
      <c r="F86" s="15">
        <f>F77+F80+F83</f>
        <v>-613</v>
      </c>
      <c r="G86" s="15">
        <f>G77+G80+G83</f>
        <v>-681</v>
      </c>
    </row>
    <row r="87" spans="1:9" ht="19.899999999999999" customHeight="1">
      <c r="A87" s="94">
        <f>A89+1</f>
        <v>48</v>
      </c>
      <c r="B87" s="106" t="s">
        <v>1893</v>
      </c>
      <c r="C87" s="93"/>
      <c r="D87" s="758">
        <f>D86+D89</f>
        <v>-451.98469846984699</v>
      </c>
      <c r="E87" s="15">
        <f>E86+E89</f>
        <v>-459.26829268292681</v>
      </c>
      <c r="F87" s="15">
        <f>F86+F89</f>
        <v>-408.00616522811345</v>
      </c>
      <c r="G87" s="15">
        <f>G86+G89</f>
        <v>-470.93229560841905</v>
      </c>
    </row>
    <row r="88" spans="1:9" ht="19.899999999999999" customHeight="1">
      <c r="A88" s="94">
        <f>A87+1</f>
        <v>49</v>
      </c>
      <c r="B88" s="106" t="s">
        <v>1487</v>
      </c>
      <c r="C88" s="93"/>
      <c r="D88" s="740">
        <v>153</v>
      </c>
      <c r="E88" s="28">
        <f>E89</f>
        <v>200.73170731707319</v>
      </c>
      <c r="F88" s="28">
        <f>F89</f>
        <v>204.99383477188655</v>
      </c>
      <c r="G88" s="28">
        <f>G89</f>
        <v>210.06770439158095</v>
      </c>
    </row>
    <row r="89" spans="1:9" ht="12.75" customHeight="1">
      <c r="A89" s="94">
        <f>A86+1</f>
        <v>47</v>
      </c>
      <c r="B89" s="4" t="s">
        <v>1896</v>
      </c>
      <c r="C89" s="32"/>
      <c r="D89" s="759">
        <f>D30/D73</f>
        <v>153.01530153015304</v>
      </c>
      <c r="E89" s="338">
        <f>E30/E73</f>
        <v>200.73170731707319</v>
      </c>
      <c r="F89" s="338">
        <f>F30/F73</f>
        <v>204.99383477188655</v>
      </c>
      <c r="G89" s="338">
        <f>G30/G73</f>
        <v>210.06770439158095</v>
      </c>
      <c r="I89" s="107"/>
    </row>
    <row r="90" spans="1:9" ht="19.899999999999999" customHeight="1">
      <c r="A90" s="94">
        <f>A88+1</f>
        <v>50</v>
      </c>
      <c r="B90" s="106" t="s">
        <v>1892</v>
      </c>
      <c r="C90" s="93"/>
      <c r="D90" s="758">
        <f>D91+D94+D95</f>
        <v>-40</v>
      </c>
      <c r="E90" s="15">
        <f>E91+E94+E95</f>
        <v>9</v>
      </c>
      <c r="F90" s="15">
        <f>F91+F94+F95</f>
        <v>22</v>
      </c>
      <c r="G90" s="15">
        <f>G91+G94+G95</f>
        <v>35</v>
      </c>
      <c r="H90" s="15"/>
    </row>
    <row r="91" spans="1:9" ht="13.15" customHeight="1">
      <c r="A91" s="94">
        <f t="shared" ref="A91:A98" si="5">A90+1</f>
        <v>51</v>
      </c>
      <c r="B91" s="4" t="s">
        <v>1889</v>
      </c>
      <c r="C91" s="32"/>
      <c r="D91" s="740">
        <v>-140</v>
      </c>
      <c r="E91" s="28">
        <v>-107</v>
      </c>
      <c r="F91" s="28">
        <v>-109</v>
      </c>
      <c r="G91" s="28">
        <v>-104</v>
      </c>
    </row>
    <row r="92" spans="1:9" ht="13.15" customHeight="1">
      <c r="A92" s="94">
        <f t="shared" si="5"/>
        <v>52</v>
      </c>
      <c r="B92" s="32" t="s">
        <v>1890</v>
      </c>
      <c r="C92" s="32"/>
      <c r="D92" s="740">
        <v>93</v>
      </c>
      <c r="E92" s="28">
        <v>125</v>
      </c>
      <c r="F92" s="28">
        <v>126</v>
      </c>
      <c r="G92" s="28">
        <v>128</v>
      </c>
    </row>
    <row r="93" spans="1:9">
      <c r="A93" s="94">
        <f t="shared" si="5"/>
        <v>53</v>
      </c>
      <c r="B93" s="4" t="s">
        <v>2034</v>
      </c>
      <c r="C93" s="32"/>
      <c r="D93" s="758">
        <f>D91-D92</f>
        <v>-233</v>
      </c>
      <c r="E93" s="15">
        <f>E91-E92</f>
        <v>-232</v>
      </c>
      <c r="F93" s="15">
        <f>F91-F92</f>
        <v>-235</v>
      </c>
      <c r="G93" s="15">
        <f>G91-G92</f>
        <v>-232</v>
      </c>
    </row>
    <row r="94" spans="1:9">
      <c r="A94" s="94">
        <f t="shared" si="5"/>
        <v>54</v>
      </c>
      <c r="B94" s="4" t="s">
        <v>2035</v>
      </c>
      <c r="C94" s="32"/>
      <c r="D94" s="740">
        <v>-26</v>
      </c>
      <c r="E94" s="28">
        <v>-24</v>
      </c>
      <c r="F94" s="28">
        <v>-19</v>
      </c>
      <c r="G94" s="28">
        <v>-21</v>
      </c>
    </row>
    <row r="95" spans="1:9">
      <c r="A95" s="94">
        <f t="shared" si="5"/>
        <v>55</v>
      </c>
      <c r="B95" s="4" t="s">
        <v>2038</v>
      </c>
      <c r="C95" s="32"/>
      <c r="D95" s="740">
        <v>126</v>
      </c>
      <c r="E95" s="28">
        <v>140</v>
      </c>
      <c r="F95" s="28">
        <v>150</v>
      </c>
      <c r="G95" s="28">
        <v>160</v>
      </c>
    </row>
    <row r="96" spans="1:9" ht="19.899999999999999" customHeight="1">
      <c r="A96" s="94">
        <f t="shared" si="5"/>
        <v>56</v>
      </c>
      <c r="B96" s="108" t="s">
        <v>1891</v>
      </c>
      <c r="C96" s="93"/>
      <c r="D96" s="740">
        <v>152</v>
      </c>
      <c r="E96" s="28">
        <v>36.299999999999997</v>
      </c>
      <c r="F96" s="28">
        <v>-22</v>
      </c>
      <c r="G96" s="28">
        <v>38.9</v>
      </c>
    </row>
    <row r="97" spans="1:7" ht="19.899999999999999" customHeight="1">
      <c r="A97" s="94">
        <f t="shared" si="5"/>
        <v>57</v>
      </c>
      <c r="B97" s="106" t="s">
        <v>1471</v>
      </c>
      <c r="C97" s="93"/>
      <c r="D97" s="759">
        <f>D86+D88+D90+D96</f>
        <v>-340</v>
      </c>
      <c r="E97" s="75">
        <f>E86+E88+E90+E96</f>
        <v>-413.9682926829268</v>
      </c>
      <c r="F97" s="75">
        <f>F86+F88+F90+F96</f>
        <v>-408.00616522811345</v>
      </c>
      <c r="G97" s="75">
        <f>G86+G88+G90+G96</f>
        <v>-397.03229560841908</v>
      </c>
    </row>
    <row r="98" spans="1:7" ht="19.899999999999999" customHeight="1">
      <c r="A98" s="94">
        <f t="shared" si="5"/>
        <v>58</v>
      </c>
      <c r="B98" s="106" t="s">
        <v>1488</v>
      </c>
      <c r="C98" s="93"/>
      <c r="D98" s="758">
        <f>D100+D101+D102+D103+D107+D108</f>
        <v>340</v>
      </c>
      <c r="E98" s="729">
        <f>E100+E101+E102+E103+E107+E108</f>
        <v>414</v>
      </c>
      <c r="F98" s="278">
        <f>F100+F101+F102+F103+F107+F108</f>
        <v>221</v>
      </c>
      <c r="G98" s="278">
        <f>G100+G101+G102+G103+G107+G108</f>
        <v>121</v>
      </c>
    </row>
    <row r="99" spans="1:7" ht="19.899999999999999" customHeight="1">
      <c r="A99" s="94"/>
      <c r="B99" s="728" t="s">
        <v>2039</v>
      </c>
      <c r="C99" s="93"/>
      <c r="D99" s="759">
        <f>D100+D101+D102</f>
        <v>207</v>
      </c>
      <c r="E99" s="730">
        <f>E100+E101+E102</f>
        <v>437</v>
      </c>
      <c r="F99" s="279">
        <f>F100+F101+F102</f>
        <v>440</v>
      </c>
      <c r="G99" s="279">
        <f>G100+G101+G102</f>
        <v>426</v>
      </c>
    </row>
    <row r="100" spans="1:7" ht="12.75" customHeight="1">
      <c r="A100" s="94">
        <f>A98+1</f>
        <v>59</v>
      </c>
      <c r="B100" s="111" t="s">
        <v>528</v>
      </c>
      <c r="C100" s="32"/>
      <c r="D100" s="740">
        <v>217</v>
      </c>
      <c r="E100" s="28">
        <v>170</v>
      </c>
      <c r="F100" s="28">
        <v>170</v>
      </c>
      <c r="G100" s="28">
        <v>154</v>
      </c>
    </row>
    <row r="101" spans="1:7" ht="12.75" customHeight="1">
      <c r="A101" s="94">
        <f t="shared" ref="A101:A113" si="6">A100+1</f>
        <v>60</v>
      </c>
      <c r="B101" s="111" t="s">
        <v>657</v>
      </c>
      <c r="C101" s="32"/>
      <c r="D101" s="740">
        <v>0</v>
      </c>
      <c r="E101" s="28">
        <v>267</v>
      </c>
      <c r="F101" s="28">
        <v>270</v>
      </c>
      <c r="G101" s="28">
        <v>272</v>
      </c>
    </row>
    <row r="102" spans="1:7" ht="12.75" customHeight="1">
      <c r="A102" s="94">
        <f t="shared" si="6"/>
        <v>61</v>
      </c>
      <c r="B102" s="111" t="s">
        <v>658</v>
      </c>
      <c r="C102" s="32"/>
      <c r="D102" s="759">
        <v>-10</v>
      </c>
      <c r="E102" s="28">
        <v>0</v>
      </c>
      <c r="F102" s="28">
        <v>0</v>
      </c>
      <c r="G102" s="28">
        <v>0</v>
      </c>
    </row>
    <row r="103" spans="1:7" ht="12.75" customHeight="1">
      <c r="A103" s="94">
        <f t="shared" si="6"/>
        <v>62</v>
      </c>
      <c r="B103" s="111" t="s">
        <v>659</v>
      </c>
      <c r="C103" s="32"/>
      <c r="D103" s="759">
        <f>D104+D105+D106</f>
        <v>-53</v>
      </c>
      <c r="E103" s="730">
        <f>E104+E105+E106</f>
        <v>-231</v>
      </c>
      <c r="F103" s="279">
        <f>F104+F105+F106</f>
        <v>-219</v>
      </c>
      <c r="G103" s="279">
        <f>G104+G105+G106</f>
        <v>-305</v>
      </c>
    </row>
    <row r="104" spans="1:7" ht="12.75" customHeight="1">
      <c r="A104" s="94">
        <f t="shared" si="6"/>
        <v>63</v>
      </c>
      <c r="B104" s="111" t="s">
        <v>1899</v>
      </c>
      <c r="C104" s="32"/>
      <c r="D104" s="740">
        <v>-68</v>
      </c>
      <c r="E104" s="28">
        <v>-135</v>
      </c>
      <c r="F104" s="28">
        <v>-124</v>
      </c>
      <c r="G104" s="28">
        <v>-111</v>
      </c>
    </row>
    <row r="105" spans="1:7" ht="12.75" customHeight="1">
      <c r="A105" s="94">
        <f t="shared" si="6"/>
        <v>64</v>
      </c>
      <c r="B105" s="111" t="s">
        <v>1489</v>
      </c>
      <c r="C105" s="32"/>
      <c r="D105" s="740">
        <v>-5</v>
      </c>
      <c r="E105" s="28">
        <v>-9</v>
      </c>
      <c r="F105" s="28">
        <v>-7</v>
      </c>
      <c r="G105" s="28">
        <v>-7</v>
      </c>
    </row>
    <row r="106" spans="1:7" ht="12.75" customHeight="1">
      <c r="A106" s="94">
        <f t="shared" si="6"/>
        <v>65</v>
      </c>
      <c r="B106" s="111" t="s">
        <v>656</v>
      </c>
      <c r="C106" s="32"/>
      <c r="D106" s="740">
        <v>20</v>
      </c>
      <c r="E106" s="28">
        <v>-87</v>
      </c>
      <c r="F106" s="28">
        <v>-88</v>
      </c>
      <c r="G106" s="28">
        <v>-187</v>
      </c>
    </row>
    <row r="107" spans="1:7" ht="12.75" customHeight="1">
      <c r="A107" s="94">
        <f t="shared" si="6"/>
        <v>66</v>
      </c>
      <c r="B107" s="111" t="s">
        <v>1901</v>
      </c>
      <c r="C107" s="32"/>
      <c r="D107" s="740">
        <v>32</v>
      </c>
      <c r="E107" s="28">
        <v>99</v>
      </c>
      <c r="F107" s="28"/>
      <c r="G107" s="28"/>
    </row>
    <row r="108" spans="1:7" ht="12.75" customHeight="1">
      <c r="A108" s="94">
        <f t="shared" si="6"/>
        <v>67</v>
      </c>
      <c r="B108" s="111" t="s">
        <v>1902</v>
      </c>
      <c r="C108" s="32"/>
      <c r="D108" s="759">
        <f>D109+D110</f>
        <v>154</v>
      </c>
      <c r="E108" s="75">
        <f>E109+E110</f>
        <v>109</v>
      </c>
      <c r="F108" s="75">
        <f>F109+F110</f>
        <v>0</v>
      </c>
      <c r="G108" s="75">
        <f>G109+G110</f>
        <v>0</v>
      </c>
    </row>
    <row r="109" spans="1:7" ht="12.75" customHeight="1">
      <c r="A109" s="94">
        <f t="shared" si="6"/>
        <v>68</v>
      </c>
      <c r="B109" s="111" t="s">
        <v>1903</v>
      </c>
      <c r="C109" s="32"/>
      <c r="D109" s="740">
        <v>154</v>
      </c>
      <c r="E109" s="28">
        <v>109</v>
      </c>
      <c r="F109" s="28">
        <v>0</v>
      </c>
      <c r="G109" s="28">
        <v>0</v>
      </c>
    </row>
    <row r="110" spans="1:7" ht="12.75" customHeight="1">
      <c r="A110" s="94">
        <f t="shared" si="6"/>
        <v>69</v>
      </c>
      <c r="B110" s="111" t="s">
        <v>1904</v>
      </c>
      <c r="C110" s="32"/>
      <c r="D110" s="740">
        <v>0</v>
      </c>
      <c r="E110" s="28">
        <v>0</v>
      </c>
      <c r="F110" s="28">
        <v>0</v>
      </c>
      <c r="G110" s="28">
        <v>0</v>
      </c>
    </row>
    <row r="111" spans="1:7" ht="12.75" customHeight="1">
      <c r="A111" s="94">
        <f t="shared" si="6"/>
        <v>70</v>
      </c>
      <c r="B111" s="111" t="s">
        <v>1915</v>
      </c>
      <c r="C111" s="32"/>
      <c r="D111" s="740"/>
      <c r="E111" s="28"/>
      <c r="F111" s="28"/>
      <c r="G111" s="28"/>
    </row>
    <row r="112" spans="1:7" ht="12.75" customHeight="1">
      <c r="A112" s="94">
        <f t="shared" si="6"/>
        <v>71</v>
      </c>
      <c r="B112" s="111" t="s">
        <v>1908</v>
      </c>
      <c r="C112" s="32"/>
      <c r="D112" s="740"/>
      <c r="E112" s="28"/>
      <c r="F112" s="28"/>
      <c r="G112" s="28"/>
    </row>
    <row r="113" spans="1:7" ht="12.75" customHeight="1">
      <c r="A113" s="94">
        <f t="shared" si="6"/>
        <v>72</v>
      </c>
      <c r="B113" s="111" t="s">
        <v>1909</v>
      </c>
      <c r="C113" s="32"/>
      <c r="D113" s="740"/>
      <c r="E113" s="28"/>
      <c r="F113" s="28"/>
      <c r="G113" s="28"/>
    </row>
    <row r="114" spans="1:7" ht="19.899999999999999" customHeight="1">
      <c r="A114" s="94">
        <f>A113</f>
        <v>72</v>
      </c>
      <c r="B114" s="106" t="s">
        <v>1847</v>
      </c>
      <c r="C114" s="93"/>
      <c r="D114" s="759">
        <f>D97+D98</f>
        <v>0</v>
      </c>
      <c r="E114" s="75">
        <f>E97+E98</f>
        <v>3.1707317073198737E-2</v>
      </c>
      <c r="F114" s="75">
        <f>F97+F98</f>
        <v>-187.00616522811345</v>
      </c>
      <c r="G114" s="75">
        <f>G97+G98</f>
        <v>-276.03229560841908</v>
      </c>
    </row>
    <row r="115" spans="1:7" ht="20.100000000000001" customHeight="1">
      <c r="A115" s="94" t="s">
        <v>1448</v>
      </c>
      <c r="B115" s="93" t="s">
        <v>1839</v>
      </c>
      <c r="C115" s="93"/>
      <c r="D115" s="740">
        <v>6831</v>
      </c>
      <c r="E115" s="28">
        <v>7036</v>
      </c>
      <c r="F115" s="28">
        <v>7064</v>
      </c>
      <c r="G115" s="28">
        <v>7064</v>
      </c>
    </row>
    <row r="116" spans="1:7" ht="20.100000000000001" customHeight="1">
      <c r="A116" s="94">
        <f>A114+1</f>
        <v>73</v>
      </c>
      <c r="B116" s="38" t="s">
        <v>1490</v>
      </c>
      <c r="C116" s="116"/>
      <c r="D116" s="760"/>
      <c r="E116" s="15"/>
      <c r="F116" s="15"/>
      <c r="G116" s="15"/>
    </row>
    <row r="117" spans="1:7">
      <c r="A117" s="94">
        <f>A116+1</f>
        <v>74</v>
      </c>
      <c r="B117" s="31" t="s">
        <v>1491</v>
      </c>
      <c r="C117" s="116"/>
      <c r="D117" s="761">
        <v>0.6</v>
      </c>
      <c r="E117" s="42"/>
      <c r="F117" s="42"/>
      <c r="G117" s="42"/>
    </row>
    <row r="118" spans="1:7" ht="20.100000000000001" customHeight="1">
      <c r="A118" s="94"/>
      <c r="B118" s="31" t="s">
        <v>1492</v>
      </c>
      <c r="C118" s="116"/>
      <c r="D118" s="761">
        <v>0.6</v>
      </c>
      <c r="E118" s="42"/>
      <c r="F118" s="42"/>
      <c r="G118" s="42"/>
    </row>
    <row r="119" spans="1:7" ht="20.100000000000001" customHeight="1">
      <c r="A119" s="94">
        <f>A117+1</f>
        <v>75</v>
      </c>
      <c r="B119" s="36" t="s">
        <v>1494</v>
      </c>
      <c r="D119" s="758"/>
      <c r="E119" s="15"/>
      <c r="F119" s="15"/>
      <c r="G119" s="15"/>
    </row>
    <row r="120" spans="1:7">
      <c r="A120" s="94">
        <f>A119+1</f>
        <v>76</v>
      </c>
      <c r="B120" t="s">
        <v>1495</v>
      </c>
      <c r="D120" s="740">
        <v>2392</v>
      </c>
      <c r="E120" s="28">
        <v>2801</v>
      </c>
      <c r="F120" s="28"/>
      <c r="G120" s="28"/>
    </row>
    <row r="121" spans="1:7">
      <c r="B121" t="s">
        <v>1496</v>
      </c>
      <c r="D121" s="762">
        <f>D13/D120</f>
        <v>3.7855351170568561</v>
      </c>
      <c r="E121" s="731">
        <f>E13/E120</f>
        <v>4.2396214744734024</v>
      </c>
      <c r="F121" s="37"/>
      <c r="G121" s="37"/>
    </row>
    <row r="122" spans="1:7">
      <c r="D122" s="762"/>
      <c r="E122" s="37"/>
      <c r="F122" s="37"/>
      <c r="G122" s="37"/>
    </row>
    <row r="123" spans="1:7">
      <c r="D123" s="762" t="s">
        <v>1448</v>
      </c>
    </row>
    <row r="124" spans="1:7">
      <c r="D124" s="752" t="s">
        <v>1448</v>
      </c>
    </row>
    <row r="125" spans="1:7">
      <c r="D125" s="752"/>
    </row>
    <row r="126" spans="1:7">
      <c r="A126" t="s">
        <v>1448</v>
      </c>
      <c r="D126" s="752"/>
    </row>
    <row r="127" spans="1:7">
      <c r="D127" s="752"/>
    </row>
    <row r="128" spans="1:7">
      <c r="D128" s="752"/>
    </row>
    <row r="129" spans="4:4">
      <c r="D129" s="752"/>
    </row>
    <row r="130" spans="4:4">
      <c r="D130" s="763"/>
    </row>
    <row r="65533" spans="4:4">
      <c r="D65533" s="592">
        <v>0</v>
      </c>
    </row>
  </sheetData>
  <mergeCells count="7">
    <mergeCell ref="G5:K5"/>
    <mergeCell ref="E6:K6"/>
    <mergeCell ref="H2:H4"/>
    <mergeCell ref="I2:I4"/>
    <mergeCell ref="G2:G4"/>
    <mergeCell ref="J2:J4"/>
    <mergeCell ref="K2:K4"/>
  </mergeCells>
  <printOptions headings="1" gridLines="1"/>
  <pageMargins left="0.75" right="0.75" top="1" bottom="1" header="0.5" footer="0.5"/>
  <pageSetup scale="79" orientation="portrait" r:id="rId1"/>
  <headerFooter alignWithMargins="0"/>
  <rowBreaks count="1" manualBreakCount="1">
    <brk id="54" max="7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Q150"/>
  <sheetViews>
    <sheetView zoomScale="75" zoomScaleNormal="120" zoomScaleSheetLayoutView="115" workbookViewId="0"/>
  </sheetViews>
  <sheetFormatPr defaultColWidth="8.85546875" defaultRowHeight="12.75"/>
  <cols>
    <col min="1" max="1" width="4.140625" style="54" customWidth="1"/>
    <col min="2" max="2" width="33.5703125" style="54" customWidth="1"/>
    <col min="3" max="3" width="11.140625" style="304" customWidth="1"/>
    <col min="4" max="4" width="12.7109375" style="765" customWidth="1"/>
    <col min="5" max="6" width="12.7109375" style="54" customWidth="1"/>
    <col min="7" max="7" width="9.42578125" style="54" customWidth="1"/>
    <col min="8" max="8" width="9.5703125" style="305" customWidth="1"/>
    <col min="9" max="9" width="8.7109375" style="305" customWidth="1"/>
    <col min="10" max="16384" width="8.85546875" style="54"/>
  </cols>
  <sheetData>
    <row r="1" spans="1:17" ht="13.5" thickBot="1">
      <c r="A1"/>
      <c r="B1" s="642"/>
      <c r="C1" s="141"/>
      <c r="D1" s="265"/>
      <c r="E1" s="55"/>
      <c r="F1" s="146"/>
    </row>
    <row r="2" spans="1:17" ht="20.100000000000001" customHeight="1" thickBot="1">
      <c r="A2" t="s">
        <v>1448</v>
      </c>
      <c r="B2" s="301" t="s">
        <v>1873</v>
      </c>
      <c r="C2" s="141" t="s">
        <v>1433</v>
      </c>
      <c r="D2" s="733" t="s">
        <v>1863</v>
      </c>
      <c r="E2" s="55" t="s">
        <v>1912</v>
      </c>
      <c r="F2" s="146" t="s">
        <v>1864</v>
      </c>
      <c r="G2" s="536"/>
      <c r="H2" s="536"/>
      <c r="I2" s="536"/>
      <c r="J2" s="536"/>
      <c r="K2" s="537"/>
      <c r="L2" s="538"/>
      <c r="M2" s="538"/>
      <c r="N2" s="539"/>
      <c r="O2" s="540"/>
      <c r="P2" s="540"/>
      <c r="Q2" s="540"/>
    </row>
    <row r="3" spans="1:17" ht="20.100000000000001" customHeight="1">
      <c r="A3">
        <v>1</v>
      </c>
      <c r="B3" s="2" t="s">
        <v>1434</v>
      </c>
      <c r="C3" s="138">
        <v>1000</v>
      </c>
      <c r="D3" s="734"/>
      <c r="E3" s="147" t="s">
        <v>1926</v>
      </c>
      <c r="F3" s="727">
        <v>36993</v>
      </c>
      <c r="G3" s="536"/>
      <c r="H3" s="536"/>
      <c r="I3" s="536"/>
      <c r="J3" s="536"/>
      <c r="K3" s="537"/>
      <c r="L3" s="538"/>
      <c r="M3" s="538"/>
      <c r="N3" s="539"/>
      <c r="O3" s="540"/>
      <c r="P3" s="540"/>
      <c r="Q3" s="540"/>
    </row>
    <row r="4" spans="1:17" ht="19.899999999999999" customHeight="1">
      <c r="A4"/>
      <c r="B4" s="2"/>
      <c r="C4" s="114"/>
      <c r="D4" s="735"/>
      <c r="E4"/>
      <c r="F4" s="300"/>
      <c r="G4" s="536"/>
      <c r="H4" s="536"/>
      <c r="I4" s="536"/>
      <c r="J4" s="536"/>
      <c r="K4" s="537"/>
      <c r="L4" s="538"/>
      <c r="M4" s="538"/>
      <c r="N4" s="539"/>
      <c r="O4" s="540"/>
      <c r="P4" s="540"/>
      <c r="Q4" s="540"/>
    </row>
    <row r="5" spans="1:17" ht="19.899999999999999" customHeight="1" thickBot="1">
      <c r="A5"/>
      <c r="B5" s="2"/>
      <c r="C5" s="114"/>
      <c r="D5" s="735"/>
      <c r="E5"/>
      <c r="F5" s="300"/>
      <c r="G5" s="541"/>
      <c r="H5" s="541"/>
      <c r="I5" s="541"/>
      <c r="J5" s="541"/>
      <c r="K5" s="541"/>
      <c r="L5" s="540"/>
      <c r="M5" s="540"/>
      <c r="N5" s="540"/>
      <c r="O5" s="540"/>
      <c r="P5" s="540"/>
      <c r="Q5" s="540"/>
    </row>
    <row r="6" spans="1:17" ht="36.6" customHeight="1" thickBot="1">
      <c r="A6" s="54" t="s">
        <v>1448</v>
      </c>
      <c r="B6" s="469"/>
      <c r="C6" s="542" t="s">
        <v>1911</v>
      </c>
      <c r="D6" s="303" t="s">
        <v>1837</v>
      </c>
      <c r="E6" s="838" t="s">
        <v>1420</v>
      </c>
      <c r="F6" s="839"/>
      <c r="G6" s="839"/>
      <c r="H6" s="839"/>
      <c r="I6" s="839"/>
      <c r="J6" s="839"/>
      <c r="K6" s="840"/>
    </row>
    <row r="7" spans="1:17" customFormat="1" ht="19.899999999999999" customHeight="1">
      <c r="A7">
        <v>2</v>
      </c>
      <c r="B7" s="35" t="s">
        <v>1835</v>
      </c>
      <c r="C7" s="295"/>
      <c r="D7" s="736">
        <v>2000</v>
      </c>
      <c r="E7" s="299">
        <v>2001</v>
      </c>
      <c r="F7" s="299">
        <v>2002</v>
      </c>
      <c r="G7" s="299">
        <v>2003</v>
      </c>
      <c r="H7" s="41"/>
      <c r="I7" s="41"/>
    </row>
    <row r="8" spans="1:17" customFormat="1" ht="19.149999999999999" customHeight="1">
      <c r="A8" t="s">
        <v>1448</v>
      </c>
      <c r="B8" s="35" t="s">
        <v>1435</v>
      </c>
      <c r="C8" s="295"/>
      <c r="D8" s="737"/>
      <c r="E8" s="295"/>
      <c r="F8" s="297"/>
      <c r="G8" s="21"/>
      <c r="H8" s="43"/>
      <c r="I8" s="41"/>
    </row>
    <row r="9" spans="1:17" customFormat="1">
      <c r="A9" s="94">
        <v>3</v>
      </c>
      <c r="B9" s="2" t="s">
        <v>389</v>
      </c>
      <c r="C9" s="114"/>
      <c r="D9" s="738">
        <v>3.5999999999999997E-2</v>
      </c>
      <c r="E9" s="58">
        <v>0.05</v>
      </c>
      <c r="F9" s="58">
        <v>0.05</v>
      </c>
      <c r="G9" s="58">
        <v>5.5E-2</v>
      </c>
      <c r="H9" s="44"/>
      <c r="I9" s="41"/>
    </row>
    <row r="10" spans="1:17" customFormat="1">
      <c r="A10" s="94">
        <v>4</v>
      </c>
      <c r="B10" s="2" t="s">
        <v>1818</v>
      </c>
      <c r="C10" s="114"/>
      <c r="D10" s="738">
        <v>0.27900000000000003</v>
      </c>
      <c r="E10" s="58">
        <v>0.249</v>
      </c>
      <c r="F10" s="58">
        <v>0.17199999999999999</v>
      </c>
      <c r="G10" s="58">
        <v>0.13300000000000001</v>
      </c>
      <c r="H10" s="44"/>
      <c r="I10" s="41"/>
    </row>
    <row r="11" spans="1:17" customFormat="1">
      <c r="A11" s="94">
        <v>5</v>
      </c>
      <c r="B11" s="2" t="s">
        <v>1437</v>
      </c>
      <c r="C11" s="114"/>
      <c r="D11" s="739">
        <v>0.5</v>
      </c>
      <c r="E11" s="59"/>
      <c r="F11" s="59"/>
      <c r="G11" s="59"/>
      <c r="H11" s="44"/>
      <c r="I11" s="41"/>
    </row>
    <row r="12" spans="1:17" customFormat="1">
      <c r="A12" s="94">
        <v>6</v>
      </c>
      <c r="B12" s="2" t="s">
        <v>1438</v>
      </c>
      <c r="C12" s="114"/>
      <c r="D12" s="739">
        <v>4.3664668111298699</v>
      </c>
      <c r="E12" s="59"/>
      <c r="F12" s="59"/>
      <c r="G12" s="59"/>
      <c r="H12" s="44"/>
      <c r="I12" s="41"/>
    </row>
    <row r="13" spans="1:17" customFormat="1" ht="20.100000000000001" customHeight="1">
      <c r="A13" s="94">
        <v>7</v>
      </c>
      <c r="B13" s="109" t="s">
        <v>1439</v>
      </c>
      <c r="C13" s="18" t="s">
        <v>1923</v>
      </c>
      <c r="D13" s="740">
        <v>9055</v>
      </c>
      <c r="E13" s="75">
        <v>11875.179750000001</v>
      </c>
      <c r="F13" s="75">
        <v>14613.596200350003</v>
      </c>
      <c r="G13" s="75">
        <v>17467.850742221362</v>
      </c>
      <c r="H13" s="41"/>
      <c r="I13" s="41"/>
    </row>
    <row r="14" spans="1:17" customFormat="1">
      <c r="A14" s="94">
        <v>8</v>
      </c>
      <c r="B14" s="18" t="s">
        <v>1440</v>
      </c>
      <c r="C14" s="18"/>
      <c r="D14" s="741">
        <v>7865.2844000000005</v>
      </c>
      <c r="E14" s="29">
        <v>10412.292290000001</v>
      </c>
      <c r="F14" s="29">
        <v>12435.348933682453</v>
      </c>
      <c r="G14" s="29">
        <v>14237.34393858154</v>
      </c>
      <c r="H14" s="41"/>
      <c r="I14" s="41"/>
    </row>
    <row r="15" spans="1:17" customFormat="1">
      <c r="A15" s="94">
        <v>9</v>
      </c>
      <c r="B15" s="18" t="s">
        <v>1441</v>
      </c>
      <c r="C15" s="18"/>
      <c r="D15" s="741">
        <v>913</v>
      </c>
      <c r="E15" s="29">
        <v>1396</v>
      </c>
      <c r="F15" s="29">
        <v>1506</v>
      </c>
      <c r="G15" s="29">
        <v>1800</v>
      </c>
      <c r="H15" s="41"/>
      <c r="I15" s="41"/>
    </row>
    <row r="16" spans="1:17" customFormat="1">
      <c r="A16" s="94">
        <v>10</v>
      </c>
      <c r="B16" s="18" t="s">
        <v>1442</v>
      </c>
      <c r="C16" s="18"/>
      <c r="D16" s="742">
        <v>1654.8</v>
      </c>
      <c r="E16" s="25">
        <v>2170.1874600000001</v>
      </c>
      <c r="F16" s="78">
        <v>2820.4240666675505</v>
      </c>
      <c r="G16" s="78">
        <v>3615.8451036398219</v>
      </c>
      <c r="H16" s="41">
        <v>0.18274986195472115</v>
      </c>
      <c r="I16" s="41"/>
    </row>
    <row r="17" spans="1:9" customFormat="1">
      <c r="A17" s="94">
        <v>11</v>
      </c>
      <c r="B17" s="18" t="s">
        <v>1443</v>
      </c>
      <c r="C17" s="18"/>
      <c r="D17" s="741">
        <v>2768.6119999999996</v>
      </c>
      <c r="E17" s="29">
        <v>4268.1000000000004</v>
      </c>
      <c r="F17" s="29">
        <v>5331.8383999999996</v>
      </c>
      <c r="G17" s="29">
        <v>7157.3495999999996</v>
      </c>
      <c r="H17" s="41"/>
      <c r="I17" s="41"/>
    </row>
    <row r="18" spans="1:9" customFormat="1">
      <c r="A18" s="94">
        <v>12</v>
      </c>
      <c r="B18" s="18" t="s">
        <v>1444</v>
      </c>
      <c r="C18" s="18"/>
      <c r="D18" s="741">
        <v>4146.6963999999998</v>
      </c>
      <c r="E18" s="29">
        <v>6371.4</v>
      </c>
      <c r="F18" s="29">
        <v>7480.0151999999998</v>
      </c>
      <c r="G18" s="29">
        <v>9342.687899999999</v>
      </c>
      <c r="H18" s="41"/>
      <c r="I18" s="41"/>
    </row>
    <row r="19" spans="1:9" customFormat="1">
      <c r="A19" s="94">
        <v>13</v>
      </c>
      <c r="B19" s="18" t="s">
        <v>1445</v>
      </c>
      <c r="C19" s="18"/>
      <c r="D19" s="743">
        <v>1017</v>
      </c>
      <c r="E19" s="34">
        <v>1285</v>
      </c>
      <c r="F19" s="34">
        <v>1645</v>
      </c>
      <c r="G19" s="34">
        <v>2028</v>
      </c>
      <c r="H19" s="41"/>
      <c r="I19" s="41"/>
    </row>
    <row r="20" spans="1:9" customFormat="1" ht="20.100000000000001" customHeight="1">
      <c r="A20" s="94">
        <v>14</v>
      </c>
      <c r="B20" s="109" t="s">
        <v>1446</v>
      </c>
      <c r="C20" s="139"/>
      <c r="D20" s="744">
        <v>8038</v>
      </c>
      <c r="E20" s="26">
        <v>10590.179750000001</v>
      </c>
      <c r="F20" s="26">
        <v>12968.596200350003</v>
      </c>
      <c r="G20" s="26">
        <v>15439.850742221362</v>
      </c>
      <c r="H20" s="41"/>
      <c r="I20" s="41"/>
    </row>
    <row r="21" spans="1:9" customFormat="1" ht="20.100000000000001" customHeight="1">
      <c r="A21" t="s">
        <v>1448</v>
      </c>
      <c r="B21" s="35" t="s">
        <v>1447</v>
      </c>
      <c r="C21" s="18" t="s">
        <v>1923</v>
      </c>
      <c r="D21" s="745"/>
      <c r="E21" s="21"/>
      <c r="F21" s="21"/>
      <c r="G21" s="21"/>
      <c r="H21" s="41"/>
      <c r="I21" s="41"/>
    </row>
    <row r="22" spans="1:9" customFormat="1" ht="19.899999999999999" customHeight="1">
      <c r="A22" s="94">
        <v>15</v>
      </c>
      <c r="B22" s="149" t="s">
        <v>1509</v>
      </c>
      <c r="C22" s="93"/>
      <c r="D22" s="746">
        <v>-421</v>
      </c>
      <c r="E22" s="26">
        <v>-596</v>
      </c>
      <c r="F22" s="26">
        <v>-872</v>
      </c>
      <c r="G22" s="26">
        <v>-794</v>
      </c>
      <c r="H22" s="41"/>
      <c r="I22" s="41"/>
    </row>
    <row r="23" spans="1:9" customFormat="1" ht="12.75" customHeight="1">
      <c r="A23" s="94">
        <v>16</v>
      </c>
      <c r="B23" s="111" t="s">
        <v>1886</v>
      </c>
      <c r="C23" s="32"/>
      <c r="D23" s="746">
        <v>-996</v>
      </c>
      <c r="E23" s="26">
        <v>-1824</v>
      </c>
      <c r="F23" s="26">
        <v>-1803</v>
      </c>
      <c r="G23" s="26">
        <v>-1821</v>
      </c>
      <c r="H23" s="41"/>
      <c r="I23" s="41"/>
    </row>
    <row r="24" spans="1:9" customFormat="1">
      <c r="A24" s="94">
        <v>17</v>
      </c>
      <c r="B24" s="111" t="s">
        <v>1887</v>
      </c>
      <c r="C24" s="32"/>
      <c r="D24" s="746">
        <v>-114</v>
      </c>
      <c r="E24" s="26">
        <v>-316</v>
      </c>
      <c r="F24" s="26">
        <v>-610</v>
      </c>
      <c r="G24" s="26">
        <v>-562</v>
      </c>
      <c r="H24" s="41"/>
      <c r="I24" s="41"/>
    </row>
    <row r="25" spans="1:9" customFormat="1">
      <c r="A25" s="94">
        <v>18</v>
      </c>
      <c r="B25" s="111" t="s">
        <v>1888</v>
      </c>
      <c r="C25" s="32"/>
      <c r="D25" s="746">
        <v>-689</v>
      </c>
      <c r="E25" s="26">
        <v>-1544</v>
      </c>
      <c r="F25" s="26">
        <v>-1541</v>
      </c>
      <c r="G25" s="26">
        <v>-1589</v>
      </c>
      <c r="H25" s="41"/>
      <c r="I25" s="41"/>
    </row>
    <row r="26" spans="1:9" customFormat="1" ht="16.149999999999999" customHeight="1">
      <c r="A26" s="94">
        <v>19</v>
      </c>
      <c r="B26" s="111" t="s">
        <v>1876</v>
      </c>
      <c r="C26" s="32"/>
      <c r="D26" s="743">
        <v>-709</v>
      </c>
      <c r="E26" s="34">
        <v>-646</v>
      </c>
      <c r="F26" s="34">
        <v>-934</v>
      </c>
      <c r="G26" s="34">
        <v>-867</v>
      </c>
      <c r="H26" s="41"/>
      <c r="I26" s="41"/>
    </row>
    <row r="27" spans="1:9" customFormat="1">
      <c r="A27" s="94">
        <v>20</v>
      </c>
      <c r="B27" s="111" t="s">
        <v>1875</v>
      </c>
      <c r="C27" s="32"/>
      <c r="D27" s="743">
        <v>-336</v>
      </c>
      <c r="E27" s="34">
        <v>-428</v>
      </c>
      <c r="F27" s="34">
        <v>-230</v>
      </c>
      <c r="G27" s="34">
        <v>-90</v>
      </c>
      <c r="H27" s="41"/>
      <c r="I27" s="41"/>
    </row>
    <row r="28" spans="1:9" customFormat="1" ht="20.100000000000001" customHeight="1">
      <c r="A28" s="94">
        <v>21</v>
      </c>
      <c r="B28" s="106" t="s">
        <v>1449</v>
      </c>
      <c r="C28" s="93"/>
      <c r="D28" s="747">
        <v>2528</v>
      </c>
      <c r="E28" s="76">
        <v>3522</v>
      </c>
      <c r="F28" s="76">
        <v>3778</v>
      </c>
      <c r="G28" s="76">
        <v>4485</v>
      </c>
      <c r="H28" s="41"/>
      <c r="I28" s="41"/>
    </row>
    <row r="29" spans="1:9" customFormat="1">
      <c r="A29" s="94">
        <v>22</v>
      </c>
      <c r="B29" s="4" t="s">
        <v>1450</v>
      </c>
      <c r="C29" s="32"/>
      <c r="D29" s="744">
        <v>575</v>
      </c>
      <c r="E29" s="30">
        <v>1228</v>
      </c>
      <c r="F29" s="30">
        <v>931</v>
      </c>
      <c r="G29" s="30">
        <v>1027</v>
      </c>
      <c r="H29" s="41"/>
      <c r="I29" s="41"/>
    </row>
    <row r="30" spans="1:9" customFormat="1">
      <c r="A30" s="94"/>
      <c r="B30" s="4" t="s">
        <v>1894</v>
      </c>
      <c r="C30" s="32"/>
      <c r="D30" s="744">
        <v>476</v>
      </c>
      <c r="E30" s="30">
        <v>823</v>
      </c>
      <c r="F30" s="30">
        <v>931</v>
      </c>
      <c r="G30" s="30">
        <v>1027</v>
      </c>
      <c r="H30" s="41"/>
      <c r="I30" s="41"/>
    </row>
    <row r="31" spans="1:9" customFormat="1" ht="20.100000000000001" customHeight="1">
      <c r="A31" s="94">
        <v>23</v>
      </c>
      <c r="B31" s="106" t="s">
        <v>1451</v>
      </c>
      <c r="C31" s="93"/>
      <c r="D31" s="746">
        <v>1953</v>
      </c>
      <c r="E31" s="26">
        <v>2294</v>
      </c>
      <c r="F31" s="26">
        <v>2847</v>
      </c>
      <c r="G31" s="26">
        <v>3458</v>
      </c>
      <c r="H31" s="41"/>
      <c r="I31" s="41"/>
    </row>
    <row r="32" spans="1:9" customFormat="1">
      <c r="A32" s="94">
        <v>24</v>
      </c>
      <c r="B32" s="4" t="s">
        <v>1452</v>
      </c>
      <c r="C32" s="32"/>
      <c r="D32" s="748">
        <v>22</v>
      </c>
      <c r="E32" s="73">
        <v>37</v>
      </c>
      <c r="F32" s="73">
        <v>64</v>
      </c>
      <c r="G32" s="73">
        <v>77</v>
      </c>
      <c r="H32" s="41"/>
      <c r="I32" s="41"/>
    </row>
    <row r="33" spans="1:9" customFormat="1" ht="20.100000000000001" customHeight="1">
      <c r="A33" s="94">
        <v>25</v>
      </c>
      <c r="B33" s="106" t="s">
        <v>1453</v>
      </c>
      <c r="C33" s="93"/>
      <c r="D33" s="748">
        <v>1931</v>
      </c>
      <c r="E33" s="73">
        <v>2257</v>
      </c>
      <c r="F33" s="73">
        <v>2783</v>
      </c>
      <c r="G33" s="73">
        <v>3381</v>
      </c>
      <c r="H33" s="41"/>
      <c r="I33" s="41"/>
    </row>
    <row r="34" spans="1:9" customFormat="1">
      <c r="A34" s="94">
        <v>26</v>
      </c>
      <c r="B34" s="4" t="s">
        <v>1454</v>
      </c>
      <c r="C34" s="32"/>
      <c r="D34" s="749">
        <v>508</v>
      </c>
      <c r="E34" s="73">
        <v>853</v>
      </c>
      <c r="F34" s="73">
        <v>1078</v>
      </c>
      <c r="G34" s="73">
        <v>1316</v>
      </c>
      <c r="H34" s="41"/>
      <c r="I34" s="41"/>
    </row>
    <row r="35" spans="1:9" customFormat="1">
      <c r="A35" s="94">
        <v>27</v>
      </c>
      <c r="B35" s="4" t="s">
        <v>1455</v>
      </c>
      <c r="C35" s="32"/>
      <c r="D35" s="749">
        <v>597</v>
      </c>
      <c r="E35" s="73">
        <v>624</v>
      </c>
      <c r="F35" s="73">
        <v>780</v>
      </c>
      <c r="G35" s="73">
        <v>946</v>
      </c>
      <c r="H35" s="41"/>
      <c r="I35" s="41"/>
    </row>
    <row r="36" spans="1:9" customFormat="1">
      <c r="A36" s="94">
        <v>28</v>
      </c>
      <c r="B36" s="2" t="s">
        <v>1456</v>
      </c>
      <c r="C36" s="114"/>
      <c r="D36" s="749">
        <v>0</v>
      </c>
      <c r="E36" s="73">
        <v>0</v>
      </c>
      <c r="F36" s="73">
        <v>0</v>
      </c>
      <c r="G36" s="73">
        <v>0</v>
      </c>
      <c r="H36" s="41"/>
      <c r="I36" s="41"/>
    </row>
    <row r="37" spans="1:9" customFormat="1">
      <c r="A37" s="94">
        <v>29</v>
      </c>
      <c r="B37" s="4" t="s">
        <v>1457</v>
      </c>
      <c r="C37" s="32"/>
      <c r="D37" s="746">
        <v>826</v>
      </c>
      <c r="E37" s="26">
        <v>780</v>
      </c>
      <c r="F37" s="26">
        <v>925</v>
      </c>
      <c r="G37" s="26">
        <v>1119</v>
      </c>
      <c r="H37" s="41"/>
      <c r="I37" s="41"/>
    </row>
    <row r="38" spans="1:9" customFormat="1" ht="19.899999999999999" customHeight="1">
      <c r="A38" s="94">
        <v>30</v>
      </c>
      <c r="B38" s="106" t="s">
        <v>1866</v>
      </c>
      <c r="C38" s="93"/>
      <c r="D38" s="746">
        <v>2949</v>
      </c>
      <c r="E38" s="26">
        <v>4118</v>
      </c>
      <c r="F38" s="26">
        <v>4650</v>
      </c>
      <c r="G38" s="26">
        <v>5279</v>
      </c>
      <c r="H38" s="41"/>
      <c r="I38" s="41"/>
    </row>
    <row r="39" spans="1:9" customFormat="1" ht="20.100000000000001" customHeight="1">
      <c r="A39" s="94">
        <v>31</v>
      </c>
      <c r="B39" s="106" t="s">
        <v>1458</v>
      </c>
      <c r="C39" s="93"/>
      <c r="D39" s="742">
        <v>1527</v>
      </c>
      <c r="E39" s="25">
        <v>2292</v>
      </c>
      <c r="F39" s="25">
        <v>2512</v>
      </c>
      <c r="G39" s="25">
        <v>2919</v>
      </c>
      <c r="H39" s="41"/>
      <c r="I39" s="41"/>
    </row>
    <row r="40" spans="1:9" customFormat="1">
      <c r="A40" s="94">
        <v>32</v>
      </c>
      <c r="B40" s="4" t="s">
        <v>1459</v>
      </c>
      <c r="C40" s="32"/>
      <c r="D40" s="741">
        <v>913</v>
      </c>
      <c r="E40" s="29">
        <v>1396</v>
      </c>
      <c r="F40" s="29">
        <v>1506</v>
      </c>
      <c r="G40" s="29">
        <v>1800</v>
      </c>
      <c r="H40" s="41"/>
      <c r="I40" s="41"/>
    </row>
    <row r="41" spans="1:9" customFormat="1">
      <c r="A41" s="94">
        <v>33</v>
      </c>
      <c r="B41" s="4" t="s">
        <v>1460</v>
      </c>
      <c r="C41" s="32"/>
      <c r="D41" s="742">
        <v>538</v>
      </c>
      <c r="E41" s="73">
        <v>741</v>
      </c>
      <c r="F41" s="73">
        <v>912</v>
      </c>
      <c r="G41" s="73">
        <v>1089</v>
      </c>
      <c r="H41" s="41"/>
      <c r="I41" s="41"/>
    </row>
    <row r="42" spans="1:9" customFormat="1">
      <c r="A42" s="94">
        <v>34</v>
      </c>
      <c r="B42" s="4" t="s">
        <v>1461</v>
      </c>
      <c r="C42" s="32"/>
      <c r="D42" s="750">
        <v>375</v>
      </c>
      <c r="E42" s="3">
        <v>655</v>
      </c>
      <c r="F42" s="3">
        <v>594</v>
      </c>
      <c r="G42" s="3">
        <v>711</v>
      </c>
      <c r="H42" s="41"/>
      <c r="I42" s="41"/>
    </row>
    <row r="43" spans="1:9" customFormat="1">
      <c r="A43" s="94">
        <v>35</v>
      </c>
      <c r="B43" s="12" t="s">
        <v>1462</v>
      </c>
      <c r="C43" s="115"/>
      <c r="D43" s="751">
        <v>307</v>
      </c>
      <c r="E43" s="2">
        <v>616</v>
      </c>
      <c r="F43" s="2">
        <v>744</v>
      </c>
      <c r="G43" s="2">
        <v>887</v>
      </c>
      <c r="H43" s="41"/>
      <c r="I43" s="41"/>
    </row>
    <row r="44" spans="1:9" customFormat="1">
      <c r="A44" s="94">
        <v>36</v>
      </c>
      <c r="B44" s="4" t="s">
        <v>1463</v>
      </c>
      <c r="C44" s="32"/>
      <c r="D44" s="742">
        <v>0</v>
      </c>
      <c r="E44" s="25">
        <v>0</v>
      </c>
      <c r="F44" s="25">
        <v>0</v>
      </c>
      <c r="G44" s="25">
        <v>0</v>
      </c>
      <c r="H44" s="41"/>
      <c r="I44" s="41"/>
    </row>
    <row r="45" spans="1:9" customFormat="1">
      <c r="A45" s="94">
        <v>37</v>
      </c>
      <c r="B45" s="4" t="s">
        <v>1464</v>
      </c>
      <c r="C45" s="32"/>
      <c r="D45" s="742">
        <v>88</v>
      </c>
      <c r="E45" s="25">
        <v>192</v>
      </c>
      <c r="F45" s="25">
        <v>213</v>
      </c>
      <c r="G45" s="25">
        <v>234</v>
      </c>
      <c r="H45" s="41"/>
      <c r="I45" s="41"/>
    </row>
    <row r="46" spans="1:9" customFormat="1">
      <c r="A46" s="94">
        <v>38</v>
      </c>
      <c r="B46" s="4" t="s">
        <v>1465</v>
      </c>
      <c r="C46" s="32"/>
      <c r="D46" s="742">
        <v>219</v>
      </c>
      <c r="E46" s="25">
        <v>424</v>
      </c>
      <c r="F46" s="25">
        <v>531</v>
      </c>
      <c r="G46" s="25">
        <v>653</v>
      </c>
      <c r="H46" s="41"/>
      <c r="I46" s="41" t="s">
        <v>1448</v>
      </c>
    </row>
    <row r="47" spans="1:9" customFormat="1">
      <c r="A47" s="94">
        <v>39</v>
      </c>
      <c r="B47" s="4" t="s">
        <v>1466</v>
      </c>
      <c r="C47" s="32"/>
      <c r="D47" s="741">
        <v>307</v>
      </c>
      <c r="E47" s="29">
        <v>280</v>
      </c>
      <c r="F47" s="29">
        <v>262</v>
      </c>
      <c r="G47" s="29">
        <v>232</v>
      </c>
      <c r="H47" s="41"/>
      <c r="I47" s="41"/>
    </row>
    <row r="48" spans="1:9" customFormat="1">
      <c r="A48" s="94">
        <v>40</v>
      </c>
      <c r="B48" s="4" t="s">
        <v>1877</v>
      </c>
      <c r="C48" s="32" t="s">
        <v>1448</v>
      </c>
      <c r="D48" s="742">
        <v>167</v>
      </c>
      <c r="E48" s="57">
        <v>111</v>
      </c>
      <c r="F48" s="25">
        <v>132</v>
      </c>
      <c r="G48" s="25">
        <v>152</v>
      </c>
      <c r="H48" s="41"/>
      <c r="I48" s="41"/>
    </row>
    <row r="49" spans="1:9" customFormat="1">
      <c r="A49" s="94">
        <v>41</v>
      </c>
      <c r="B49" s="4" t="s">
        <v>1467</v>
      </c>
      <c r="C49" s="32"/>
      <c r="D49" s="742">
        <v>140</v>
      </c>
      <c r="E49" s="57">
        <v>169</v>
      </c>
      <c r="F49" s="25">
        <v>130</v>
      </c>
      <c r="G49" s="25">
        <v>80</v>
      </c>
      <c r="H49" s="41"/>
      <c r="I49" s="41"/>
    </row>
    <row r="50" spans="1:9" customFormat="1" ht="20.100000000000001" customHeight="1">
      <c r="A50" s="94">
        <v>42</v>
      </c>
      <c r="B50" s="110" t="s">
        <v>1867</v>
      </c>
      <c r="C50" s="140"/>
      <c r="D50" s="746">
        <v>1422</v>
      </c>
      <c r="E50" s="26">
        <v>1826</v>
      </c>
      <c r="F50" s="26">
        <v>2138</v>
      </c>
      <c r="G50" s="26">
        <v>2360</v>
      </c>
      <c r="H50" s="41"/>
      <c r="I50" s="41"/>
    </row>
    <row r="51" spans="1:9" customFormat="1">
      <c r="A51" s="94">
        <v>43</v>
      </c>
      <c r="B51" s="4" t="s">
        <v>1469</v>
      </c>
      <c r="C51" s="32"/>
      <c r="D51" s="744">
        <v>1009</v>
      </c>
      <c r="E51" s="30">
        <v>1649</v>
      </c>
      <c r="F51" s="30">
        <v>1938</v>
      </c>
      <c r="G51" s="30">
        <v>2210</v>
      </c>
      <c r="H51" s="41"/>
      <c r="I51" s="41"/>
    </row>
    <row r="52" spans="1:9" customFormat="1">
      <c r="A52" s="94">
        <v>44</v>
      </c>
      <c r="B52" s="4" t="s">
        <v>1878</v>
      </c>
      <c r="C52" s="32"/>
      <c r="D52" s="744">
        <v>781</v>
      </c>
      <c r="E52" s="30">
        <v>1335</v>
      </c>
      <c r="F52" s="30">
        <v>1503</v>
      </c>
      <c r="G52" s="30">
        <v>1652</v>
      </c>
      <c r="H52" s="41"/>
      <c r="I52" s="41"/>
    </row>
    <row r="53" spans="1:9" customFormat="1">
      <c r="A53" s="94">
        <v>45</v>
      </c>
      <c r="B53" s="4" t="s">
        <v>527</v>
      </c>
      <c r="C53" s="32"/>
      <c r="D53" s="744">
        <v>413</v>
      </c>
      <c r="E53" s="30">
        <v>177</v>
      </c>
      <c r="F53" s="30">
        <v>200</v>
      </c>
      <c r="G53" s="30">
        <v>150</v>
      </c>
      <c r="H53" s="41"/>
      <c r="I53" s="41"/>
    </row>
    <row r="54" spans="1:9" customFormat="1">
      <c r="A54" s="94">
        <v>46</v>
      </c>
      <c r="B54" s="4" t="s">
        <v>1878</v>
      </c>
      <c r="C54" s="32"/>
      <c r="D54" s="744">
        <v>0</v>
      </c>
      <c r="E54" s="30">
        <v>0</v>
      </c>
      <c r="F54" s="30">
        <v>0</v>
      </c>
      <c r="G54" s="30">
        <v>0</v>
      </c>
      <c r="H54" s="41"/>
      <c r="I54" s="41"/>
    </row>
    <row r="55" spans="1:9" customFormat="1" ht="20.100000000000001" customHeight="1">
      <c r="A55" s="94">
        <v>18</v>
      </c>
      <c r="B55" s="106" t="s">
        <v>1472</v>
      </c>
      <c r="C55" s="93"/>
      <c r="D55" s="747">
        <v>421</v>
      </c>
      <c r="E55" s="76">
        <v>596</v>
      </c>
      <c r="F55" s="76">
        <v>872</v>
      </c>
      <c r="G55" s="76">
        <v>794</v>
      </c>
      <c r="H55" s="41"/>
      <c r="I55" s="41"/>
    </row>
    <row r="56" spans="1:9" customFormat="1">
      <c r="A56" s="94">
        <v>19</v>
      </c>
      <c r="B56" s="111" t="s">
        <v>1868</v>
      </c>
      <c r="C56" s="32"/>
      <c r="D56" s="744">
        <v>82</v>
      </c>
      <c r="E56" s="30">
        <v>50</v>
      </c>
      <c r="F56" s="30">
        <v>62</v>
      </c>
      <c r="G56" s="30">
        <v>73</v>
      </c>
      <c r="H56" s="41"/>
      <c r="I56" s="41"/>
    </row>
    <row r="57" spans="1:9" customFormat="1">
      <c r="A57" s="94">
        <v>20</v>
      </c>
      <c r="B57" s="111" t="s">
        <v>1870</v>
      </c>
      <c r="C57" s="32"/>
      <c r="D57" s="744"/>
      <c r="E57" s="30"/>
      <c r="F57" s="30"/>
      <c r="G57" s="30"/>
      <c r="H57" s="41"/>
      <c r="I57" s="41"/>
    </row>
    <row r="58" spans="1:9" customFormat="1">
      <c r="A58" s="94">
        <v>21</v>
      </c>
      <c r="B58" s="111" t="s">
        <v>1874</v>
      </c>
      <c r="C58" s="32"/>
      <c r="D58" s="744">
        <v>-114</v>
      </c>
      <c r="E58" s="30">
        <v>0</v>
      </c>
      <c r="F58" s="30">
        <v>0</v>
      </c>
      <c r="G58" s="30">
        <v>0</v>
      </c>
      <c r="H58" s="41"/>
      <c r="I58" s="41"/>
    </row>
    <row r="59" spans="1:9" customFormat="1">
      <c r="A59" s="94">
        <v>22</v>
      </c>
      <c r="B59" s="111" t="s">
        <v>1869</v>
      </c>
      <c r="C59" s="32"/>
      <c r="D59" s="744">
        <v>-92</v>
      </c>
      <c r="E59" s="30">
        <v>0</v>
      </c>
      <c r="F59" s="30">
        <v>0</v>
      </c>
      <c r="G59" s="30">
        <v>0</v>
      </c>
      <c r="H59" s="41"/>
      <c r="I59" s="41"/>
    </row>
    <row r="60" spans="1:9" customFormat="1">
      <c r="A60" s="94">
        <v>21</v>
      </c>
      <c r="B60" s="111" t="s">
        <v>1473</v>
      </c>
      <c r="C60" s="32"/>
      <c r="D60" s="743">
        <v>177</v>
      </c>
      <c r="E60" s="34">
        <v>-75</v>
      </c>
      <c r="F60" s="34">
        <v>-171</v>
      </c>
      <c r="G60" s="34">
        <v>-92</v>
      </c>
      <c r="H60" s="41"/>
      <c r="I60" s="41"/>
    </row>
    <row r="61" spans="1:9" customFormat="1">
      <c r="A61" s="94">
        <v>22</v>
      </c>
      <c r="B61" s="111" t="s">
        <v>1474</v>
      </c>
      <c r="C61" s="32"/>
      <c r="D61" s="744">
        <v>139</v>
      </c>
      <c r="E61" s="30">
        <v>-100</v>
      </c>
      <c r="F61" s="30">
        <v>-171</v>
      </c>
      <c r="G61" s="30">
        <v>-92</v>
      </c>
      <c r="H61" s="41"/>
      <c r="I61" s="41"/>
    </row>
    <row r="62" spans="1:9" customFormat="1">
      <c r="A62" s="94">
        <v>23</v>
      </c>
      <c r="B62" s="111" t="s">
        <v>2033</v>
      </c>
      <c r="C62" s="32"/>
      <c r="D62" s="744">
        <v>38</v>
      </c>
      <c r="E62" s="30">
        <v>25</v>
      </c>
      <c r="F62" s="30">
        <v>0</v>
      </c>
      <c r="G62" s="30">
        <v>0</v>
      </c>
      <c r="H62" s="41"/>
      <c r="I62" s="41"/>
    </row>
    <row r="63" spans="1:9" customFormat="1">
      <c r="A63" s="94">
        <v>24</v>
      </c>
      <c r="B63" s="111" t="s">
        <v>1879</v>
      </c>
      <c r="C63" s="32"/>
      <c r="D63" s="744">
        <v>531</v>
      </c>
      <c r="E63" s="26">
        <v>722</v>
      </c>
      <c r="F63" s="26">
        <v>-80</v>
      </c>
      <c r="G63" s="26">
        <v>3</v>
      </c>
      <c r="H63" s="41"/>
      <c r="I63" s="62"/>
    </row>
    <row r="64" spans="1:9" customFormat="1">
      <c r="A64" s="94">
        <v>25</v>
      </c>
      <c r="B64" s="111" t="s">
        <v>1880</v>
      </c>
      <c r="C64" s="32"/>
      <c r="D64" s="744">
        <v>479</v>
      </c>
      <c r="E64" s="30">
        <v>447</v>
      </c>
      <c r="F64" s="30">
        <v>0</v>
      </c>
      <c r="G64" s="30">
        <v>0</v>
      </c>
      <c r="H64" s="41"/>
      <c r="I64" s="41"/>
    </row>
    <row r="65" spans="1:9" customFormat="1">
      <c r="A65" s="94">
        <v>26</v>
      </c>
      <c r="B65" s="111" t="s">
        <v>1881</v>
      </c>
      <c r="C65" s="32"/>
      <c r="D65" s="744">
        <v>289</v>
      </c>
      <c r="E65" s="30">
        <v>513</v>
      </c>
      <c r="F65" s="30">
        <v>510</v>
      </c>
      <c r="G65" s="30">
        <v>574</v>
      </c>
      <c r="H65" s="41"/>
      <c r="I65" s="41"/>
    </row>
    <row r="66" spans="1:9" customFormat="1">
      <c r="A66" s="94">
        <v>27</v>
      </c>
      <c r="B66" s="111" t="s">
        <v>1882</v>
      </c>
      <c r="C66" s="32"/>
      <c r="D66" s="744">
        <v>-237</v>
      </c>
      <c r="E66" s="30">
        <v>-238</v>
      </c>
      <c r="F66" s="30">
        <v>-590</v>
      </c>
      <c r="G66" s="30">
        <v>-571</v>
      </c>
      <c r="H66" s="41"/>
      <c r="I66" s="62"/>
    </row>
    <row r="67" spans="1:9" customFormat="1" ht="20.100000000000001" customHeight="1">
      <c r="A67" s="94">
        <v>28</v>
      </c>
      <c r="B67" s="112" t="s">
        <v>1914</v>
      </c>
      <c r="C67" s="66"/>
      <c r="D67" s="752"/>
      <c r="H67" s="41"/>
      <c r="I67" s="41"/>
    </row>
    <row r="68" spans="1:9" customFormat="1" ht="12.75" customHeight="1">
      <c r="A68" s="94">
        <v>29</v>
      </c>
      <c r="B68" s="111" t="s">
        <v>1905</v>
      </c>
      <c r="C68" s="32"/>
      <c r="D68" s="743"/>
      <c r="E68" s="34"/>
      <c r="F68" s="34"/>
      <c r="G68" s="34"/>
      <c r="H68" s="41"/>
      <c r="I68" s="62"/>
    </row>
    <row r="69" spans="1:9" customFormat="1">
      <c r="A69" s="94">
        <v>30</v>
      </c>
      <c r="B69" s="111" t="s">
        <v>1906</v>
      </c>
      <c r="C69" s="32"/>
      <c r="D69" s="743"/>
      <c r="E69" s="34"/>
      <c r="F69" s="34"/>
      <c r="G69" s="34"/>
      <c r="H69" s="41"/>
      <c r="I69" s="62"/>
    </row>
    <row r="70" spans="1:9" customFormat="1">
      <c r="A70" s="94">
        <v>31</v>
      </c>
      <c r="B70" s="111" t="s">
        <v>1907</v>
      </c>
      <c r="C70" s="32"/>
      <c r="D70" s="743"/>
      <c r="E70" s="34"/>
      <c r="F70" s="34"/>
      <c r="G70" s="34"/>
      <c r="H70" s="41"/>
      <c r="I70" s="62"/>
    </row>
    <row r="71" spans="1:9" customFormat="1" ht="43.9" customHeight="1">
      <c r="A71" s="94">
        <v>32</v>
      </c>
      <c r="B71" s="292" t="s">
        <v>2037</v>
      </c>
      <c r="C71" s="93"/>
      <c r="D71" s="743">
        <v>-1</v>
      </c>
      <c r="E71" s="34">
        <v>1</v>
      </c>
      <c r="F71" s="34">
        <v>-1185</v>
      </c>
      <c r="G71" s="34">
        <v>-956</v>
      </c>
      <c r="H71" s="41"/>
      <c r="I71" s="62"/>
    </row>
    <row r="72" spans="1:9" customFormat="1" ht="20.100000000000001" customHeight="1">
      <c r="A72" t="s">
        <v>1448</v>
      </c>
      <c r="B72" s="35" t="s">
        <v>1924</v>
      </c>
      <c r="C72" s="142" t="s">
        <v>1925</v>
      </c>
      <c r="D72" s="745"/>
      <c r="E72" s="21"/>
      <c r="F72" s="21"/>
      <c r="G72" s="21"/>
      <c r="H72" s="41"/>
      <c r="I72" s="41"/>
    </row>
    <row r="73" spans="1:9" customFormat="1" ht="19.899999999999999" customHeight="1">
      <c r="A73" s="94">
        <v>33</v>
      </c>
      <c r="B73" s="79" t="s">
        <v>1865</v>
      </c>
      <c r="C73" s="79"/>
      <c r="D73" s="753">
        <v>3.1107999999999998</v>
      </c>
      <c r="E73" s="56">
        <v>4.0999999999999996</v>
      </c>
      <c r="F73" s="56">
        <v>4.5415999999999999</v>
      </c>
      <c r="G73" s="56">
        <v>4.8888999999999996</v>
      </c>
      <c r="H73" s="41"/>
      <c r="I73" s="41"/>
    </row>
    <row r="74" spans="1:9" customFormat="1" ht="19.899999999999999" customHeight="1">
      <c r="A74" s="94">
        <v>34</v>
      </c>
      <c r="B74" s="39" t="s">
        <v>1939</v>
      </c>
      <c r="C74" s="39"/>
      <c r="D74" s="745">
        <v>1</v>
      </c>
      <c r="E74" s="21">
        <v>1.2</v>
      </c>
      <c r="F74" s="21">
        <v>1.2</v>
      </c>
      <c r="G74" s="21">
        <v>1.2</v>
      </c>
      <c r="H74" s="41"/>
      <c r="I74" s="41"/>
    </row>
    <row r="75" spans="1:9" customFormat="1" ht="13.15" customHeight="1">
      <c r="A75" s="94">
        <v>35</v>
      </c>
      <c r="B75" s="31" t="s">
        <v>1476</v>
      </c>
      <c r="C75" s="116"/>
      <c r="D75" s="754">
        <v>1</v>
      </c>
      <c r="E75" s="27">
        <v>1</v>
      </c>
      <c r="F75" s="27">
        <v>1</v>
      </c>
      <c r="G75" s="27">
        <v>1</v>
      </c>
      <c r="H75" s="41"/>
      <c r="I75" s="41"/>
    </row>
    <row r="76" spans="1:9" customFormat="1" ht="13.15" customHeight="1">
      <c r="A76" s="94">
        <v>36</v>
      </c>
      <c r="B76" s="31" t="s">
        <v>1477</v>
      </c>
      <c r="C76" s="116"/>
      <c r="D76" s="754">
        <v>1</v>
      </c>
      <c r="E76" s="27">
        <v>1.2</v>
      </c>
      <c r="F76" s="27">
        <v>1.2</v>
      </c>
      <c r="G76" s="27">
        <v>1.2</v>
      </c>
      <c r="H76" s="41"/>
      <c r="I76" s="41"/>
    </row>
    <row r="77" spans="1:9" customFormat="1" ht="19.899999999999999" customHeight="1">
      <c r="A77" s="94">
        <v>37</v>
      </c>
      <c r="B77" s="33" t="s">
        <v>1478</v>
      </c>
      <c r="C77" s="93"/>
      <c r="D77" s="746">
        <v>-443</v>
      </c>
      <c r="E77" s="26">
        <v>-513</v>
      </c>
      <c r="F77" s="26">
        <v>-473</v>
      </c>
      <c r="G77" s="26">
        <v>-447</v>
      </c>
      <c r="H77" s="41"/>
      <c r="I77" s="41"/>
    </row>
    <row r="78" spans="1:9" customFormat="1">
      <c r="A78" s="94">
        <v>38</v>
      </c>
      <c r="B78" s="18" t="s">
        <v>1479</v>
      </c>
      <c r="C78" s="18"/>
      <c r="D78" s="755">
        <v>890</v>
      </c>
      <c r="E78" s="25">
        <v>1041</v>
      </c>
      <c r="F78" s="25">
        <v>1174</v>
      </c>
      <c r="G78" s="25">
        <v>1464</v>
      </c>
      <c r="H78" s="41"/>
      <c r="I78" s="41"/>
    </row>
    <row r="79" spans="1:9" customFormat="1" ht="13.15" customHeight="1">
      <c r="A79" s="94">
        <v>39</v>
      </c>
      <c r="B79" s="18" t="s">
        <v>1480</v>
      </c>
      <c r="C79" s="18"/>
      <c r="D79" s="742">
        <v>1333</v>
      </c>
      <c r="E79" s="25">
        <v>1554</v>
      </c>
      <c r="F79" s="25">
        <v>1647</v>
      </c>
      <c r="G79" s="25">
        <v>1911</v>
      </c>
      <c r="H79" s="41"/>
      <c r="I79" s="41"/>
    </row>
    <row r="80" spans="1:9" customFormat="1" ht="19.899999999999999" customHeight="1">
      <c r="A80" s="94">
        <v>40</v>
      </c>
      <c r="B80" s="33" t="s">
        <v>1481</v>
      </c>
      <c r="C80" s="93"/>
      <c r="D80" s="740">
        <v>-144</v>
      </c>
      <c r="E80" s="28">
        <v>-127</v>
      </c>
      <c r="F80" s="28">
        <v>-117</v>
      </c>
      <c r="G80" s="28">
        <v>-203</v>
      </c>
      <c r="H80" s="41"/>
      <c r="I80" s="41"/>
    </row>
    <row r="81" spans="1:9" customFormat="1">
      <c r="A81" s="94">
        <v>41</v>
      </c>
      <c r="B81" s="4" t="s">
        <v>1884</v>
      </c>
      <c r="C81" s="32"/>
      <c r="D81" s="748">
        <v>-163</v>
      </c>
      <c r="E81" s="77">
        <v>-158</v>
      </c>
      <c r="F81" s="77">
        <v>-151</v>
      </c>
      <c r="G81" s="77">
        <v>-134</v>
      </c>
      <c r="H81" s="41"/>
      <c r="I81" s="41"/>
    </row>
    <row r="82" spans="1:9" customFormat="1" ht="13.15" customHeight="1">
      <c r="A82" s="94">
        <v>42</v>
      </c>
      <c r="B82" s="4" t="s">
        <v>1482</v>
      </c>
      <c r="C82" s="32"/>
      <c r="D82" s="756">
        <v>19</v>
      </c>
      <c r="E82" s="104">
        <v>31</v>
      </c>
      <c r="F82" s="104">
        <v>34</v>
      </c>
      <c r="G82" s="104">
        <v>-69</v>
      </c>
      <c r="H82" s="41"/>
      <c r="I82" s="41"/>
    </row>
    <row r="83" spans="1:9" customFormat="1" ht="19.899999999999999" customHeight="1">
      <c r="A83" s="94">
        <v>43</v>
      </c>
      <c r="B83" s="33" t="s">
        <v>1885</v>
      </c>
      <c r="C83" s="93"/>
      <c r="D83" s="740">
        <v>-18</v>
      </c>
      <c r="E83" s="28">
        <v>-20</v>
      </c>
      <c r="F83" s="28">
        <v>-23</v>
      </c>
      <c r="G83" s="28">
        <v>-31</v>
      </c>
      <c r="H83" s="41"/>
      <c r="I83" s="41"/>
    </row>
    <row r="84" spans="1:9" customFormat="1" ht="13.15" customHeight="1">
      <c r="A84" s="94">
        <v>44</v>
      </c>
      <c r="B84" s="32" t="s">
        <v>1484</v>
      </c>
      <c r="C84" s="32"/>
      <c r="D84" s="757">
        <v>31.824611032531827</v>
      </c>
      <c r="E84" s="105">
        <v>98.780487804878064</v>
      </c>
      <c r="F84" s="105">
        <v>0</v>
      </c>
      <c r="G84" s="105">
        <v>0</v>
      </c>
      <c r="H84" s="41"/>
      <c r="I84" s="41"/>
    </row>
    <row r="85" spans="1:9" customFormat="1" ht="13.15" customHeight="1">
      <c r="A85" s="94">
        <v>45</v>
      </c>
      <c r="B85" s="32" t="s">
        <v>1485</v>
      </c>
      <c r="C85" s="32"/>
      <c r="D85" s="757">
        <v>-49.824611032531827</v>
      </c>
      <c r="E85" s="105">
        <v>-118.78048780487806</v>
      </c>
      <c r="F85" s="105">
        <v>-23</v>
      </c>
      <c r="G85" s="105">
        <v>-31</v>
      </c>
      <c r="H85" s="41"/>
      <c r="I85" s="41"/>
    </row>
    <row r="86" spans="1:9" customFormat="1" ht="19.899999999999999" customHeight="1">
      <c r="A86" s="94">
        <v>46</v>
      </c>
      <c r="B86" s="106" t="s">
        <v>1895</v>
      </c>
      <c r="C86" s="93"/>
      <c r="D86" s="758">
        <v>-605</v>
      </c>
      <c r="E86" s="15">
        <v>-660</v>
      </c>
      <c r="F86" s="15">
        <v>-613</v>
      </c>
      <c r="G86" s="15">
        <v>-681</v>
      </c>
      <c r="H86" s="41"/>
      <c r="I86" s="41"/>
    </row>
    <row r="87" spans="1:9" customFormat="1" ht="19.899999999999999" customHeight="1">
      <c r="A87" s="94">
        <v>48</v>
      </c>
      <c r="B87" s="106" t="s">
        <v>1893</v>
      </c>
      <c r="C87" s="93"/>
      <c r="D87" s="758">
        <v>-451.98469846984699</v>
      </c>
      <c r="E87" s="15">
        <v>-459.26829268292681</v>
      </c>
      <c r="F87" s="15">
        <v>-408.00616522811345</v>
      </c>
      <c r="G87" s="15">
        <v>-470.93229560841905</v>
      </c>
      <c r="H87" s="41"/>
      <c r="I87" s="41"/>
    </row>
    <row r="88" spans="1:9" customFormat="1" ht="19.899999999999999" customHeight="1">
      <c r="A88" s="94">
        <v>49</v>
      </c>
      <c r="B88" s="106" t="s">
        <v>1487</v>
      </c>
      <c r="C88" s="93"/>
      <c r="D88" s="740">
        <v>153</v>
      </c>
      <c r="E88" s="28">
        <v>200.73170731707319</v>
      </c>
      <c r="F88" s="28">
        <v>204.99383477188655</v>
      </c>
      <c r="G88" s="28">
        <v>210.06770439158095</v>
      </c>
      <c r="H88" s="41"/>
      <c r="I88" s="41"/>
    </row>
    <row r="89" spans="1:9" customFormat="1" ht="12.75" customHeight="1">
      <c r="A89" s="94">
        <v>47</v>
      </c>
      <c r="B89" s="4" t="s">
        <v>1896</v>
      </c>
      <c r="C89" s="32"/>
      <c r="D89" s="759">
        <v>153.01530153015304</v>
      </c>
      <c r="E89" s="338">
        <v>200.73170731707319</v>
      </c>
      <c r="F89" s="338">
        <v>204.99383477188655</v>
      </c>
      <c r="G89" s="338">
        <v>210.06770439158095</v>
      </c>
      <c r="H89" s="41"/>
      <c r="I89" s="107"/>
    </row>
    <row r="90" spans="1:9" customFormat="1" ht="19.899999999999999" customHeight="1">
      <c r="A90" s="94">
        <v>50</v>
      </c>
      <c r="B90" s="106" t="s">
        <v>1892</v>
      </c>
      <c r="C90" s="93"/>
      <c r="D90" s="758">
        <v>-40</v>
      </c>
      <c r="E90" s="15">
        <v>9</v>
      </c>
      <c r="F90" s="15">
        <v>22</v>
      </c>
      <c r="G90" s="15">
        <v>35</v>
      </c>
      <c r="H90" s="15"/>
      <c r="I90" s="41"/>
    </row>
    <row r="91" spans="1:9" customFormat="1" ht="13.15" customHeight="1">
      <c r="A91" s="94">
        <v>51</v>
      </c>
      <c r="B91" s="4" t="s">
        <v>1889</v>
      </c>
      <c r="C91" s="32"/>
      <c r="D91" s="740">
        <v>-140</v>
      </c>
      <c r="E91" s="28">
        <v>-107</v>
      </c>
      <c r="F91" s="28">
        <v>-109</v>
      </c>
      <c r="G91" s="28">
        <v>-104</v>
      </c>
      <c r="H91" s="41"/>
      <c r="I91" s="41"/>
    </row>
    <row r="92" spans="1:9" customFormat="1" ht="13.15" customHeight="1">
      <c r="A92" s="94">
        <v>52</v>
      </c>
      <c r="B92" s="32" t="s">
        <v>1890</v>
      </c>
      <c r="C92" s="32"/>
      <c r="D92" s="740">
        <v>93</v>
      </c>
      <c r="E92" s="28">
        <v>125</v>
      </c>
      <c r="F92" s="28">
        <v>126</v>
      </c>
      <c r="G92" s="28">
        <v>128</v>
      </c>
      <c r="H92" s="41"/>
      <c r="I92" s="41"/>
    </row>
    <row r="93" spans="1:9" customFormat="1">
      <c r="A93" s="94">
        <v>53</v>
      </c>
      <c r="B93" s="4" t="s">
        <v>2034</v>
      </c>
      <c r="C93" s="32"/>
      <c r="D93" s="758">
        <v>-233</v>
      </c>
      <c r="E93" s="15">
        <v>-232</v>
      </c>
      <c r="F93" s="15">
        <v>-235</v>
      </c>
      <c r="G93" s="15">
        <v>-232</v>
      </c>
      <c r="H93" s="41"/>
      <c r="I93" s="41"/>
    </row>
    <row r="94" spans="1:9" customFormat="1">
      <c r="A94" s="94">
        <v>54</v>
      </c>
      <c r="B94" s="4" t="s">
        <v>2035</v>
      </c>
      <c r="C94" s="32"/>
      <c r="D94" s="740">
        <v>-26</v>
      </c>
      <c r="E94" s="28">
        <v>-24</v>
      </c>
      <c r="F94" s="28">
        <v>-19</v>
      </c>
      <c r="G94" s="28">
        <v>-21</v>
      </c>
      <c r="H94" s="41"/>
      <c r="I94" s="41"/>
    </row>
    <row r="95" spans="1:9" customFormat="1">
      <c r="A95" s="94">
        <v>55</v>
      </c>
      <c r="B95" s="4" t="s">
        <v>2038</v>
      </c>
      <c r="C95" s="32"/>
      <c r="D95" s="740">
        <v>126</v>
      </c>
      <c r="E95" s="28">
        <v>140</v>
      </c>
      <c r="F95" s="28">
        <v>150</v>
      </c>
      <c r="G95" s="28">
        <v>160</v>
      </c>
      <c r="H95" s="41"/>
      <c r="I95" s="41"/>
    </row>
    <row r="96" spans="1:9" customFormat="1" ht="19.899999999999999" customHeight="1">
      <c r="A96" s="94">
        <v>56</v>
      </c>
      <c r="B96" s="108" t="s">
        <v>1891</v>
      </c>
      <c r="C96" s="93"/>
      <c r="D96" s="740">
        <v>152</v>
      </c>
      <c r="E96" s="28">
        <v>36.299999999999997</v>
      </c>
      <c r="F96" s="28">
        <v>-22</v>
      </c>
      <c r="G96" s="28">
        <v>38.9</v>
      </c>
      <c r="H96" s="41"/>
      <c r="I96" s="41"/>
    </row>
    <row r="97" spans="1:9" customFormat="1" ht="19.899999999999999" customHeight="1">
      <c r="A97" s="94">
        <v>57</v>
      </c>
      <c r="B97" s="106" t="s">
        <v>1471</v>
      </c>
      <c r="C97" s="93"/>
      <c r="D97" s="759">
        <v>-340</v>
      </c>
      <c r="E97" s="75">
        <v>-413.9682926829268</v>
      </c>
      <c r="F97" s="75">
        <v>-408.00616522811345</v>
      </c>
      <c r="G97" s="75">
        <v>-397.03229560841908</v>
      </c>
      <c r="H97" s="41"/>
      <c r="I97" s="41"/>
    </row>
    <row r="98" spans="1:9" customFormat="1" ht="19.899999999999999" customHeight="1">
      <c r="A98" s="94">
        <v>58</v>
      </c>
      <c r="B98" s="106" t="s">
        <v>1488</v>
      </c>
      <c r="C98" s="93"/>
      <c r="D98" s="758">
        <v>340</v>
      </c>
      <c r="E98" s="729">
        <v>414</v>
      </c>
      <c r="F98" s="278">
        <v>221</v>
      </c>
      <c r="G98" s="278">
        <v>121</v>
      </c>
      <c r="H98" s="41"/>
      <c r="I98" s="41"/>
    </row>
    <row r="99" spans="1:9" customFormat="1" ht="19.899999999999999" customHeight="1">
      <c r="A99" s="94"/>
      <c r="B99" s="728" t="s">
        <v>2039</v>
      </c>
      <c r="C99" s="93"/>
      <c r="D99" s="759">
        <v>207</v>
      </c>
      <c r="E99" s="730">
        <v>437</v>
      </c>
      <c r="F99" s="279">
        <v>440</v>
      </c>
      <c r="G99" s="279">
        <v>426</v>
      </c>
      <c r="H99" s="41"/>
      <c r="I99" s="41"/>
    </row>
    <row r="100" spans="1:9" customFormat="1" ht="12.75" customHeight="1">
      <c r="A100" s="94">
        <v>59</v>
      </c>
      <c r="B100" s="111" t="s">
        <v>528</v>
      </c>
      <c r="C100" s="32"/>
      <c r="D100" s="740">
        <v>217</v>
      </c>
      <c r="E100" s="28">
        <v>170</v>
      </c>
      <c r="F100" s="28">
        <v>170</v>
      </c>
      <c r="G100" s="28">
        <v>154</v>
      </c>
      <c r="H100" s="41"/>
      <c r="I100" s="41"/>
    </row>
    <row r="101" spans="1:9" customFormat="1" ht="12.75" customHeight="1">
      <c r="A101" s="94">
        <v>60</v>
      </c>
      <c r="B101" s="111" t="s">
        <v>657</v>
      </c>
      <c r="C101" s="32"/>
      <c r="D101" s="740">
        <v>0</v>
      </c>
      <c r="E101" s="28">
        <v>267</v>
      </c>
      <c r="F101" s="28">
        <v>270</v>
      </c>
      <c r="G101" s="28">
        <v>272</v>
      </c>
      <c r="H101" s="41"/>
      <c r="I101" s="41"/>
    </row>
    <row r="102" spans="1:9" customFormat="1" ht="20.100000000000001" customHeight="1">
      <c r="A102" s="94">
        <v>61</v>
      </c>
      <c r="B102" s="111" t="s">
        <v>658</v>
      </c>
      <c r="C102" s="32"/>
      <c r="D102" s="759">
        <v>-10</v>
      </c>
      <c r="E102" s="28">
        <v>0</v>
      </c>
      <c r="F102" s="28">
        <v>0</v>
      </c>
      <c r="G102" s="28">
        <v>0</v>
      </c>
      <c r="H102" s="41"/>
      <c r="I102" s="41"/>
    </row>
    <row r="103" spans="1:9" customFormat="1" ht="12.75" customHeight="1">
      <c r="A103" s="94">
        <v>62</v>
      </c>
      <c r="B103" s="111" t="s">
        <v>659</v>
      </c>
      <c r="C103" s="32"/>
      <c r="D103" s="759">
        <v>-53</v>
      </c>
      <c r="E103" s="730">
        <v>-231</v>
      </c>
      <c r="F103" s="279">
        <v>-219</v>
      </c>
      <c r="G103" s="279">
        <v>-305</v>
      </c>
      <c r="H103" s="41"/>
      <c r="I103" s="41"/>
    </row>
    <row r="104" spans="1:9" customFormat="1" ht="12.75" customHeight="1">
      <c r="A104" s="94">
        <v>63</v>
      </c>
      <c r="B104" s="111" t="s">
        <v>1899</v>
      </c>
      <c r="C104" s="32"/>
      <c r="D104" s="740">
        <v>-68</v>
      </c>
      <c r="E104" s="28">
        <v>-135</v>
      </c>
      <c r="F104" s="28">
        <v>-124</v>
      </c>
      <c r="G104" s="28">
        <v>-111</v>
      </c>
      <c r="H104" s="41"/>
      <c r="I104" s="41"/>
    </row>
    <row r="105" spans="1:9" customFormat="1" ht="12.75" customHeight="1">
      <c r="A105" s="94">
        <v>64</v>
      </c>
      <c r="B105" s="111" t="s">
        <v>1489</v>
      </c>
      <c r="C105" s="32"/>
      <c r="D105" s="740">
        <v>-5</v>
      </c>
      <c r="E105" s="28">
        <v>-9</v>
      </c>
      <c r="F105" s="28">
        <v>-7</v>
      </c>
      <c r="G105" s="28">
        <v>-7</v>
      </c>
      <c r="H105" s="41"/>
      <c r="I105" s="41"/>
    </row>
    <row r="106" spans="1:9" customFormat="1" ht="12.75" customHeight="1">
      <c r="A106" s="94">
        <v>65</v>
      </c>
      <c r="B106" s="111" t="s">
        <v>656</v>
      </c>
      <c r="C106" s="32"/>
      <c r="D106" s="740">
        <v>20</v>
      </c>
      <c r="E106" s="28">
        <v>-87</v>
      </c>
      <c r="F106" s="28">
        <v>-88</v>
      </c>
      <c r="G106" s="28">
        <v>-187</v>
      </c>
      <c r="H106" s="41"/>
      <c r="I106" s="41"/>
    </row>
    <row r="107" spans="1:9" customFormat="1" ht="12.75" customHeight="1">
      <c r="A107" s="94">
        <v>66</v>
      </c>
      <c r="B107" s="111" t="s">
        <v>1901</v>
      </c>
      <c r="C107" s="32"/>
      <c r="D107" s="740">
        <v>32</v>
      </c>
      <c r="E107" s="28">
        <v>99</v>
      </c>
      <c r="F107" s="28"/>
      <c r="G107" s="28"/>
      <c r="H107" s="41"/>
      <c r="I107" s="41"/>
    </row>
    <row r="108" spans="1:9" customFormat="1" ht="12.75" customHeight="1">
      <c r="A108" s="94">
        <v>67</v>
      </c>
      <c r="B108" s="111" t="s">
        <v>1902</v>
      </c>
      <c r="C108" s="32"/>
      <c r="D108" s="759">
        <v>154</v>
      </c>
      <c r="E108" s="75">
        <v>109</v>
      </c>
      <c r="F108" s="75">
        <v>0</v>
      </c>
      <c r="G108" s="75">
        <v>0</v>
      </c>
      <c r="H108" s="41"/>
      <c r="I108" s="41"/>
    </row>
    <row r="109" spans="1:9" customFormat="1" ht="12.75" customHeight="1">
      <c r="A109" s="94">
        <v>68</v>
      </c>
      <c r="B109" s="111" t="s">
        <v>1903</v>
      </c>
      <c r="C109" s="32"/>
      <c r="D109" s="740">
        <v>154</v>
      </c>
      <c r="E109" s="28">
        <v>109</v>
      </c>
      <c r="F109" s="28">
        <v>0</v>
      </c>
      <c r="G109" s="28">
        <v>0</v>
      </c>
      <c r="H109" s="41"/>
      <c r="I109" s="41"/>
    </row>
    <row r="110" spans="1:9" customFormat="1" ht="12.75" customHeight="1">
      <c r="A110" s="94">
        <v>69</v>
      </c>
      <c r="B110" s="111" t="s">
        <v>1904</v>
      </c>
      <c r="C110" s="32"/>
      <c r="D110" s="740">
        <v>0</v>
      </c>
      <c r="E110" s="28">
        <v>0</v>
      </c>
      <c r="F110" s="28">
        <v>0</v>
      </c>
      <c r="G110" s="28">
        <v>0</v>
      </c>
      <c r="H110" s="41"/>
      <c r="I110" s="41"/>
    </row>
    <row r="111" spans="1:9" customFormat="1" ht="12.75" customHeight="1">
      <c r="A111" s="94">
        <v>70</v>
      </c>
      <c r="B111" s="111" t="s">
        <v>1915</v>
      </c>
      <c r="C111" s="32"/>
      <c r="D111" s="740"/>
      <c r="E111" s="28"/>
      <c r="F111" s="28"/>
      <c r="G111" s="28"/>
      <c r="H111" s="41"/>
      <c r="I111" s="41"/>
    </row>
    <row r="112" spans="1:9" customFormat="1" ht="12.75" customHeight="1">
      <c r="A112" s="94">
        <v>71</v>
      </c>
      <c r="B112" s="111" t="s">
        <v>1908</v>
      </c>
      <c r="C112" s="32"/>
      <c r="D112" s="740"/>
      <c r="E112" s="28"/>
      <c r="F112" s="28"/>
      <c r="G112" s="28"/>
      <c r="H112" s="41"/>
      <c r="I112" s="41"/>
    </row>
    <row r="113" spans="1:9" customFormat="1" ht="12.75" customHeight="1">
      <c r="A113" s="94">
        <v>72</v>
      </c>
      <c r="B113" s="111" t="s">
        <v>1909</v>
      </c>
      <c r="C113" s="32"/>
      <c r="D113" s="740"/>
      <c r="E113" s="28"/>
      <c r="F113" s="28"/>
      <c r="G113" s="28"/>
      <c r="H113" s="41"/>
      <c r="I113" s="41"/>
    </row>
    <row r="114" spans="1:9" customFormat="1" ht="19.899999999999999" customHeight="1">
      <c r="A114" s="94">
        <v>72</v>
      </c>
      <c r="B114" s="106" t="s">
        <v>1847</v>
      </c>
      <c r="C114" s="93"/>
      <c r="D114" s="759">
        <v>0</v>
      </c>
      <c r="E114" s="75">
        <v>3.1707317073198737E-2</v>
      </c>
      <c r="F114" s="75">
        <v>-187.00616522811345</v>
      </c>
      <c r="G114" s="75">
        <v>-276.03229560841908</v>
      </c>
      <c r="H114" s="41"/>
      <c r="I114" s="41"/>
    </row>
    <row r="115" spans="1:9" customFormat="1" ht="19.899999999999999" customHeight="1">
      <c r="A115" s="94" t="s">
        <v>1448</v>
      </c>
      <c r="B115" s="93" t="s">
        <v>1839</v>
      </c>
      <c r="C115" s="93"/>
      <c r="D115" s="740">
        <v>6831</v>
      </c>
      <c r="E115" s="28">
        <v>7036</v>
      </c>
      <c r="F115" s="28">
        <v>7064</v>
      </c>
      <c r="G115" s="28">
        <v>7064</v>
      </c>
      <c r="H115" s="41"/>
      <c r="I115" s="41"/>
    </row>
    <row r="116" spans="1:9" customFormat="1" ht="20.100000000000001" customHeight="1">
      <c r="A116" s="94">
        <v>73</v>
      </c>
      <c r="B116" s="38" t="s">
        <v>1490</v>
      </c>
      <c r="C116" s="116"/>
      <c r="D116" s="760"/>
      <c r="E116" s="15"/>
      <c r="F116" s="15"/>
      <c r="G116" s="15"/>
      <c r="H116" s="41"/>
      <c r="I116" s="41"/>
    </row>
    <row r="117" spans="1:9" customFormat="1" ht="20.100000000000001" customHeight="1">
      <c r="A117" s="94">
        <v>74</v>
      </c>
      <c r="B117" s="31" t="s">
        <v>1491</v>
      </c>
      <c r="C117" s="116"/>
      <c r="D117" s="761">
        <v>0.6</v>
      </c>
      <c r="E117" s="42"/>
      <c r="F117" s="42"/>
      <c r="G117" s="42"/>
      <c r="H117" s="41"/>
      <c r="I117" s="41"/>
    </row>
    <row r="118" spans="1:9" customFormat="1">
      <c r="A118" s="94"/>
      <c r="B118" s="31" t="s">
        <v>1492</v>
      </c>
      <c r="C118" s="116"/>
      <c r="D118" s="761">
        <v>0.6</v>
      </c>
      <c r="E118" s="42"/>
      <c r="F118" s="42"/>
      <c r="G118" s="42"/>
      <c r="H118" s="41"/>
      <c r="I118" s="41"/>
    </row>
    <row r="119" spans="1:9" customFormat="1" ht="20.100000000000001" customHeight="1">
      <c r="A119" s="94">
        <v>75</v>
      </c>
      <c r="B119" s="36" t="s">
        <v>1494</v>
      </c>
      <c r="C119" s="66"/>
      <c r="D119" s="758"/>
      <c r="E119" s="15"/>
      <c r="F119" s="15"/>
      <c r="G119" s="15"/>
      <c r="H119" s="41"/>
      <c r="I119" s="41"/>
    </row>
    <row r="120" spans="1:9" customFormat="1" ht="20.100000000000001" customHeight="1">
      <c r="A120" s="94">
        <v>76</v>
      </c>
      <c r="B120" t="s">
        <v>1495</v>
      </c>
      <c r="C120" s="66"/>
      <c r="D120" s="740">
        <v>2392</v>
      </c>
      <c r="E120" s="28">
        <v>2801</v>
      </c>
      <c r="F120" s="28"/>
      <c r="G120" s="28"/>
      <c r="H120" s="41"/>
      <c r="I120" s="41"/>
    </row>
    <row r="121" spans="1:9" customFormat="1">
      <c r="B121" t="s">
        <v>1496</v>
      </c>
      <c r="C121" s="66"/>
      <c r="D121" s="762">
        <v>3.7855351170568561</v>
      </c>
      <c r="E121" s="731">
        <v>4.2396214744734024</v>
      </c>
      <c r="F121" s="37"/>
      <c r="G121" s="37"/>
      <c r="H121" s="41"/>
      <c r="I121" s="41"/>
    </row>
    <row r="122" spans="1:9" customFormat="1">
      <c r="C122" s="66"/>
      <c r="D122" s="762"/>
      <c r="E122" s="37"/>
      <c r="F122" s="37"/>
      <c r="G122" s="37"/>
      <c r="H122" s="41"/>
      <c r="I122" s="41"/>
    </row>
    <row r="123" spans="1:9" customFormat="1">
      <c r="C123" s="66"/>
      <c r="D123" s="762" t="s">
        <v>1448</v>
      </c>
      <c r="H123" s="41"/>
      <c r="I123" s="41"/>
    </row>
    <row r="124" spans="1:9" customFormat="1">
      <c r="C124" s="66"/>
      <c r="D124" s="752" t="s">
        <v>1448</v>
      </c>
      <c r="H124" s="41"/>
      <c r="I124" s="41"/>
    </row>
    <row r="125" spans="1:9" customFormat="1">
      <c r="C125" s="66"/>
      <c r="D125" s="752"/>
      <c r="H125" s="41"/>
      <c r="I125" s="41"/>
    </row>
    <row r="126" spans="1:9" customFormat="1">
      <c r="A126" t="s">
        <v>1448</v>
      </c>
      <c r="C126" s="66"/>
      <c r="D126" s="752"/>
      <c r="H126" s="41"/>
      <c r="I126" s="41"/>
    </row>
    <row r="127" spans="1:9" customFormat="1">
      <c r="C127" s="66"/>
      <c r="D127" s="752"/>
      <c r="H127" s="41"/>
      <c r="I127" s="41"/>
    </row>
    <row r="128" spans="1:9" customFormat="1">
      <c r="C128" s="66"/>
      <c r="D128" s="752"/>
      <c r="H128" s="41"/>
      <c r="I128" s="41"/>
    </row>
    <row r="129" spans="3:9" customFormat="1">
      <c r="C129" s="66"/>
      <c r="D129" s="752"/>
      <c r="H129" s="41"/>
      <c r="I129" s="41"/>
    </row>
    <row r="130" spans="3:9" customFormat="1">
      <c r="C130" s="66"/>
      <c r="D130" s="763"/>
      <c r="H130" s="41"/>
      <c r="I130" s="41"/>
    </row>
    <row r="131" spans="3:9" customFormat="1">
      <c r="C131" s="66"/>
      <c r="D131" s="592"/>
      <c r="H131" s="41"/>
      <c r="I131" s="41"/>
    </row>
    <row r="132" spans="3:9" customFormat="1">
      <c r="C132" s="66"/>
      <c r="D132" s="592"/>
      <c r="H132" s="41"/>
      <c r="I132" s="41"/>
    </row>
    <row r="133" spans="3:9" customFormat="1">
      <c r="C133" s="66"/>
      <c r="D133" s="592"/>
      <c r="H133" s="41"/>
      <c r="I133" s="41"/>
    </row>
    <row r="134" spans="3:9" customFormat="1">
      <c r="C134" s="66"/>
      <c r="D134" s="592"/>
      <c r="H134" s="41"/>
      <c r="I134" s="41"/>
    </row>
    <row r="135" spans="3:9" customFormat="1">
      <c r="C135" s="66"/>
      <c r="D135" s="592"/>
      <c r="H135" s="41"/>
      <c r="I135" s="41"/>
    </row>
    <row r="136" spans="3:9" customFormat="1">
      <c r="C136" s="66"/>
      <c r="D136" s="592"/>
      <c r="H136" s="41"/>
      <c r="I136" s="41"/>
    </row>
    <row r="137" spans="3:9" customFormat="1">
      <c r="C137" s="66"/>
      <c r="D137" s="592"/>
      <c r="H137" s="41"/>
      <c r="I137" s="41"/>
    </row>
    <row r="138" spans="3:9" customFormat="1">
      <c r="C138" s="66"/>
      <c r="D138" s="592"/>
      <c r="H138" s="41"/>
      <c r="I138" s="41"/>
    </row>
    <row r="139" spans="3:9" customFormat="1">
      <c r="C139" s="66"/>
      <c r="D139" s="592"/>
      <c r="H139" s="41"/>
      <c r="I139" s="41"/>
    </row>
    <row r="140" spans="3:9" customFormat="1">
      <c r="C140" s="66"/>
      <c r="D140" s="592"/>
      <c r="H140" s="41"/>
      <c r="I140" s="41"/>
    </row>
    <row r="141" spans="3:9" customFormat="1">
      <c r="C141" s="66"/>
      <c r="D141" s="592"/>
      <c r="H141" s="41"/>
      <c r="I141" s="41"/>
    </row>
    <row r="142" spans="3:9" customFormat="1">
      <c r="C142" s="66"/>
      <c r="D142" s="592"/>
      <c r="H142" s="41"/>
      <c r="I142" s="41"/>
    </row>
    <row r="143" spans="3:9" customFormat="1">
      <c r="C143" s="66"/>
      <c r="D143" s="592"/>
      <c r="H143" s="41"/>
      <c r="I143" s="41"/>
    </row>
    <row r="144" spans="3:9" customFormat="1">
      <c r="C144" s="66"/>
      <c r="D144" s="592"/>
      <c r="H144" s="41"/>
      <c r="I144" s="41"/>
    </row>
    <row r="145" spans="3:9" customFormat="1">
      <c r="C145" s="66"/>
      <c r="D145" s="592"/>
      <c r="H145" s="41"/>
      <c r="I145" s="41"/>
    </row>
    <row r="146" spans="3:9" customFormat="1">
      <c r="C146" s="66"/>
      <c r="D146" s="592"/>
      <c r="H146" s="41"/>
      <c r="I146" s="41"/>
    </row>
    <row r="147" spans="3:9" customFormat="1">
      <c r="C147" s="66"/>
      <c r="D147" s="592"/>
      <c r="H147" s="41"/>
      <c r="I147" s="41"/>
    </row>
    <row r="148" spans="3:9" customFormat="1">
      <c r="C148" s="66"/>
      <c r="D148" s="592"/>
      <c r="H148" s="41"/>
      <c r="I148" s="41"/>
    </row>
    <row r="149" spans="3:9" customFormat="1">
      <c r="C149" s="66"/>
      <c r="D149" s="592"/>
      <c r="H149" s="41"/>
      <c r="I149" s="41"/>
    </row>
    <row r="150" spans="3:9" customFormat="1">
      <c r="C150" s="66"/>
      <c r="D150" s="592"/>
      <c r="H150" s="41"/>
      <c r="I150" s="41"/>
    </row>
  </sheetData>
  <sheetProtection sheet="1" objects="1" scenarios="1"/>
  <mergeCells count="1">
    <mergeCell ref="E6:K6"/>
  </mergeCells>
  <printOptions headings="1" gridLines="1"/>
  <pageMargins left="0.75" right="0.75" top="1" bottom="1" header="0.5" footer="0.5"/>
  <pageSetup scale="79" orientation="portrait" r:id="rId1"/>
  <headerFooter alignWithMargins="0"/>
  <rowBreaks count="1" manualBreakCount="1">
    <brk id="54" max="7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I28"/>
  <sheetViews>
    <sheetView zoomScale="80" workbookViewId="0">
      <selection activeCell="J5" sqref="J5"/>
    </sheetView>
  </sheetViews>
  <sheetFormatPr defaultColWidth="8.85546875" defaultRowHeight="12.75"/>
  <cols>
    <col min="1" max="1" width="16.28515625" style="54" customWidth="1"/>
    <col min="2" max="2" width="9.140625" style="54" customWidth="1"/>
    <col min="3" max="3" width="9.85546875" style="54" customWidth="1"/>
    <col min="4" max="4" width="10.7109375" style="54" customWidth="1"/>
    <col min="5" max="5" width="30.85546875" style="54" customWidth="1"/>
    <col min="6" max="6" width="16" style="54" customWidth="1"/>
    <col min="7" max="7" width="8.42578125" style="54" customWidth="1"/>
    <col min="8" max="8" width="10.7109375" style="54" bestFit="1" customWidth="1"/>
    <col min="9" max="9" width="8.42578125" style="54" customWidth="1"/>
    <col min="10" max="16384" width="8.85546875" style="54"/>
  </cols>
  <sheetData>
    <row r="1" spans="1:9" ht="43.9" customHeight="1" thickBot="1">
      <c r="A1" s="841" t="s">
        <v>1778</v>
      </c>
      <c r="B1" s="842"/>
      <c r="C1" s="842"/>
      <c r="D1" s="842"/>
      <c r="E1" s="842"/>
      <c r="F1" s="842"/>
      <c r="G1" s="842"/>
      <c r="H1" s="842"/>
      <c r="I1" s="843"/>
    </row>
    <row r="2" spans="1:9" s="645" customFormat="1">
      <c r="A2" s="844" t="s">
        <v>2430</v>
      </c>
      <c r="B2" s="845"/>
      <c r="C2" s="845"/>
      <c r="D2" s="846"/>
      <c r="E2" s="847" t="s">
        <v>212</v>
      </c>
      <c r="F2" s="844" t="s">
        <v>2431</v>
      </c>
      <c r="G2" s="845"/>
      <c r="H2" s="845"/>
      <c r="I2" s="846"/>
    </row>
    <row r="3" spans="1:9" s="175" customFormat="1" ht="13.5" thickBot="1">
      <c r="A3" s="171" t="s">
        <v>1729</v>
      </c>
      <c r="B3" s="167" t="s">
        <v>1523</v>
      </c>
      <c r="C3" s="167" t="s">
        <v>2081</v>
      </c>
      <c r="D3" s="712" t="s">
        <v>2428</v>
      </c>
      <c r="E3" s="848"/>
      <c r="F3" s="173" t="s">
        <v>1729</v>
      </c>
      <c r="G3" s="585" t="s">
        <v>1523</v>
      </c>
      <c r="H3" s="585" t="s">
        <v>2428</v>
      </c>
      <c r="I3" s="713" t="s">
        <v>718</v>
      </c>
    </row>
    <row r="4" spans="1:9" ht="13.5" thickBot="1">
      <c r="A4" s="646"/>
      <c r="B4" s="647"/>
      <c r="C4" s="647"/>
      <c r="D4" s="648"/>
      <c r="E4" s="677">
        <v>0</v>
      </c>
      <c r="F4" s="646"/>
      <c r="G4" s="647"/>
      <c r="H4" s="647"/>
      <c r="I4" s="648"/>
    </row>
    <row r="5" spans="1:9">
      <c r="A5" s="660" t="s">
        <v>2072</v>
      </c>
      <c r="B5" s="650" t="s">
        <v>713</v>
      </c>
      <c r="C5" s="650" t="s">
        <v>715</v>
      </c>
      <c r="D5" s="651" t="s">
        <v>714</v>
      </c>
      <c r="F5" s="660" t="s">
        <v>2072</v>
      </c>
      <c r="G5" s="650" t="s">
        <v>713</v>
      </c>
      <c r="H5" s="650" t="s">
        <v>714</v>
      </c>
      <c r="I5" s="651" t="s">
        <v>715</v>
      </c>
    </row>
    <row r="6" spans="1:9">
      <c r="A6" s="660"/>
      <c r="B6" s="650"/>
      <c r="C6" s="650"/>
      <c r="D6" s="651"/>
      <c r="F6" s="660"/>
      <c r="G6" s="650"/>
      <c r="H6" s="650"/>
      <c r="I6" s="651"/>
    </row>
    <row r="7" spans="1:9">
      <c r="A7" s="660">
        <v>1</v>
      </c>
      <c r="B7" s="652">
        <v>9.1500000000000001E-3</v>
      </c>
      <c r="C7" s="652">
        <v>0.17272799999999999</v>
      </c>
      <c r="D7" s="653">
        <v>-8.6498000000000005E-2</v>
      </c>
      <c r="F7" s="660">
        <v>1</v>
      </c>
      <c r="G7" s="652">
        <v>6.9199999999999999E-3</v>
      </c>
      <c r="H7" s="652">
        <v>0.18104700000000001</v>
      </c>
      <c r="I7" s="653">
        <v>-8.2522999999999999E-2</v>
      </c>
    </row>
    <row r="8" spans="1:9">
      <c r="A8" s="661"/>
      <c r="B8" s="655">
        <v>-7.3299999999999997E-3</v>
      </c>
      <c r="C8" s="655">
        <v>-2.23E-2</v>
      </c>
      <c r="D8" s="656">
        <v>-3.1109999999999999E-2</v>
      </c>
      <c r="F8" s="661"/>
      <c r="G8" s="655">
        <v>-7.3699999999999998E-3</v>
      </c>
      <c r="H8" s="655">
        <v>-2.3369999999999998E-2</v>
      </c>
      <c r="I8" s="656">
        <v>-2.9680000000000002E-2</v>
      </c>
    </row>
    <row r="9" spans="1:9">
      <c r="A9" s="660">
        <v>2</v>
      </c>
      <c r="B9" s="652">
        <v>4.1250000000000002E-3</v>
      </c>
      <c r="C9" s="652">
        <v>-3.3416000000000001E-2</v>
      </c>
      <c r="D9" s="653">
        <v>2.4437E-2</v>
      </c>
      <c r="F9" s="660">
        <v>2</v>
      </c>
      <c r="G9" s="652">
        <v>-5.9919999999999999E-3</v>
      </c>
      <c r="H9" s="652">
        <v>-6.4354999999999996E-2</v>
      </c>
      <c r="I9" s="653">
        <v>1.3860000000000001E-3</v>
      </c>
    </row>
    <row r="10" spans="1:9">
      <c r="A10" s="661"/>
      <c r="B10" s="655">
        <v>-8.1799999999999998E-3</v>
      </c>
      <c r="C10" s="655">
        <v>-3.3550000000000003E-2</v>
      </c>
      <c r="D10" s="656">
        <v>-3.6679999999999997E-2</v>
      </c>
      <c r="F10" s="661"/>
      <c r="G10" s="655">
        <v>-6.9499999999999996E-3</v>
      </c>
      <c r="H10" s="655">
        <v>-3.04E-2</v>
      </c>
      <c r="I10" s="656">
        <v>-2.853E-2</v>
      </c>
    </row>
    <row r="11" spans="1:9">
      <c r="A11" s="660">
        <v>3</v>
      </c>
      <c r="B11" s="652">
        <v>4.5960000000000003E-3</v>
      </c>
      <c r="C11" s="652">
        <v>-7.3312000000000002E-2</v>
      </c>
      <c r="D11" s="653">
        <v>7.5561000000000003E-2</v>
      </c>
      <c r="F11" s="660">
        <v>3</v>
      </c>
      <c r="G11" s="652">
        <v>5.7080000000000004E-3</v>
      </c>
      <c r="H11" s="652">
        <v>-6.2649999999999997E-3</v>
      </c>
      <c r="I11" s="653">
        <v>8.6269999999999993E-3</v>
      </c>
    </row>
    <row r="12" spans="1:9">
      <c r="A12" s="661"/>
      <c r="B12" s="655">
        <v>-7.62E-3</v>
      </c>
      <c r="C12" s="655">
        <v>-3.1780000000000003E-2</v>
      </c>
      <c r="D12" s="656">
        <v>-3.5279999999999999E-2</v>
      </c>
      <c r="F12" s="661"/>
      <c r="G12" s="655">
        <v>-6.6600000000000001E-3</v>
      </c>
      <c r="H12" s="655">
        <v>-3.2649999999999998E-2</v>
      </c>
      <c r="I12" s="656">
        <v>-2.9610000000000001E-2</v>
      </c>
    </row>
    <row r="13" spans="1:9">
      <c r="A13" s="660">
        <v>4</v>
      </c>
      <c r="B13" s="652">
        <v>-3.5119999999999999E-3</v>
      </c>
      <c r="C13" s="652">
        <v>1.6479999999999999E-3</v>
      </c>
      <c r="D13" s="653">
        <v>2.7897999999999999E-2</v>
      </c>
      <c r="F13" s="660">
        <v>4</v>
      </c>
      <c r="G13" s="652">
        <v>-6.7400000000000001E-4</v>
      </c>
      <c r="H13" s="652">
        <v>-3.2777000000000001E-2</v>
      </c>
      <c r="I13" s="653">
        <v>-7.4200000000000004E-4</v>
      </c>
    </row>
    <row r="14" spans="1:9">
      <c r="A14" s="661"/>
      <c r="B14" s="655">
        <v>-7.5799999999999999E-3</v>
      </c>
      <c r="C14" s="655">
        <v>-3.3079999999999998E-2</v>
      </c>
      <c r="D14" s="656">
        <v>-3.9109999999999999E-2</v>
      </c>
      <c r="F14" s="661"/>
      <c r="G14" s="655">
        <v>-6.3499999999999997E-3</v>
      </c>
      <c r="H14" s="655">
        <v>-3.3619999999999997E-2</v>
      </c>
      <c r="I14" s="656">
        <v>-2.7220000000000001E-2</v>
      </c>
    </row>
    <row r="15" spans="1:9">
      <c r="A15" s="660">
        <v>5</v>
      </c>
      <c r="B15" s="652">
        <v>-3.1210000000000001E-3</v>
      </c>
      <c r="C15" s="652">
        <v>2.2405000000000001E-2</v>
      </c>
      <c r="D15" s="653">
        <v>-4.4241999999999997E-2</v>
      </c>
      <c r="F15" s="660">
        <v>5</v>
      </c>
      <c r="G15" s="652">
        <v>-3.0950000000000001E-3</v>
      </c>
      <c r="H15" s="652">
        <v>1.1462E-2</v>
      </c>
      <c r="I15" s="653">
        <v>1.4905E-2</v>
      </c>
    </row>
    <row r="16" spans="1:9">
      <c r="A16" s="661"/>
      <c r="B16" s="655">
        <v>-5.94E-3</v>
      </c>
      <c r="C16" s="655">
        <v>-2.8830000000000001E-2</v>
      </c>
      <c r="D16" s="656">
        <v>-3.3459999999999997E-2</v>
      </c>
      <c r="F16" s="661"/>
      <c r="G16" s="655">
        <v>-5.2900000000000004E-3</v>
      </c>
      <c r="H16" s="655">
        <v>-3.0099999999999998E-2</v>
      </c>
      <c r="I16" s="656">
        <v>-2.325E-2</v>
      </c>
    </row>
    <row r="17" spans="1:9">
      <c r="A17" s="660">
        <v>6</v>
      </c>
      <c r="B17" s="652">
        <v>3.7139999999999999E-3</v>
      </c>
      <c r="C17" s="652">
        <v>-1.0408000000000001E-2</v>
      </c>
      <c r="D17" s="653">
        <v>1.3079999999999999E-3</v>
      </c>
      <c r="F17" s="660">
        <v>6</v>
      </c>
      <c r="G17" s="652">
        <v>-1.933E-3</v>
      </c>
      <c r="H17" s="652">
        <v>9.2309999999999996E-3</v>
      </c>
      <c r="I17" s="653">
        <v>5.9900000000000003E-4</v>
      </c>
    </row>
    <row r="18" spans="1:9">
      <c r="A18" s="661"/>
      <c r="B18" s="655">
        <v>-4.3299999999999996E-3</v>
      </c>
      <c r="C18" s="655">
        <v>-2.5499999999999998E-2</v>
      </c>
      <c r="D18" s="656">
        <v>-2.6980000000000001E-2</v>
      </c>
      <c r="F18" s="661"/>
      <c r="G18" s="655">
        <v>-3.5100000000000001E-3</v>
      </c>
      <c r="H18" s="655">
        <v>-2.249E-2</v>
      </c>
      <c r="I18" s="656">
        <v>-1.4449999999999999E-2</v>
      </c>
    </row>
    <row r="19" spans="1:9">
      <c r="A19" s="660">
        <v>7</v>
      </c>
      <c r="B19" s="652">
        <v>7.5299999999999998E-4</v>
      </c>
      <c r="C19" s="652">
        <v>-2.715E-3</v>
      </c>
      <c r="D19" s="653">
        <v>-3.444E-3</v>
      </c>
      <c r="F19" s="660">
        <v>7</v>
      </c>
      <c r="G19" s="652">
        <v>1.7960000000000001E-3</v>
      </c>
      <c r="H19" s="652">
        <v>8.9680000000000003E-3</v>
      </c>
      <c r="I19" s="653">
        <v>-9.2420000000000002E-3</v>
      </c>
    </row>
    <row r="20" spans="1:9">
      <c r="A20" s="661"/>
      <c r="B20" s="655">
        <v>-3.8400000000000001E-3</v>
      </c>
      <c r="C20" s="655">
        <v>-2.0240000000000001E-2</v>
      </c>
      <c r="D20" s="656">
        <v>-2.4830000000000001E-2</v>
      </c>
      <c r="F20" s="661"/>
      <c r="G20" s="655">
        <v>-3.4099999999999998E-3</v>
      </c>
      <c r="H20" s="655">
        <v>-2.0240000000000001E-2</v>
      </c>
      <c r="I20" s="656">
        <v>-1.218E-2</v>
      </c>
    </row>
    <row r="21" spans="1:9">
      <c r="A21" s="660">
        <v>8</v>
      </c>
      <c r="B21" s="652">
        <v>-2.5869999999999999E-3</v>
      </c>
      <c r="C21" s="652">
        <v>1.2468E-2</v>
      </c>
      <c r="D21" s="653">
        <v>-1.02E-4</v>
      </c>
      <c r="F21" s="660">
        <v>8</v>
      </c>
      <c r="G21" s="652">
        <v>2.6800000000000001E-3</v>
      </c>
      <c r="H21" s="652">
        <v>-6.7429999999999999E-3</v>
      </c>
      <c r="I21" s="653">
        <v>-5.6309999999999997E-3</v>
      </c>
    </row>
    <row r="22" spans="1:9">
      <c r="A22" s="661"/>
      <c r="B22" s="655">
        <v>-3.5200000000000001E-3</v>
      </c>
      <c r="C22" s="655">
        <v>-1.77E-2</v>
      </c>
      <c r="D22" s="656">
        <v>-2.2849999999999999E-2</v>
      </c>
      <c r="F22" s="661"/>
      <c r="G22" s="655">
        <v>-3.2000000000000002E-3</v>
      </c>
      <c r="H22" s="655">
        <v>-1.848E-2</v>
      </c>
      <c r="I22" s="656">
        <v>-1.166E-2</v>
      </c>
    </row>
    <row r="23" spans="1:9">
      <c r="A23" s="660">
        <v>9</v>
      </c>
      <c r="B23" s="652">
        <v>-8.8400000000000002E-4</v>
      </c>
      <c r="C23" s="652">
        <v>-4.1800000000000002E-4</v>
      </c>
      <c r="D23" s="653">
        <v>4.2989999999999999E-3</v>
      </c>
      <c r="F23" s="660">
        <v>9</v>
      </c>
      <c r="G23" s="652">
        <v>-6.8400000000000004E-4</v>
      </c>
      <c r="H23" s="652">
        <v>-8.1539999999999998E-3</v>
      </c>
      <c r="I23" s="653">
        <v>5.6990000000000001E-3</v>
      </c>
    </row>
    <row r="24" spans="1:9">
      <c r="A24" s="661"/>
      <c r="B24" s="655">
        <v>-2.63E-3</v>
      </c>
      <c r="C24" s="655">
        <v>-1.251E-2</v>
      </c>
      <c r="D24" s="656">
        <v>-1.3769999999999999E-2</v>
      </c>
      <c r="F24" s="661"/>
      <c r="G24" s="655">
        <v>-2.14E-3</v>
      </c>
      <c r="H24" s="655">
        <v>-1.1610000000000001E-2</v>
      </c>
      <c r="I24" s="656">
        <v>-8.1899999999999994E-3</v>
      </c>
    </row>
    <row r="25" spans="1:9">
      <c r="A25" s="660">
        <v>10</v>
      </c>
      <c r="B25" s="652">
        <v>1.5009999999999999E-3</v>
      </c>
      <c r="C25" s="652">
        <v>-8.2579999999999997E-3</v>
      </c>
      <c r="D25" s="653">
        <v>6.8710000000000004E-3</v>
      </c>
      <c r="F25" s="660">
        <v>10</v>
      </c>
      <c r="G25" s="652">
        <v>-1.743E-3</v>
      </c>
      <c r="H25" s="652">
        <v>-1.8100000000000001E-4</v>
      </c>
      <c r="I25" s="653">
        <v>5.2880000000000002E-3</v>
      </c>
    </row>
    <row r="26" spans="1:9">
      <c r="A26" s="654"/>
      <c r="B26" s="655">
        <v>-2.3600000000000001E-3</v>
      </c>
      <c r="C26" s="655">
        <v>-1.059E-2</v>
      </c>
      <c r="D26" s="656">
        <v>-1.2189999999999999E-2</v>
      </c>
      <c r="F26" s="661"/>
      <c r="G26" s="655">
        <v>-2.15E-3</v>
      </c>
      <c r="H26" s="655">
        <v>-1.1560000000000001E-2</v>
      </c>
      <c r="I26" s="656">
        <v>-8.1399999999999997E-3</v>
      </c>
    </row>
    <row r="27" spans="1:9">
      <c r="A27" s="649"/>
      <c r="B27" s="650"/>
      <c r="C27" s="650"/>
      <c r="D27" s="651"/>
      <c r="F27" s="649"/>
      <c r="G27" s="650"/>
      <c r="H27" s="650"/>
      <c r="I27" s="651"/>
    </row>
    <row r="28" spans="1:9" ht="13.5" thickBot="1">
      <c r="A28" s="657" t="s">
        <v>716</v>
      </c>
      <c r="B28" s="658"/>
      <c r="C28" s="658"/>
      <c r="D28" s="659"/>
      <c r="F28" s="657" t="s">
        <v>717</v>
      </c>
      <c r="G28" s="658"/>
      <c r="H28" s="658"/>
      <c r="I28" s="659"/>
    </row>
  </sheetData>
  <mergeCells count="4">
    <mergeCell ref="A1:I1"/>
    <mergeCell ref="A2:D2"/>
    <mergeCell ref="F2:I2"/>
    <mergeCell ref="E2:E3"/>
  </mergeCells>
  <pageMargins left="0.75" right="0.75" top="1" bottom="1" header="0.5" footer="0.5"/>
  <pageSetup orientation="portrait" horizontalDpi="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T24"/>
  <sheetViews>
    <sheetView zoomScale="73" workbookViewId="0">
      <selection activeCell="P25" sqref="P25"/>
    </sheetView>
  </sheetViews>
  <sheetFormatPr defaultRowHeight="12.75"/>
  <cols>
    <col min="1" max="1" width="8.85546875" style="175" customWidth="1"/>
    <col min="5" max="5" width="10.42578125" customWidth="1"/>
    <col min="6" max="6" width="6.7109375" customWidth="1"/>
    <col min="7" max="16" width="8" customWidth="1"/>
  </cols>
  <sheetData>
    <row r="1" spans="1:20" ht="45.6" customHeight="1" thickBot="1">
      <c r="A1" s="849" t="s">
        <v>1729</v>
      </c>
      <c r="B1" s="867" t="s">
        <v>236</v>
      </c>
      <c r="C1" s="868"/>
      <c r="D1" s="569"/>
      <c r="E1" s="852" t="s">
        <v>216</v>
      </c>
      <c r="F1" s="852"/>
      <c r="G1" s="852"/>
      <c r="H1" s="852"/>
      <c r="I1" s="852"/>
      <c r="J1" s="852"/>
      <c r="K1" s="853"/>
      <c r="L1" s="854" t="s">
        <v>2300</v>
      </c>
      <c r="M1" s="855"/>
      <c r="N1" s="856"/>
    </row>
    <row r="2" spans="1:20" ht="19.149999999999999" customHeight="1">
      <c r="A2" s="850"/>
      <c r="B2" s="869"/>
      <c r="C2" s="870"/>
      <c r="D2" s="569"/>
      <c r="E2" s="859" t="s">
        <v>2299</v>
      </c>
      <c r="F2" s="582" t="s">
        <v>2103</v>
      </c>
      <c r="G2" s="583">
        <f>IF('MACRO DATA'!E7&gt;0,'MACRO DATA'!E7,"")</f>
        <v>2001</v>
      </c>
      <c r="H2" s="584">
        <f>IF('MACRO DATA'!F7&gt;0,'MACRO DATA'!F7,"")</f>
        <v>2002</v>
      </c>
      <c r="I2" s="584">
        <f>IF('MACRO DATA'!G7&gt;0,'MACRO DATA'!G7,"")</f>
        <v>2003</v>
      </c>
      <c r="J2" s="559" t="str">
        <f>IF('MACRO DATA'!H7&gt;0,'MACRO DATA'!H7,"")</f>
        <v/>
      </c>
      <c r="K2" s="559" t="str">
        <f>IF('MACRO DATA'!I7&gt;0,'MACRO DATA'!I7,"")</f>
        <v/>
      </c>
      <c r="L2" s="559" t="str">
        <f>IF('MACRO DATA'!J7&gt;0,'MACRO DATA'!J7,"")</f>
        <v/>
      </c>
      <c r="M2" s="559" t="str">
        <f>IF('MACRO DATA'!K7&gt;0,'MACRO DATA'!K7,"")</f>
        <v/>
      </c>
      <c r="N2" s="559" t="str">
        <f>IF('MACRO DATA'!L7&gt;0,'MACRO DATA'!L7,"")</f>
        <v/>
      </c>
      <c r="O2" s="559" t="str">
        <f>IF('MACRO DATA'!M7&gt;0,'MACRO DATA'!M7,"")</f>
        <v/>
      </c>
      <c r="P2" s="560" t="str">
        <f>IF('MACRO DATA'!N7&gt;0,'MACRO DATA'!N7,"")</f>
        <v/>
      </c>
    </row>
    <row r="3" spans="1:20" ht="24.6" customHeight="1" thickBot="1">
      <c r="A3" s="850"/>
      <c r="B3" s="871"/>
      <c r="C3" s="872"/>
      <c r="D3" s="570"/>
      <c r="E3" s="860"/>
      <c r="F3" s="767" t="s">
        <v>1729</v>
      </c>
      <c r="G3" s="554">
        <v>1</v>
      </c>
      <c r="H3" s="555">
        <v>2</v>
      </c>
      <c r="I3" s="555">
        <v>3</v>
      </c>
      <c r="J3" s="555">
        <v>4</v>
      </c>
      <c r="K3" s="555">
        <v>5</v>
      </c>
      <c r="L3" s="555">
        <v>6</v>
      </c>
      <c r="M3" s="555">
        <v>7</v>
      </c>
      <c r="N3" s="555">
        <v>8</v>
      </c>
      <c r="O3" s="555">
        <v>9</v>
      </c>
      <c r="P3" s="561">
        <v>10</v>
      </c>
      <c r="Q3" s="94"/>
    </row>
    <row r="4" spans="1:20" ht="31.15" customHeight="1" thickBot="1">
      <c r="A4" s="850"/>
      <c r="B4" s="873" t="s">
        <v>2066</v>
      </c>
      <c r="C4" s="875" t="s">
        <v>2067</v>
      </c>
      <c r="E4" s="783" t="s">
        <v>2298</v>
      </c>
      <c r="F4" s="782">
        <v>1</v>
      </c>
      <c r="G4" s="785">
        <v>0.1</v>
      </c>
      <c r="H4" s="784">
        <v>0.1</v>
      </c>
      <c r="I4" s="784">
        <v>0</v>
      </c>
      <c r="J4" s="784">
        <v>0</v>
      </c>
      <c r="K4" s="784">
        <v>0</v>
      </c>
      <c r="L4" s="784">
        <v>0</v>
      </c>
      <c r="M4" s="784">
        <v>0</v>
      </c>
      <c r="N4" s="784">
        <v>0</v>
      </c>
      <c r="O4" s="784">
        <v>0</v>
      </c>
      <c r="P4" s="786">
        <v>0</v>
      </c>
      <c r="Q4" s="94"/>
      <c r="R4" s="94"/>
      <c r="S4" s="94"/>
      <c r="T4" s="94"/>
    </row>
    <row r="5" spans="1:20" ht="31.9" customHeight="1" thickBot="1">
      <c r="A5" s="851"/>
      <c r="B5" s="874"/>
      <c r="C5" s="876"/>
      <c r="D5" s="568">
        <f>IF($L$1="TOT",B6,C6)</f>
        <v>3.8222119118240014E-2</v>
      </c>
      <c r="E5" s="779" t="s">
        <v>2297</v>
      </c>
      <c r="F5" s="780">
        <v>1</v>
      </c>
      <c r="G5" s="788">
        <v>-0.2</v>
      </c>
      <c r="H5" s="789">
        <v>-0.15</v>
      </c>
      <c r="I5" s="789">
        <v>-0.1</v>
      </c>
      <c r="J5" s="789">
        <v>0</v>
      </c>
      <c r="K5" s="789">
        <v>0</v>
      </c>
      <c r="L5" s="789">
        <v>0</v>
      </c>
      <c r="M5" s="789">
        <v>0</v>
      </c>
      <c r="N5" s="789">
        <v>0</v>
      </c>
      <c r="O5" s="789">
        <v>0</v>
      </c>
      <c r="P5" s="790">
        <v>0</v>
      </c>
      <c r="Q5" s="556" t="s">
        <v>2083</v>
      </c>
    </row>
    <row r="6" spans="1:20" ht="34.15" customHeight="1">
      <c r="A6" s="550">
        <v>1</v>
      </c>
      <c r="B6" s="575">
        <f>'E-views VAR impulse responses'!B7/'E-views VAR impulse responses'!$C$7</f>
        <v>5.2973461164374049E-2</v>
      </c>
      <c r="C6" s="578">
        <f>'E-views VAR impulse responses'!G7/'E-views VAR impulse responses'!$H$7</f>
        <v>3.8222119118240014E-2</v>
      </c>
      <c r="D6" s="568">
        <f t="shared" ref="D6:D14" si="0">IF($L$1="TOT",B7,C7)</f>
        <v>-3.3096378288510718E-2</v>
      </c>
      <c r="E6" s="857" t="s">
        <v>2082</v>
      </c>
      <c r="F6" s="567">
        <v>1</v>
      </c>
      <c r="G6" s="678">
        <f>G$5*$B6+G$4*$C6</f>
        <v>-6.7724803210508092E-3</v>
      </c>
      <c r="H6" s="571"/>
      <c r="I6" s="572"/>
      <c r="J6" s="572"/>
      <c r="K6" s="572"/>
      <c r="L6" s="572"/>
      <c r="M6" s="572"/>
      <c r="N6" s="572"/>
      <c r="O6" s="572"/>
      <c r="P6" s="573"/>
      <c r="Q6" s="574">
        <f>SUM(G6:P6)</f>
        <v>-6.7724803210508092E-3</v>
      </c>
    </row>
    <row r="7" spans="1:20">
      <c r="A7" s="551">
        <v>2</v>
      </c>
      <c r="B7" s="576">
        <f>'E-views VAR impulse responses'!B9/'E-views VAR impulse responses'!$C$7</f>
        <v>2.3881478393775187E-2</v>
      </c>
      <c r="C7" s="579">
        <f>'E-views VAR impulse responses'!G9/'E-views VAR impulse responses'!$H$7</f>
        <v>-3.3096378288510718E-2</v>
      </c>
      <c r="D7" s="568">
        <f t="shared" si="0"/>
        <v>3.1527724844929772E-2</v>
      </c>
      <c r="E7" s="857"/>
      <c r="F7" s="551">
        <v>2</v>
      </c>
      <c r="G7" s="679">
        <f>G$5*($B7-$B6*'E-views VAR impulse responses'!$E$4)+G$4*($C7-$C6*'E-views VAR impulse responses'!$E$4)</f>
        <v>-8.0859335076061099E-3</v>
      </c>
      <c r="H7" s="553">
        <f>H$5*$B6+H$4*$C6</f>
        <v>-4.1238072628321061E-3</v>
      </c>
      <c r="I7" s="564"/>
      <c r="J7" s="564"/>
      <c r="K7" s="564"/>
      <c r="L7" s="564"/>
      <c r="M7" s="564"/>
      <c r="N7" s="564"/>
      <c r="O7" s="564"/>
      <c r="P7" s="565"/>
      <c r="Q7" s="557">
        <f t="shared" ref="Q7:Q15" si="1">SUM(G7:P7)</f>
        <v>-1.2209740770438217E-2</v>
      </c>
    </row>
    <row r="8" spans="1:20">
      <c r="A8" s="551">
        <v>3</v>
      </c>
      <c r="B8" s="576">
        <f>'E-views VAR impulse responses'!B11/'E-views VAR impulse responses'!$C$7</f>
        <v>2.6608309017646246E-2</v>
      </c>
      <c r="C8" s="579">
        <f>'E-views VAR impulse responses'!G11/'E-views VAR impulse responses'!$H$7</f>
        <v>3.1527724844929772E-2</v>
      </c>
      <c r="D8" s="568">
        <f t="shared" si="0"/>
        <v>-3.7227902146956312E-3</v>
      </c>
      <c r="E8" s="857"/>
      <c r="F8" s="551">
        <v>3</v>
      </c>
      <c r="G8" s="679">
        <f>G$5*($B8-$B7*'E-views VAR impulse responses'!$E$4)+G$4*($C8-$C7*'E-views VAR impulse responses'!$E$4)</f>
        <v>-2.168889319036272E-3</v>
      </c>
      <c r="H8" s="553">
        <f>H$5*($B7-$B6*'E-views VAR impulse responses'!$E$4)+H$4*($C7-$C6*'E-views VAR impulse responses'!$E$4)</f>
        <v>-6.8918595879173495E-3</v>
      </c>
      <c r="I8" s="553">
        <f>I$5*$B6+I$4*$C6</f>
        <v>-5.2973461164374054E-3</v>
      </c>
      <c r="J8" s="566"/>
      <c r="K8" s="566"/>
      <c r="L8" s="566"/>
      <c r="M8" s="566"/>
      <c r="N8" s="566"/>
      <c r="O8" s="566"/>
      <c r="P8" s="565"/>
      <c r="Q8" s="557">
        <f t="shared" si="1"/>
        <v>-1.4358095023391027E-2</v>
      </c>
    </row>
    <row r="9" spans="1:20">
      <c r="A9" s="551">
        <v>4</v>
      </c>
      <c r="B9" s="576">
        <f>'E-views VAR impulse responses'!B13/'E-views VAR impulse responses'!$C$7</f>
        <v>-2.0332545968227502E-2</v>
      </c>
      <c r="C9" s="579">
        <f>'E-views VAR impulse responses'!G13/'E-views VAR impulse responses'!$H$7</f>
        <v>-3.7227902146956312E-3</v>
      </c>
      <c r="D9" s="568">
        <f t="shared" si="0"/>
        <v>-1.7095008478461394E-2</v>
      </c>
      <c r="E9" s="857"/>
      <c r="F9" s="551">
        <v>4</v>
      </c>
      <c r="G9" s="679">
        <f>G$5*($B9-$B8*'E-views VAR impulse responses'!$E$4)+G$4*($C9-$C8*'E-views VAR impulse responses'!$E$4)</f>
        <v>3.6942301721759377E-3</v>
      </c>
      <c r="H9" s="553">
        <f>H$5*($B8-$B7*'E-views VAR impulse responses'!$E$4)+H$4*($C8-$C7*'E-views VAR impulse responses'!$E$4)</f>
        <v>-8.3847386815395905E-4</v>
      </c>
      <c r="I9" s="553">
        <f>I$5*($B7-$B6*'E-views VAR impulse responses'!$E$4)+I$4*($C7-$C6*'E-views VAR impulse responses'!$E$4)</f>
        <v>-2.3881478393775191E-3</v>
      </c>
      <c r="J9" s="553">
        <f>J$5*$B6+J$4*$C6</f>
        <v>0</v>
      </c>
      <c r="K9" s="566"/>
      <c r="L9" s="566"/>
      <c r="M9" s="566"/>
      <c r="N9" s="566"/>
      <c r="O9" s="566"/>
      <c r="P9" s="565"/>
      <c r="Q9" s="557">
        <f t="shared" si="1"/>
        <v>4.6760846464445963E-4</v>
      </c>
    </row>
    <row r="10" spans="1:20">
      <c r="A10" s="551">
        <v>5</v>
      </c>
      <c r="B10" s="576">
        <f>'E-views VAR impulse responses'!B15/'E-views VAR impulse responses'!$C$7</f>
        <v>-1.8068871288962996E-2</v>
      </c>
      <c r="C10" s="579">
        <f>'E-views VAR impulse responses'!G15/'E-views VAR impulse responses'!$H$7</f>
        <v>-1.7095008478461394E-2</v>
      </c>
      <c r="D10" s="568">
        <f t="shared" si="0"/>
        <v>-1.0676785586063288E-2</v>
      </c>
      <c r="E10" s="857"/>
      <c r="F10" s="551">
        <v>5</v>
      </c>
      <c r="G10" s="679">
        <f>G$5*($B10-$B9*'E-views VAR impulse responses'!$E$4)+G$4*($C10-$C9*'E-views VAR impulse responses'!$E$4)</f>
        <v>1.90427340994646E-3</v>
      </c>
      <c r="H10" s="553">
        <f>H$5*($B9-$B8*'E-views VAR impulse responses'!$E$4)+H$4*($C9-$C8*'E-views VAR impulse responses'!$E$4)</f>
        <v>2.6776028737645619E-3</v>
      </c>
      <c r="I10" s="553">
        <f>I$5*($B8-$B7*'E-views VAR impulse responses'!$E$4)+I$4*($C8-$C7*'E-views VAR impulse responses'!$E$4)</f>
        <v>-2.6608309017646247E-3</v>
      </c>
      <c r="J10" s="553">
        <f>J$5*($B7-$B6*'E-views VAR impulse responses'!$E$4)+J$4*($C7-$C6*'E-views VAR impulse responses'!$E$4)</f>
        <v>0</v>
      </c>
      <c r="K10" s="553">
        <f>K$5*$B6+K$4*$C6</f>
        <v>0</v>
      </c>
      <c r="L10" s="566"/>
      <c r="M10" s="566"/>
      <c r="N10" s="566"/>
      <c r="O10" s="566"/>
      <c r="P10" s="565"/>
      <c r="Q10" s="557">
        <f t="shared" si="1"/>
        <v>1.9210453819463974E-3</v>
      </c>
    </row>
    <row r="11" spans="1:20">
      <c r="A11" s="551">
        <v>6</v>
      </c>
      <c r="B11" s="576">
        <f>'E-views VAR impulse responses'!B17/'E-views VAR impulse responses'!$C$7</f>
        <v>2.150201472835904E-2</v>
      </c>
      <c r="C11" s="579">
        <f>'E-views VAR impulse responses'!G17/'E-views VAR impulse responses'!$H$7</f>
        <v>-1.0676785586063288E-2</v>
      </c>
      <c r="D11" s="568">
        <f t="shared" si="0"/>
        <v>9.9200760023640273E-3</v>
      </c>
      <c r="E11" s="857"/>
      <c r="F11" s="551">
        <v>6</v>
      </c>
      <c r="G11" s="679">
        <f>G$5*($B11-$B10*'E-views VAR impulse responses'!$E$4)+G$4*($C11-$C10*'E-views VAR impulse responses'!$E$4)</f>
        <v>-5.3680815042781369E-3</v>
      </c>
      <c r="H11" s="553">
        <f>H$5*($B10-$B9*'E-views VAR impulse responses'!$E$4)+H$4*($C10-$C9*'E-views VAR impulse responses'!$E$4)</f>
        <v>1.00082984549831E-3</v>
      </c>
      <c r="I11" s="553">
        <f>I$5*($B9-$B8*'E-views VAR impulse responses'!$E$4)+I$4*($C9-$C8*'E-views VAR impulse responses'!$E$4)</f>
        <v>2.0332545968227505E-3</v>
      </c>
      <c r="J11" s="553">
        <f>J$5*($B8-$B7*'E-views VAR impulse responses'!$E$4)+J$4*($C8-$C7*'E-views VAR impulse responses'!$E$4)</f>
        <v>0</v>
      </c>
      <c r="K11" s="553">
        <f>K$5*($B7-$B6*'E-views VAR impulse responses'!$E$4)+K$4*($C7-$C6*'E-views VAR impulse responses'!$E$4)</f>
        <v>0</v>
      </c>
      <c r="L11" s="553">
        <f>L$5*$B6+L$4*$C6</f>
        <v>0</v>
      </c>
      <c r="M11" s="566"/>
      <c r="N11" s="566"/>
      <c r="O11" s="566"/>
      <c r="P11" s="565"/>
      <c r="Q11" s="557">
        <f t="shared" si="1"/>
        <v>-2.3339970619570762E-3</v>
      </c>
    </row>
    <row r="12" spans="1:20">
      <c r="A12" s="551">
        <v>7</v>
      </c>
      <c r="B12" s="576">
        <f>'E-views VAR impulse responses'!B19/'E-views VAR impulse responses'!$C$7</f>
        <v>4.3594553286091424E-3</v>
      </c>
      <c r="C12" s="579">
        <f>'E-views VAR impulse responses'!G19/'E-views VAR impulse responses'!$H$7</f>
        <v>9.9200760023640273E-3</v>
      </c>
      <c r="D12" s="568">
        <f t="shared" si="0"/>
        <v>1.4802786016890642E-2</v>
      </c>
      <c r="E12" s="857"/>
      <c r="F12" s="551">
        <v>7</v>
      </c>
      <c r="G12" s="679">
        <f>G$5*($B12-$B11*'E-views VAR impulse responses'!$E$4)+G$4*($C12-$C11*'E-views VAR impulse responses'!$E$4)</f>
        <v>1.2011653451457418E-4</v>
      </c>
      <c r="H12" s="553">
        <f>H$5*($B11-$B10*'E-views VAR impulse responses'!$E$4)+H$4*($C11-$C10*'E-views VAR impulse responses'!$E$4)</f>
        <v>-4.2929807678601844E-3</v>
      </c>
      <c r="I12" s="553">
        <f>I$5*($B10-$B9*'E-views VAR impulse responses'!$E$4)+I$4*($C10-$C9*'E-views VAR impulse responses'!$E$4)</f>
        <v>1.8068871288962997E-3</v>
      </c>
      <c r="J12" s="553">
        <f>J$5*($B9-$B8*'E-views VAR impulse responses'!$E$4)+J$4*($C9-$C8*'E-views VAR impulse responses'!$E$4)</f>
        <v>0</v>
      </c>
      <c r="K12" s="553">
        <f>K$5*($B8-$B7*'E-views VAR impulse responses'!$E$4)+K$4*($C8-$C7*'E-views VAR impulse responses'!$E$4)</f>
        <v>0</v>
      </c>
      <c r="L12" s="553">
        <f>L$5*($B7-$B6*'E-views VAR impulse responses'!$E$4)+L$4*($C7-$C6*'E-views VAR impulse responses'!$E$4)</f>
        <v>0</v>
      </c>
      <c r="M12" s="553">
        <f>M$5*$B6+M$4*$C6</f>
        <v>0</v>
      </c>
      <c r="N12" s="566"/>
      <c r="O12" s="566"/>
      <c r="P12" s="565"/>
      <c r="Q12" s="557">
        <f t="shared" si="1"/>
        <v>-2.3659771044493103E-3</v>
      </c>
    </row>
    <row r="13" spans="1:20">
      <c r="A13" s="551">
        <v>8</v>
      </c>
      <c r="B13" s="576">
        <f>'E-views VAR impulse responses'!B21/'E-views VAR impulse responses'!$C$7</f>
        <v>-1.4977305358714279E-2</v>
      </c>
      <c r="C13" s="579">
        <f>'E-views VAR impulse responses'!G21/'E-views VAR impulse responses'!$H$7</f>
        <v>1.4802786016890642E-2</v>
      </c>
      <c r="D13" s="568">
        <f t="shared" si="0"/>
        <v>-3.7780244908780592E-3</v>
      </c>
      <c r="E13" s="857"/>
      <c r="F13" s="551">
        <v>8</v>
      </c>
      <c r="G13" s="679">
        <f>G$5*($B13-$B12*'E-views VAR impulse responses'!$E$4)+G$4*($C13-$C12*'E-views VAR impulse responses'!$E$4)</f>
        <v>4.4757396734319208E-3</v>
      </c>
      <c r="H13" s="553">
        <f>H$5*($B12-$B11*'E-views VAR impulse responses'!$E$4)+H$4*($C12-$C11*'E-views VAR impulse responses'!$E$4)</f>
        <v>3.3808930094503134E-4</v>
      </c>
      <c r="I13" s="553">
        <f>I$5*($B11-$B10*'E-views VAR impulse responses'!$E$4)+I$4*($C11-$C10*'E-views VAR impulse responses'!$E$4)</f>
        <v>-2.1502014728359041E-3</v>
      </c>
      <c r="J13" s="553">
        <f>J$5*($B10-$B9*'E-views VAR impulse responses'!$E$4)+J$4*($C10-$C9*'E-views VAR impulse responses'!$E$4)</f>
        <v>0</v>
      </c>
      <c r="K13" s="553">
        <f>K$5*($B9-$B8*'E-views VAR impulse responses'!$E$4)+K$4*($C9-$C8*'E-views VAR impulse responses'!$E$4)</f>
        <v>0</v>
      </c>
      <c r="L13" s="553">
        <f>L$5*($B8-$B7*'E-views VAR impulse responses'!$E$4)+L$4*($C8-$C7*'E-views VAR impulse responses'!$E$4)</f>
        <v>0</v>
      </c>
      <c r="M13" s="553">
        <f>M$5*($B7-$B6*'E-views VAR impulse responses'!$E$4)+M$4*($C7-$C6*'E-views VAR impulse responses'!$E$4)</f>
        <v>0</v>
      </c>
      <c r="N13" s="553">
        <f>N$5*$B6+N$4*$C6</f>
        <v>0</v>
      </c>
      <c r="O13" s="566"/>
      <c r="P13" s="565"/>
      <c r="Q13" s="557">
        <f t="shared" si="1"/>
        <v>2.6636275015410483E-3</v>
      </c>
    </row>
    <row r="14" spans="1:20">
      <c r="A14" s="551">
        <v>9</v>
      </c>
      <c r="B14" s="576">
        <f>'E-views VAR impulse responses'!B23/'E-views VAR impulse responses'!$C$7</f>
        <v>-5.1178731879023675E-3</v>
      </c>
      <c r="C14" s="579">
        <f>'E-views VAR impulse responses'!G23/'E-views VAR impulse responses'!$H$7</f>
        <v>-3.7780244908780592E-3</v>
      </c>
      <c r="D14" s="568">
        <f t="shared" si="0"/>
        <v>-9.6273343385971585E-3</v>
      </c>
      <c r="E14" s="857"/>
      <c r="F14" s="551">
        <v>9</v>
      </c>
      <c r="G14" s="679">
        <f>G$5*($B14-$B13*'E-views VAR impulse responses'!$E$4)+G$4*($C14-$C13*'E-views VAR impulse responses'!$E$4)</f>
        <v>6.4577218849266762E-4</v>
      </c>
      <c r="H14" s="553">
        <f>H$5*($B13-$B12*'E-views VAR impulse responses'!$E$4)+H$4*($C13-$C12*'E-views VAR impulse responses'!$E$4)</f>
        <v>3.7268744054962059E-3</v>
      </c>
      <c r="I14" s="553">
        <f>I$5*($B12-$B11*'E-views VAR impulse responses'!$E$4)+I$4*($C12-$C11*'E-views VAR impulse responses'!$E$4)</f>
        <v>-4.3594553286091428E-4</v>
      </c>
      <c r="J14" s="553">
        <f>J$5*($B11-$B10*'E-views VAR impulse responses'!$E$4)+J$4*($C11-$C10*'E-views VAR impulse responses'!$E$4)</f>
        <v>0</v>
      </c>
      <c r="K14" s="553">
        <f>K$5*($B10-$B9*'E-views VAR impulse responses'!$E$4)+K$4*($C10-$C9*'E-views VAR impulse responses'!$E$4)</f>
        <v>0</v>
      </c>
      <c r="L14" s="553">
        <f>L$5*($B9-$B8*'E-views VAR impulse responses'!$E$4)+L$4*($C9-$C8*'E-views VAR impulse responses'!$E$4)</f>
        <v>0</v>
      </c>
      <c r="M14" s="553">
        <f>M$5*($B8-$B7*'E-views VAR impulse responses'!$E$4)+M$4*($C8-$C7*'E-views VAR impulse responses'!$E$4)</f>
        <v>0</v>
      </c>
      <c r="N14" s="553">
        <f>N$5*($B7-$B6*'E-views VAR impulse responses'!$E$4)+N$4*($C7-$C6*'E-views VAR impulse responses'!$E$4)</f>
        <v>0</v>
      </c>
      <c r="O14" s="553">
        <f>O$5*$B6+O$4*$C6</f>
        <v>0</v>
      </c>
      <c r="P14" s="565"/>
      <c r="Q14" s="557">
        <f t="shared" si="1"/>
        <v>3.9367010611279594E-3</v>
      </c>
    </row>
    <row r="15" spans="1:20" ht="13.5" thickBot="1">
      <c r="A15" s="552">
        <v>10</v>
      </c>
      <c r="B15" s="577">
        <f>'E-views VAR impulse responses'!B25/'E-views VAR impulse responses'!$C$7</f>
        <v>8.6899634106803753E-3</v>
      </c>
      <c r="C15" s="580">
        <f>'E-views VAR impulse responses'!G25/'E-views VAR impulse responses'!$H$7</f>
        <v>-9.6273343385971585E-3</v>
      </c>
      <c r="E15" s="858"/>
      <c r="F15" s="552">
        <v>10</v>
      </c>
      <c r="G15" s="680">
        <f>G$5*($B15-$B14*'E-views VAR impulse responses'!$E$4)+G$4*($C15-$C14*'E-views VAR impulse responses'!$E$4)</f>
        <v>-2.7007261159957907E-3</v>
      </c>
      <c r="H15" s="562">
        <f>H$5*($B14-$B13*'E-views VAR impulse responses'!$E$4)+H$4*($C14-$C13*'E-views VAR impulse responses'!$E$4)</f>
        <v>3.8987852909754911E-4</v>
      </c>
      <c r="I15" s="562">
        <f>I$5*($B13-$B12*'E-views VAR impulse responses'!$E$4)+I$4*($C13-$C12*'E-views VAR impulse responses'!$E$4)</f>
        <v>1.497730535871428E-3</v>
      </c>
      <c r="J15" s="562">
        <f>J$5*($B12-$B11*'E-views VAR impulse responses'!$E$4)+J$4*($C12-$C11*'E-views VAR impulse responses'!$E$4)</f>
        <v>0</v>
      </c>
      <c r="K15" s="562">
        <f>K$5*($B11-$B10*'E-views VAR impulse responses'!$E$4)+K$4*($C11-$C10*'E-views VAR impulse responses'!$E$4)</f>
        <v>0</v>
      </c>
      <c r="L15" s="562">
        <f>L$5*($B10-$B9*'E-views VAR impulse responses'!$E$4)+L$4*($C10-$C9*'E-views VAR impulse responses'!$E$4)</f>
        <v>0</v>
      </c>
      <c r="M15" s="562">
        <f>M$5*($B9-$B8*'E-views VAR impulse responses'!$E$4)+M$4*($C9-$C8*'E-views VAR impulse responses'!$E$4)</f>
        <v>0</v>
      </c>
      <c r="N15" s="562">
        <f>N$5*($B8-$B7*'E-views VAR impulse responses'!$E$4)+N$4*($C8-$C7*'E-views VAR impulse responses'!$E$4)</f>
        <v>0</v>
      </c>
      <c r="O15" s="562">
        <f>O$5*($B7-$B6*'E-views VAR impulse responses'!$E$4)+O$4*($C7-$C6*'E-views VAR impulse responses'!$E$4)</f>
        <v>0</v>
      </c>
      <c r="P15" s="563">
        <f>P$5*$B6+P$4*$C6</f>
        <v>0</v>
      </c>
      <c r="Q15" s="558">
        <f t="shared" si="1"/>
        <v>-8.1311705102681377E-4</v>
      </c>
    </row>
    <row r="16" spans="1:20" ht="15" customHeight="1">
      <c r="N16" s="791"/>
    </row>
    <row r="17" spans="3:16" ht="15" hidden="1" customHeight="1">
      <c r="N17" s="787">
        <f>N$5*($B10-$B9*'E-views VAR impulse responses'!$E$4)+N$4*($C10-$C9*'E-views VAR impulse responses'!$E$4)</f>
        <v>0</v>
      </c>
    </row>
    <row r="18" spans="3:16" ht="15" hidden="1" customHeight="1"/>
    <row r="19" spans="3:16" ht="13.5" thickBot="1"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spans="3:16" ht="29.45" customHeight="1" thickBot="1">
      <c r="D20" s="861" t="s">
        <v>2084</v>
      </c>
      <c r="E20" s="862"/>
      <c r="F20" s="863"/>
      <c r="G20" s="681">
        <f>G2</f>
        <v>2001</v>
      </c>
      <c r="H20" s="682">
        <f t="shared" ref="H20:P20" si="2">H2</f>
        <v>2002</v>
      </c>
      <c r="I20" s="682">
        <f t="shared" si="2"/>
        <v>2003</v>
      </c>
      <c r="J20" s="682" t="str">
        <f t="shared" si="2"/>
        <v/>
      </c>
      <c r="K20" s="682" t="str">
        <f t="shared" si="2"/>
        <v/>
      </c>
      <c r="L20" s="682" t="str">
        <f t="shared" si="2"/>
        <v/>
      </c>
      <c r="M20" s="682" t="str">
        <f t="shared" si="2"/>
        <v/>
      </c>
      <c r="N20" s="682" t="str">
        <f t="shared" si="2"/>
        <v/>
      </c>
      <c r="O20" s="682" t="str">
        <f t="shared" si="2"/>
        <v/>
      </c>
      <c r="P20" s="683" t="str">
        <f t="shared" si="2"/>
        <v/>
      </c>
    </row>
    <row r="21" spans="3:16" ht="42" customHeight="1" thickBot="1">
      <c r="C21" s="549"/>
      <c r="D21" s="864" t="s">
        <v>1238</v>
      </c>
      <c r="E21" s="865"/>
      <c r="F21" s="866"/>
      <c r="G21" s="684">
        <f>IF(ISTEXT(G20),"",IF(G3&gt;$G$24,0,Q6))</f>
        <v>-6.7724803210508092E-3</v>
      </c>
      <c r="H21" s="685">
        <f>IF(ISTEXT(H20),"",IF(H3&gt;$G$24,0,Q7))</f>
        <v>-1.2209740770438217E-2</v>
      </c>
      <c r="I21" s="685">
        <f>IF(ISTEXT(I20),"",IF(I3&gt;$G$24,0,Q8))</f>
        <v>-1.4358095023391027E-2</v>
      </c>
      <c r="J21" s="685" t="str">
        <f>IF(ISTEXT(J20),"",IF(J3&gt;$G$24,0,Q9))</f>
        <v/>
      </c>
      <c r="K21" s="685" t="str">
        <f>IF(ISTEXT(K20),"",IF(K3&gt;$G$24,0,Q10))</f>
        <v/>
      </c>
      <c r="L21" s="685" t="str">
        <f>IF(ISTEXT(L20),"",IF(L3&gt;$G$24,0,Q11))</f>
        <v/>
      </c>
      <c r="M21" s="685" t="str">
        <f>IF(ISTEXT(M20),"",IF(M3&gt;$G$24,0,Q12))</f>
        <v/>
      </c>
      <c r="N21" s="685" t="str">
        <f>IF(ISTEXT(N20),"",IF(N3&gt;$G$24,0,Q13))</f>
        <v/>
      </c>
      <c r="O21" s="685" t="str">
        <f>IF(ISTEXT(O20),"",IF(O3&gt;$G$24,0,Q14))</f>
        <v/>
      </c>
      <c r="P21" s="686" t="str">
        <f>IF(ISTEXT(P20),"",IF(P3&gt;$G$24,0,Q15))</f>
        <v/>
      </c>
    </row>
    <row r="23" spans="3:16" hidden="1">
      <c r="E23" t="s">
        <v>218</v>
      </c>
      <c r="G23">
        <f>IF(ABS(G5)&gt;0,G3+'internal parameters'!$B$9-1,0)</f>
        <v>3</v>
      </c>
      <c r="H23">
        <f>IF(ABS(H5)&gt;0,H3+'internal parameters'!$B$9-1,0)</f>
        <v>4</v>
      </c>
      <c r="I23">
        <f>IF(ABS(I5)&gt;0,I3+'internal parameters'!$B$9-1,0)</f>
        <v>5</v>
      </c>
      <c r="J23">
        <f>IF(ABS(J5)&gt;0,J3+'internal parameters'!$B$9-1,0)</f>
        <v>0</v>
      </c>
      <c r="K23">
        <f>IF(ABS(K5)&gt;0,K3+'internal parameters'!$B$9-1,0)</f>
        <v>0</v>
      </c>
      <c r="L23">
        <f>IF(ABS(L5)&gt;0,L3+'internal parameters'!$B$9-1,0)</f>
        <v>0</v>
      </c>
      <c r="M23">
        <f>IF(ABS(M5)&gt;0,M3+'internal parameters'!$B$9-1,0)</f>
        <v>0</v>
      </c>
      <c r="N23">
        <f>IF(ABS(N5)&gt;0,N3+'internal parameters'!$B$9-1,0)</f>
        <v>0</v>
      </c>
      <c r="O23">
        <f>IF(ABS(O5)&gt;0,O3+'internal parameters'!$B$9-1,0)</f>
        <v>0</v>
      </c>
      <c r="P23">
        <f>IF(ABS(P5)&gt;0,P3+'internal parameters'!$B$9-1,0)</f>
        <v>0</v>
      </c>
    </row>
    <row r="24" spans="3:16" hidden="1">
      <c r="E24" t="s">
        <v>2016</v>
      </c>
      <c r="G24">
        <f>MAX(G23:P23)</f>
        <v>5</v>
      </c>
    </row>
  </sheetData>
  <mergeCells count="10">
    <mergeCell ref="D21:F21"/>
    <mergeCell ref="B1:C3"/>
    <mergeCell ref="B4:B5"/>
    <mergeCell ref="C4:C5"/>
    <mergeCell ref="A1:A5"/>
    <mergeCell ref="E1:K1"/>
    <mergeCell ref="L1:N1"/>
    <mergeCell ref="E6:E15"/>
    <mergeCell ref="E2:E3"/>
    <mergeCell ref="D20:F20"/>
  </mergeCells>
  <pageMargins left="0.75" right="0.75" top="1" bottom="1" header="0.5" footer="0.5"/>
  <pageSetup orientation="portrait" horizontalDpi="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1"/>
  <dimension ref="A1:T26"/>
  <sheetViews>
    <sheetView zoomScale="73" workbookViewId="0">
      <selection activeCell="D33" sqref="D33"/>
    </sheetView>
  </sheetViews>
  <sheetFormatPr defaultRowHeight="12.75"/>
  <cols>
    <col min="1" max="1" width="8.85546875" style="175" customWidth="1"/>
    <col min="5" max="5" width="10.42578125" customWidth="1"/>
    <col min="6" max="6" width="6.7109375" customWidth="1"/>
    <col min="7" max="16" width="8" customWidth="1"/>
  </cols>
  <sheetData>
    <row r="1" spans="1:20" ht="45.6" customHeight="1" thickBot="1">
      <c r="A1" s="849" t="s">
        <v>1729</v>
      </c>
      <c r="B1" s="867" t="s">
        <v>213</v>
      </c>
      <c r="C1" s="868"/>
      <c r="D1" s="569"/>
      <c r="E1" s="852" t="s">
        <v>216</v>
      </c>
      <c r="F1" s="852"/>
      <c r="G1" s="852"/>
      <c r="H1" s="852"/>
      <c r="I1" s="852"/>
      <c r="J1" s="852"/>
      <c r="K1" s="853"/>
      <c r="L1" s="854" t="s">
        <v>2300</v>
      </c>
      <c r="M1" s="855"/>
      <c r="N1" s="856"/>
    </row>
    <row r="2" spans="1:20" ht="19.149999999999999" customHeight="1">
      <c r="A2" s="850"/>
      <c r="B2" s="869"/>
      <c r="C2" s="870"/>
      <c r="D2" s="569"/>
      <c r="E2" s="859" t="s">
        <v>2385</v>
      </c>
      <c r="F2" s="582" t="s">
        <v>2103</v>
      </c>
      <c r="G2" s="583">
        <f>IF('MACRO DATA'!E7&gt;0,'MACRO DATA'!E7,"")</f>
        <v>2001</v>
      </c>
      <c r="H2" s="584">
        <f>IF('MACRO DATA'!F7&gt;0,'MACRO DATA'!F7,"")</f>
        <v>2002</v>
      </c>
      <c r="I2" s="584">
        <f>IF('MACRO DATA'!G7&gt;0,'MACRO DATA'!G7,"")</f>
        <v>2003</v>
      </c>
      <c r="J2" s="559" t="str">
        <f>IF('MACRO DATA'!H7&gt;0,'MACRO DATA'!H7,"")</f>
        <v/>
      </c>
      <c r="K2" s="559" t="str">
        <f>IF('MACRO DATA'!I7&gt;0,'MACRO DATA'!I7,"")</f>
        <v/>
      </c>
      <c r="L2" s="559" t="str">
        <f>IF('MACRO DATA'!J7&gt;0,'MACRO DATA'!J7,"")</f>
        <v/>
      </c>
      <c r="M2" s="559" t="str">
        <f>IF('MACRO DATA'!K7&gt;0,'MACRO DATA'!K7,"")</f>
        <v/>
      </c>
      <c r="N2" s="559" t="str">
        <f>IF('MACRO DATA'!L7&gt;0,'MACRO DATA'!L7,"")</f>
        <v/>
      </c>
      <c r="O2" s="559" t="str">
        <f>IF('MACRO DATA'!M7&gt;0,'MACRO DATA'!M7,"")</f>
        <v/>
      </c>
      <c r="P2" s="560" t="str">
        <f>IF('MACRO DATA'!N7&gt;0,'MACRO DATA'!N7,"")</f>
        <v/>
      </c>
    </row>
    <row r="3" spans="1:20" ht="24.6" customHeight="1" thickBot="1">
      <c r="A3" s="850"/>
      <c r="B3" s="871"/>
      <c r="C3" s="872"/>
      <c r="D3" s="570"/>
      <c r="E3" s="860"/>
      <c r="F3" s="767" t="s">
        <v>1729</v>
      </c>
      <c r="G3" s="554">
        <v>1</v>
      </c>
      <c r="H3" s="555">
        <v>2</v>
      </c>
      <c r="I3" s="555">
        <v>3</v>
      </c>
      <c r="J3" s="555">
        <v>4</v>
      </c>
      <c r="K3" s="555">
        <v>5</v>
      </c>
      <c r="L3" s="555">
        <v>6</v>
      </c>
      <c r="M3" s="555">
        <v>7</v>
      </c>
      <c r="N3" s="555">
        <v>8</v>
      </c>
      <c r="O3" s="555">
        <v>9</v>
      </c>
      <c r="P3" s="561">
        <v>10</v>
      </c>
      <c r="Q3" s="94"/>
    </row>
    <row r="4" spans="1:20" ht="31.15" customHeight="1" thickBot="1">
      <c r="A4" s="850"/>
      <c r="B4" s="873" t="s">
        <v>2066</v>
      </c>
      <c r="C4" s="875" t="s">
        <v>2067</v>
      </c>
      <c r="E4" s="783" t="s">
        <v>2298</v>
      </c>
      <c r="F4" s="782">
        <v>1</v>
      </c>
      <c r="G4" s="785">
        <f>'VAR-based GDP growth adjustment'!G4</f>
        <v>0.1</v>
      </c>
      <c r="H4" s="784">
        <f>'VAR-based GDP growth adjustment'!H4</f>
        <v>0.1</v>
      </c>
      <c r="I4" s="784">
        <f>'VAR-based GDP growth adjustment'!I4</f>
        <v>0</v>
      </c>
      <c r="J4" s="784">
        <f>'VAR-based GDP growth adjustment'!J4</f>
        <v>0</v>
      </c>
      <c r="K4" s="784">
        <f>'VAR-based GDP growth adjustment'!K4</f>
        <v>0</v>
      </c>
      <c r="L4" s="784">
        <f>'VAR-based GDP growth adjustment'!L4</f>
        <v>0</v>
      </c>
      <c r="M4" s="784">
        <f>'VAR-based GDP growth adjustment'!M4</f>
        <v>0</v>
      </c>
      <c r="N4" s="784">
        <f>'VAR-based GDP growth adjustment'!N4</f>
        <v>0</v>
      </c>
      <c r="O4" s="784">
        <f>'VAR-based GDP growth adjustment'!O4</f>
        <v>0</v>
      </c>
      <c r="P4" s="786">
        <f>'VAR-based GDP growth adjustment'!P4</f>
        <v>0</v>
      </c>
      <c r="Q4" s="94"/>
      <c r="R4" s="94"/>
      <c r="S4" s="94"/>
      <c r="T4" s="94"/>
    </row>
    <row r="5" spans="1:20" ht="31.9" customHeight="1" thickBot="1">
      <c r="A5" s="851"/>
      <c r="B5" s="874"/>
      <c r="C5" s="876"/>
      <c r="D5" s="568">
        <f t="shared" ref="D5:D14" si="0">IF($L$1="TOT",B6,C6)</f>
        <v>0</v>
      </c>
      <c r="E5" s="779" t="s">
        <v>2297</v>
      </c>
      <c r="F5" s="781">
        <v>1</v>
      </c>
      <c r="G5" s="785">
        <f>'VAR-based GDP growth adjustment'!G5</f>
        <v>-0.2</v>
      </c>
      <c r="H5" s="784">
        <f>'VAR-based GDP growth adjustment'!H5</f>
        <v>-0.15</v>
      </c>
      <c r="I5" s="784">
        <f>'VAR-based GDP growth adjustment'!I5</f>
        <v>-0.1</v>
      </c>
      <c r="J5" s="784">
        <f>'VAR-based GDP growth adjustment'!J5</f>
        <v>0</v>
      </c>
      <c r="K5" s="784">
        <f>'VAR-based GDP growth adjustment'!K5</f>
        <v>0</v>
      </c>
      <c r="L5" s="784">
        <f>'VAR-based GDP growth adjustment'!L5</f>
        <v>0</v>
      </c>
      <c r="M5" s="784">
        <f>'VAR-based GDP growth adjustment'!M5</f>
        <v>0</v>
      </c>
      <c r="N5" s="784">
        <f>'VAR-based GDP growth adjustment'!N5</f>
        <v>0</v>
      </c>
      <c r="O5" s="784">
        <f>'VAR-based GDP growth adjustment'!O5</f>
        <v>0</v>
      </c>
      <c r="P5" s="786">
        <f>'VAR-based GDP growth adjustment'!P5</f>
        <v>0</v>
      </c>
      <c r="Q5" s="556" t="s">
        <v>2083</v>
      </c>
    </row>
    <row r="6" spans="1:20" ht="34.15" customHeight="1">
      <c r="A6" s="550">
        <v>1</v>
      </c>
      <c r="B6" s="575">
        <f>'E-views VAR impulse responses'!C7/'E-views VAR impulse responses'!$C$7</f>
        <v>1</v>
      </c>
      <c r="C6" s="578">
        <v>0</v>
      </c>
      <c r="D6" s="568">
        <f t="shared" si="0"/>
        <v>0</v>
      </c>
      <c r="E6" s="857" t="s">
        <v>2386</v>
      </c>
      <c r="F6" s="567">
        <v>1</v>
      </c>
      <c r="G6" s="678">
        <f>G$5*$B6+G$4*$C6</f>
        <v>-0.2</v>
      </c>
      <c r="H6" s="571"/>
      <c r="I6" s="572"/>
      <c r="J6" s="572"/>
      <c r="K6" s="572"/>
      <c r="L6" s="572"/>
      <c r="M6" s="572"/>
      <c r="N6" s="572"/>
      <c r="O6" s="572"/>
      <c r="P6" s="573"/>
      <c r="Q6" s="574">
        <f t="shared" ref="Q6:Q15" si="1">SUM(G6:P6)</f>
        <v>-0.2</v>
      </c>
    </row>
    <row r="7" spans="1:20">
      <c r="A7" s="551">
        <v>2</v>
      </c>
      <c r="B7" s="576">
        <f>'E-views VAR impulse responses'!C9/'E-views VAR impulse responses'!$C$7</f>
        <v>-0.19346023806215554</v>
      </c>
      <c r="C7" s="579">
        <v>0</v>
      </c>
      <c r="D7" s="568">
        <f t="shared" si="0"/>
        <v>0</v>
      </c>
      <c r="E7" s="857"/>
      <c r="F7" s="551">
        <v>2</v>
      </c>
      <c r="G7" s="679">
        <f>G$5*($B7-$B6*'E-views VAR impulse responses'!$E$4)+G$4*($C7-$C6*'E-views VAR impulse responses'!$E$4)</f>
        <v>3.8692047612431113E-2</v>
      </c>
      <c r="H7" s="553">
        <f>H$5*$B6+H$4*$C6</f>
        <v>-0.15</v>
      </c>
      <c r="I7" s="564"/>
      <c r="J7" s="564"/>
      <c r="K7" s="564"/>
      <c r="L7" s="564"/>
      <c r="M7" s="564"/>
      <c r="N7" s="564"/>
      <c r="O7" s="564"/>
      <c r="P7" s="565"/>
      <c r="Q7" s="557">
        <f t="shared" si="1"/>
        <v>-0.11130795238756888</v>
      </c>
    </row>
    <row r="8" spans="1:20">
      <c r="A8" s="551">
        <v>3</v>
      </c>
      <c r="B8" s="576">
        <f>'E-views VAR impulse responses'!C11/'E-views VAR impulse responses'!$C$7</f>
        <v>-0.42443610763744155</v>
      </c>
      <c r="C8" s="579">
        <v>0</v>
      </c>
      <c r="D8" s="568">
        <f t="shared" si="0"/>
        <v>0</v>
      </c>
      <c r="E8" s="857"/>
      <c r="F8" s="551">
        <v>3</v>
      </c>
      <c r="G8" s="679">
        <f>G$5*($B8-$B7*'E-views VAR impulse responses'!$E$4)+G$4*($C8-$C7*'E-views VAR impulse responses'!$E$4)</f>
        <v>8.4887221527488316E-2</v>
      </c>
      <c r="H8" s="553">
        <f>H$5*($B7-$B6*'E-views VAR impulse responses'!$E$4)+H$4*($C7-$C6*'E-views VAR impulse responses'!$E$4)</f>
        <v>2.9019035709323328E-2</v>
      </c>
      <c r="I8" s="553">
        <f>I$5*$B6+I$4*$C6</f>
        <v>-0.1</v>
      </c>
      <c r="J8" s="566"/>
      <c r="K8" s="566"/>
      <c r="L8" s="566"/>
      <c r="M8" s="566"/>
      <c r="N8" s="566"/>
      <c r="O8" s="566"/>
      <c r="P8" s="565"/>
      <c r="Q8" s="557">
        <f t="shared" si="1"/>
        <v>1.3906257236811631E-2</v>
      </c>
    </row>
    <row r="9" spans="1:20">
      <c r="A9" s="551">
        <v>4</v>
      </c>
      <c r="B9" s="576">
        <f>'E-views VAR impulse responses'!C13/'E-views VAR impulse responses'!$C$7</f>
        <v>9.5410124588949097E-3</v>
      </c>
      <c r="C9" s="579">
        <v>0</v>
      </c>
      <c r="D9" s="568">
        <f t="shared" si="0"/>
        <v>0</v>
      </c>
      <c r="E9" s="857"/>
      <c r="F9" s="551">
        <v>4</v>
      </c>
      <c r="G9" s="679">
        <f>G$5*($B9-$B8*'E-views VAR impulse responses'!$E$4)+G$4*($C9-$C8*'E-views VAR impulse responses'!$E$4)</f>
        <v>-1.908202491778982E-3</v>
      </c>
      <c r="H9" s="553">
        <f>H$5*($B8-$B7*'E-views VAR impulse responses'!$E$4)+H$4*($C8-$C7*'E-views VAR impulse responses'!$E$4)</f>
        <v>6.366541614561623E-2</v>
      </c>
      <c r="I9" s="553">
        <f>I$5*($B7-$B6*'E-views VAR impulse responses'!$E$4)+I$4*($C7-$C6*'E-views VAR impulse responses'!$E$4)</f>
        <v>1.9346023806215557E-2</v>
      </c>
      <c r="J9" s="553">
        <f>J$5*$B6+J$4*$C6</f>
        <v>0</v>
      </c>
      <c r="K9" s="566"/>
      <c r="L9" s="566"/>
      <c r="M9" s="566"/>
      <c r="N9" s="566"/>
      <c r="O9" s="566"/>
      <c r="P9" s="565"/>
      <c r="Q9" s="557">
        <f t="shared" si="1"/>
        <v>8.1103237460052796E-2</v>
      </c>
    </row>
    <row r="10" spans="1:20">
      <c r="A10" s="551">
        <v>5</v>
      </c>
      <c r="B10" s="576">
        <f>'E-views VAR impulse responses'!C15/'E-views VAR impulse responses'!$C$7</f>
        <v>0.12971261173637164</v>
      </c>
      <c r="C10" s="579">
        <v>0</v>
      </c>
      <c r="D10" s="568">
        <f t="shared" si="0"/>
        <v>0</v>
      </c>
      <c r="E10" s="857"/>
      <c r="F10" s="551">
        <v>5</v>
      </c>
      <c r="G10" s="679">
        <f>G$5*($B10-$B9*'E-views VAR impulse responses'!$E$4)+G$4*($C10-$C9*'E-views VAR impulse responses'!$E$4)</f>
        <v>-2.594252234727433E-2</v>
      </c>
      <c r="H10" s="553">
        <f>H$5*($B9-$B8*'E-views VAR impulse responses'!$E$4)+H$4*($C9-$C8*'E-views VAR impulse responses'!$E$4)</f>
        <v>-1.4311518688342364E-3</v>
      </c>
      <c r="I10" s="553">
        <f>I$5*($B8-$B7*'E-views VAR impulse responses'!$E$4)+I$4*($C8-$C7*'E-views VAR impulse responses'!$E$4)</f>
        <v>4.2443610763744158E-2</v>
      </c>
      <c r="J10" s="553">
        <f>J$5*($B7-$B6*'E-views VAR impulse responses'!$E$4)+J$4*($C7-$C6*'E-views VAR impulse responses'!$E$4)</f>
        <v>0</v>
      </c>
      <c r="K10" s="553">
        <f>K$5*$B6+K$4*$C6</f>
        <v>0</v>
      </c>
      <c r="L10" s="566"/>
      <c r="M10" s="566"/>
      <c r="N10" s="566"/>
      <c r="O10" s="566"/>
      <c r="P10" s="565"/>
      <c r="Q10" s="557">
        <f t="shared" si="1"/>
        <v>1.5069936547635592E-2</v>
      </c>
    </row>
    <row r="11" spans="1:20">
      <c r="A11" s="551">
        <v>6</v>
      </c>
      <c r="B11" s="576">
        <f>'E-views VAR impulse responses'!C17/'E-views VAR impulse responses'!$C$7</f>
        <v>-6.0256588393312036E-2</v>
      </c>
      <c r="C11" s="579">
        <v>0</v>
      </c>
      <c r="D11" s="568">
        <f t="shared" si="0"/>
        <v>0</v>
      </c>
      <c r="E11" s="857"/>
      <c r="F11" s="551">
        <v>6</v>
      </c>
      <c r="G11" s="679">
        <f>G$5*($B11-$B10*'E-views VAR impulse responses'!$E$4)+G$4*($C11-$C10*'E-views VAR impulse responses'!$E$4)</f>
        <v>1.2051317678662408E-2</v>
      </c>
      <c r="H11" s="553">
        <f>H$5*($B10-$B9*'E-views VAR impulse responses'!$E$4)+H$4*($C10-$C9*'E-views VAR impulse responses'!$E$4)</f>
        <v>-1.9456891760455744E-2</v>
      </c>
      <c r="I11" s="553">
        <f>I$5*($B9-$B8*'E-views VAR impulse responses'!$E$4)+I$4*($C9-$C8*'E-views VAR impulse responses'!$E$4)</f>
        <v>-9.5410124588949101E-4</v>
      </c>
      <c r="J11" s="553">
        <f>J$5*($B8-$B7*'E-views VAR impulse responses'!$E$4)+J$4*($C8-$C7*'E-views VAR impulse responses'!$E$4)</f>
        <v>0</v>
      </c>
      <c r="K11" s="553">
        <f>K$5*($B7-$B6*'E-views VAR impulse responses'!$E$4)+K$4*($C7-$C6*'E-views VAR impulse responses'!$E$4)</f>
        <v>0</v>
      </c>
      <c r="L11" s="553">
        <f>L$5*$B6+L$4*$C6</f>
        <v>0</v>
      </c>
      <c r="M11" s="566"/>
      <c r="N11" s="566"/>
      <c r="O11" s="566"/>
      <c r="P11" s="565"/>
      <c r="Q11" s="557">
        <f t="shared" si="1"/>
        <v>-8.3596753276828275E-3</v>
      </c>
    </row>
    <row r="12" spans="1:20">
      <c r="A12" s="551">
        <v>7</v>
      </c>
      <c r="B12" s="576">
        <f>'E-views VAR impulse responses'!C19/'E-views VAR impulse responses'!$C$7</f>
        <v>-1.5718354870084758E-2</v>
      </c>
      <c r="C12" s="579">
        <v>0</v>
      </c>
      <c r="D12" s="568">
        <f t="shared" si="0"/>
        <v>0</v>
      </c>
      <c r="E12" s="857"/>
      <c r="F12" s="551">
        <v>7</v>
      </c>
      <c r="G12" s="679">
        <f>G$5*($B12-$B11*'E-views VAR impulse responses'!$E$4)+G$4*($C12-$C11*'E-views VAR impulse responses'!$E$4)</f>
        <v>3.1436709740169516E-3</v>
      </c>
      <c r="H12" s="553">
        <f>H$5*($B11-$B10*'E-views VAR impulse responses'!$E$4)+H$4*($C11-$C10*'E-views VAR impulse responses'!$E$4)</f>
        <v>9.0384882589968057E-3</v>
      </c>
      <c r="I12" s="553">
        <f>I$5*($B10-$B9*'E-views VAR impulse responses'!$E$4)+I$4*($C10-$C9*'E-views VAR impulse responses'!$E$4)</f>
        <v>-1.2971261173637165E-2</v>
      </c>
      <c r="J12" s="553">
        <f>J$5*($B9-$B8*'E-views VAR impulse responses'!$E$4)+J$4*($C9-$C8*'E-views VAR impulse responses'!$E$4)</f>
        <v>0</v>
      </c>
      <c r="K12" s="553">
        <f>K$5*($B8-$B7*'E-views VAR impulse responses'!$E$4)+K$4*($C8-$C7*'E-views VAR impulse responses'!$E$4)</f>
        <v>0</v>
      </c>
      <c r="L12" s="553">
        <f>L$5*($B7-$B6*'E-views VAR impulse responses'!$E$4)+L$4*($C7-$C6*'E-views VAR impulse responses'!$E$4)</f>
        <v>0</v>
      </c>
      <c r="M12" s="553">
        <f>M$5*$B6+M$4*$C6</f>
        <v>0</v>
      </c>
      <c r="N12" s="566"/>
      <c r="O12" s="566"/>
      <c r="P12" s="565"/>
      <c r="Q12" s="557">
        <f t="shared" si="1"/>
        <v>-7.8910194062340767E-4</v>
      </c>
    </row>
    <row r="13" spans="1:20">
      <c r="A13" s="551">
        <v>8</v>
      </c>
      <c r="B13" s="576">
        <f>'E-views VAR impulse responses'!C21/'E-views VAR impulse responses'!$C$7</f>
        <v>7.2182853966930666E-2</v>
      </c>
      <c r="C13" s="579">
        <v>0</v>
      </c>
      <c r="D13" s="568">
        <f t="shared" si="0"/>
        <v>0</v>
      </c>
      <c r="E13" s="857"/>
      <c r="F13" s="551">
        <v>8</v>
      </c>
      <c r="G13" s="679">
        <f>G$5*($B13-$B12*'E-views VAR impulse responses'!$E$4)+G$4*($C13-$C12*'E-views VAR impulse responses'!$E$4)</f>
        <v>-1.4436570793386134E-2</v>
      </c>
      <c r="H13" s="553">
        <f>H$5*($B12-$B11*'E-views VAR impulse responses'!$E$4)+H$4*($C12-$C11*'E-views VAR impulse responses'!$E$4)</f>
        <v>2.3577532305127137E-3</v>
      </c>
      <c r="I13" s="553">
        <f>I$5*($B11-$B10*'E-views VAR impulse responses'!$E$4)+I$4*($C11-$C10*'E-views VAR impulse responses'!$E$4)</f>
        <v>6.0256588393312041E-3</v>
      </c>
      <c r="J13" s="553">
        <f>J$5*($B10-$B9*'E-views VAR impulse responses'!$E$4)+J$4*($C10-$C9*'E-views VAR impulse responses'!$E$4)</f>
        <v>0</v>
      </c>
      <c r="K13" s="553">
        <f>K$5*($B9-$B8*'E-views VAR impulse responses'!$E$4)+K$4*($C9-$C8*'E-views VAR impulse responses'!$E$4)</f>
        <v>0</v>
      </c>
      <c r="L13" s="553">
        <f>L$5*($B8-$B7*'E-views VAR impulse responses'!$E$4)+L$4*($C8-$C7*'E-views VAR impulse responses'!$E$4)</f>
        <v>0</v>
      </c>
      <c r="M13" s="553">
        <f>M$5*($B7-$B6*'E-views VAR impulse responses'!$E$4)+M$4*($C7-$C6*'E-views VAR impulse responses'!$E$4)</f>
        <v>0</v>
      </c>
      <c r="N13" s="553">
        <f>N$5*$B6+N$4*$C6</f>
        <v>0</v>
      </c>
      <c r="O13" s="566"/>
      <c r="P13" s="565"/>
      <c r="Q13" s="557">
        <f t="shared" si="1"/>
        <v>-6.053158723542216E-3</v>
      </c>
    </row>
    <row r="14" spans="1:20">
      <c r="A14" s="551">
        <v>9</v>
      </c>
      <c r="B14" s="576">
        <f>'E-views VAR impulse responses'!C23/'E-views VAR impulse responses'!$C$7</f>
        <v>-2.4199898105692189E-3</v>
      </c>
      <c r="C14" s="579">
        <v>0</v>
      </c>
      <c r="D14" s="568">
        <f t="shared" si="0"/>
        <v>-9.6273343385971585E-3</v>
      </c>
      <c r="E14" s="857"/>
      <c r="F14" s="551">
        <v>9</v>
      </c>
      <c r="G14" s="679">
        <f>G$5*($B14-$B13*'E-views VAR impulse responses'!$E$4)+G$4*($C14-$C13*'E-views VAR impulse responses'!$E$4)</f>
        <v>4.8399796211384379E-4</v>
      </c>
      <c r="H14" s="553">
        <f>H$5*($B13-$B12*'E-views VAR impulse responses'!$E$4)+H$4*($C13-$C12*'E-views VAR impulse responses'!$E$4)</f>
        <v>-1.08274280950396E-2</v>
      </c>
      <c r="I14" s="553">
        <f>I$5*($B12-$B11*'E-views VAR impulse responses'!$E$4)+I$4*($C12-$C11*'E-views VAR impulse responses'!$E$4)</f>
        <v>1.5718354870084758E-3</v>
      </c>
      <c r="J14" s="553">
        <f>J$5*($B11-$B10*'E-views VAR impulse responses'!$E$4)+J$4*($C11-$C10*'E-views VAR impulse responses'!$E$4)</f>
        <v>0</v>
      </c>
      <c r="K14" s="553">
        <f>K$5*($B10-$B9*'E-views VAR impulse responses'!$E$4)+K$4*($C10-$C9*'E-views VAR impulse responses'!$E$4)</f>
        <v>0</v>
      </c>
      <c r="L14" s="553">
        <f>L$5*($B9-$B8*'E-views VAR impulse responses'!$E$4)+L$4*($C9-$C8*'E-views VAR impulse responses'!$E$4)</f>
        <v>0</v>
      </c>
      <c r="M14" s="553">
        <f>M$5*($B8-$B7*'E-views VAR impulse responses'!$E$4)+M$4*($C8-$C7*'E-views VAR impulse responses'!$E$4)</f>
        <v>0</v>
      </c>
      <c r="N14" s="553">
        <f>N$5*($B7-$B6*'E-views VAR impulse responses'!$E$4)+N$4*($C7-$C6*'E-views VAR impulse responses'!$E$4)</f>
        <v>0</v>
      </c>
      <c r="O14" s="553">
        <f>O$5*$B6+O$4*$C6</f>
        <v>0</v>
      </c>
      <c r="P14" s="565"/>
      <c r="Q14" s="557">
        <f t="shared" si="1"/>
        <v>-8.7715946459172803E-3</v>
      </c>
    </row>
    <row r="15" spans="1:20" ht="13.5" thickBot="1">
      <c r="A15" s="552">
        <v>10</v>
      </c>
      <c r="B15" s="577">
        <f>'E-views VAR impulse responses'!C25/'E-views VAR impulse responses'!$C$7</f>
        <v>-4.7809272382011027E-2</v>
      </c>
      <c r="C15" s="580">
        <f>'E-views VAR impulse responses'!G25/'E-views VAR impulse responses'!$H$7</f>
        <v>-9.6273343385971585E-3</v>
      </c>
      <c r="E15" s="858"/>
      <c r="F15" s="552">
        <v>10</v>
      </c>
      <c r="G15" s="680">
        <f>G$5*($B15-$B14*'E-views VAR impulse responses'!$E$4)+G$4*($C15-$C14*'E-views VAR impulse responses'!$E$4)</f>
        <v>8.5991210425424899E-3</v>
      </c>
      <c r="H15" s="562">
        <f>H$5*($B14-$B13*'E-views VAR impulse responses'!$E$4)+H$4*($C14-$C13*'E-views VAR impulse responses'!$E$4)</f>
        <v>3.6299847158538284E-4</v>
      </c>
      <c r="I15" s="562">
        <f>I$5*($B13-$B12*'E-views VAR impulse responses'!$E$4)+I$4*($C13-$C12*'E-views VAR impulse responses'!$E$4)</f>
        <v>-7.2182853966930669E-3</v>
      </c>
      <c r="J15" s="562">
        <f>J$5*($B12-$B11*'E-views VAR impulse responses'!$E$4)+J$4*($C12-$C11*'E-views VAR impulse responses'!$E$4)</f>
        <v>0</v>
      </c>
      <c r="K15" s="562">
        <f>K$5*($B11-$B10*'E-views VAR impulse responses'!$E$4)+K$4*($C11-$C10*'E-views VAR impulse responses'!$E$4)</f>
        <v>0</v>
      </c>
      <c r="L15" s="562">
        <f>L$5*($B10-$B9*'E-views VAR impulse responses'!$E$4)+L$4*($C10-$C9*'E-views VAR impulse responses'!$E$4)</f>
        <v>0</v>
      </c>
      <c r="M15" s="562">
        <f>M$5*($B9-$B8*'E-views VAR impulse responses'!$E$4)+M$4*($C9-$C8*'E-views VAR impulse responses'!$E$4)</f>
        <v>0</v>
      </c>
      <c r="N15" s="562">
        <f>N$5*($B8-$B7*'E-views VAR impulse responses'!$E$4)+N$4*($C8-$C7*'E-views VAR impulse responses'!$E$4)</f>
        <v>0</v>
      </c>
      <c r="O15" s="562">
        <f>O$5*($B7-$B6*'E-views VAR impulse responses'!$E$4)+O$4*($C7-$C6*'E-views VAR impulse responses'!$E$4)</f>
        <v>0</v>
      </c>
      <c r="P15" s="563">
        <f>P$5*$B6+P$4*$C6</f>
        <v>0</v>
      </c>
      <c r="Q15" s="558">
        <f t="shared" si="1"/>
        <v>1.7438341174348063E-3</v>
      </c>
    </row>
    <row r="16" spans="1:20" ht="15" customHeight="1">
      <c r="N16" s="791"/>
    </row>
    <row r="17" spans="3:16" ht="15" customHeight="1">
      <c r="N17" s="791"/>
    </row>
    <row r="18" spans="3:16" ht="15" customHeight="1"/>
    <row r="19" spans="3:16" ht="13.5" thickBot="1"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spans="3:16" ht="29.45" customHeight="1" thickBot="1">
      <c r="D20" s="877" t="s">
        <v>2084</v>
      </c>
      <c r="E20" s="878"/>
      <c r="F20" s="879"/>
      <c r="G20" s="681">
        <f t="shared" ref="G20:P20" si="2">G2</f>
        <v>2001</v>
      </c>
      <c r="H20" s="682">
        <f t="shared" si="2"/>
        <v>2002</v>
      </c>
      <c r="I20" s="682">
        <f t="shared" si="2"/>
        <v>2003</v>
      </c>
      <c r="J20" s="682" t="str">
        <f t="shared" si="2"/>
        <v/>
      </c>
      <c r="K20" s="682" t="str">
        <f t="shared" si="2"/>
        <v/>
      </c>
      <c r="L20" s="682" t="str">
        <f t="shared" si="2"/>
        <v/>
      </c>
      <c r="M20" s="682" t="str">
        <f t="shared" si="2"/>
        <v/>
      </c>
      <c r="N20" s="682" t="str">
        <f t="shared" si="2"/>
        <v/>
      </c>
      <c r="O20" s="682" t="str">
        <f t="shared" si="2"/>
        <v/>
      </c>
      <c r="P20" s="683" t="str">
        <f t="shared" si="2"/>
        <v/>
      </c>
    </row>
    <row r="21" spans="3:16" ht="42" customHeight="1" thickBot="1">
      <c r="C21" s="549"/>
      <c r="D21" s="880" t="s">
        <v>214</v>
      </c>
      <c r="E21" s="881"/>
      <c r="F21" s="882"/>
      <c r="G21" s="684">
        <f>IF(ISTEXT(G20),"",IF(G3&gt;$G$24,0,Q6))</f>
        <v>-0.2</v>
      </c>
      <c r="H21" s="685">
        <f>IF(ISTEXT(H20),"",IF(H3&gt;$G$24,0,Q7))</f>
        <v>-0.11130795238756888</v>
      </c>
      <c r="I21" s="685">
        <f>IF(ISTEXT(I20),"",IF(I3&gt;$G$24,0,Q8))</f>
        <v>1.3906257236811631E-2</v>
      </c>
      <c r="J21" s="685" t="str">
        <f>IF(ISTEXT(J20),"",IF(J3&gt;$G$24,0,Q9))</f>
        <v/>
      </c>
      <c r="K21" s="685" t="str">
        <f>IF(ISTEXT(K20),"",IF(K3&gt;$G$24,0,Q10))</f>
        <v/>
      </c>
      <c r="L21" s="685" t="str">
        <f>IF(ISTEXT(L20),"",IF(L3&gt;$G$24,0,Q11))</f>
        <v/>
      </c>
      <c r="M21" s="685" t="str">
        <f>IF(ISTEXT(M20),"",IF(M3&gt;$G$24,0,Q12))</f>
        <v/>
      </c>
      <c r="N21" s="685" t="str">
        <f>IF(ISTEXT(N20),"",IF(N3&gt;$G$24,0,Q13))</f>
        <v/>
      </c>
      <c r="O21" s="685" t="str">
        <f>IF(ISTEXT(O20),"",IF(O3&gt;$G$24,0,Q14))</f>
        <v/>
      </c>
      <c r="P21" s="686" t="str">
        <f>IF(ISTEXT(P20),"",IF(P3&gt;$G$24,0,Q15))</f>
        <v/>
      </c>
    </row>
    <row r="23" spans="3:16" hidden="1"/>
    <row r="24" spans="3:16" hidden="1">
      <c r="G24">
        <f>'VAR-based GDP growth adjustment'!G24</f>
        <v>5</v>
      </c>
    </row>
    <row r="25" spans="3:16">
      <c r="D25" s="329" t="s">
        <v>222</v>
      </c>
      <c r="E25" s="329"/>
      <c r="F25" s="329"/>
      <c r="G25" s="329">
        <v>0</v>
      </c>
    </row>
    <row r="26" spans="3:16">
      <c r="D26" s="329" t="s">
        <v>223</v>
      </c>
      <c r="E26" s="329"/>
      <c r="F26" s="329"/>
      <c r="G26" s="329">
        <v>0.6</v>
      </c>
    </row>
  </sheetData>
  <mergeCells count="10">
    <mergeCell ref="L1:N1"/>
    <mergeCell ref="E6:E15"/>
    <mergeCell ref="E2:E3"/>
    <mergeCell ref="B1:C3"/>
    <mergeCell ref="B4:B5"/>
    <mergeCell ref="C4:C5"/>
    <mergeCell ref="A1:A5"/>
    <mergeCell ref="D20:F20"/>
    <mergeCell ref="D21:F21"/>
    <mergeCell ref="E1:K1"/>
  </mergeCells>
  <pageMargins left="0.75" right="0.75" top="1" bottom="1" header="0.5" footer="0.5"/>
  <pageSetup orientation="portrait" horizontalDpi="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11"/>
  <dimension ref="A1:T24"/>
  <sheetViews>
    <sheetView zoomScale="73" workbookViewId="0">
      <selection activeCell="D33" sqref="D33"/>
    </sheetView>
  </sheetViews>
  <sheetFormatPr defaultRowHeight="12.75"/>
  <cols>
    <col min="1" max="1" width="7.7109375" style="175" customWidth="1"/>
    <col min="3" max="3" width="11.7109375" customWidth="1"/>
    <col min="5" max="5" width="10.42578125" customWidth="1"/>
    <col min="6" max="6" width="6.7109375" customWidth="1"/>
    <col min="7" max="16" width="8" customWidth="1"/>
  </cols>
  <sheetData>
    <row r="1" spans="1:20" ht="45.6" customHeight="1" thickBot="1">
      <c r="A1" s="849" t="s">
        <v>1729</v>
      </c>
      <c r="B1" s="867" t="s">
        <v>215</v>
      </c>
      <c r="C1" s="868"/>
      <c r="D1" s="569"/>
      <c r="E1" s="852" t="s">
        <v>216</v>
      </c>
      <c r="F1" s="852"/>
      <c r="G1" s="852"/>
      <c r="H1" s="852"/>
      <c r="I1" s="852"/>
      <c r="J1" s="852"/>
      <c r="K1" s="853"/>
      <c r="L1" s="854" t="s">
        <v>2300</v>
      </c>
      <c r="M1" s="855"/>
      <c r="N1" s="856"/>
    </row>
    <row r="2" spans="1:20" ht="19.149999999999999" customHeight="1">
      <c r="A2" s="850"/>
      <c r="B2" s="869"/>
      <c r="C2" s="870"/>
      <c r="D2" s="569"/>
      <c r="E2" s="859" t="s">
        <v>2385</v>
      </c>
      <c r="F2" s="582" t="s">
        <v>2103</v>
      </c>
      <c r="G2" s="583">
        <f>IF('MACRO DATA'!E7&gt;0,'MACRO DATA'!E7,"")</f>
        <v>2001</v>
      </c>
      <c r="H2" s="584">
        <f>IF('MACRO DATA'!F7&gt;0,'MACRO DATA'!F7,"")</f>
        <v>2002</v>
      </c>
      <c r="I2" s="584">
        <f>IF('MACRO DATA'!G7&gt;0,'MACRO DATA'!G7,"")</f>
        <v>2003</v>
      </c>
      <c r="J2" s="559" t="str">
        <f>IF('MACRO DATA'!H7&gt;0,'MACRO DATA'!H7,"")</f>
        <v/>
      </c>
      <c r="K2" s="559" t="str">
        <f>IF('MACRO DATA'!I7&gt;0,'MACRO DATA'!I7,"")</f>
        <v/>
      </c>
      <c r="L2" s="559" t="str">
        <f>IF('MACRO DATA'!J7&gt;0,'MACRO DATA'!J7,"")</f>
        <v/>
      </c>
      <c r="M2" s="559" t="str">
        <f>IF('MACRO DATA'!K7&gt;0,'MACRO DATA'!K7,"")</f>
        <v/>
      </c>
      <c r="N2" s="559" t="str">
        <f>IF('MACRO DATA'!L7&gt;0,'MACRO DATA'!L7,"")</f>
        <v/>
      </c>
      <c r="O2" s="559" t="str">
        <f>IF('MACRO DATA'!M7&gt;0,'MACRO DATA'!M7,"")</f>
        <v/>
      </c>
      <c r="P2" s="560" t="str">
        <f>IF('MACRO DATA'!N7&gt;0,'MACRO DATA'!N7,"")</f>
        <v/>
      </c>
    </row>
    <row r="3" spans="1:20" ht="24.6" customHeight="1" thickBot="1">
      <c r="A3" s="850"/>
      <c r="B3" s="871"/>
      <c r="C3" s="872"/>
      <c r="D3" s="570"/>
      <c r="E3" s="860"/>
      <c r="F3" s="767" t="s">
        <v>1729</v>
      </c>
      <c r="G3" s="554">
        <v>1</v>
      </c>
      <c r="H3" s="555">
        <v>2</v>
      </c>
      <c r="I3" s="555">
        <v>3</v>
      </c>
      <c r="J3" s="555">
        <v>4</v>
      </c>
      <c r="K3" s="555">
        <v>5</v>
      </c>
      <c r="L3" s="555">
        <v>6</v>
      </c>
      <c r="M3" s="555">
        <v>7</v>
      </c>
      <c r="N3" s="555">
        <v>8</v>
      </c>
      <c r="O3" s="555">
        <v>9</v>
      </c>
      <c r="P3" s="561">
        <v>10</v>
      </c>
      <c r="Q3" s="94"/>
    </row>
    <row r="4" spans="1:20" ht="31.15" customHeight="1" thickBot="1">
      <c r="A4" s="850"/>
      <c r="B4" s="873" t="s">
        <v>2066</v>
      </c>
      <c r="C4" s="875" t="s">
        <v>2067</v>
      </c>
      <c r="E4" s="783" t="s">
        <v>2298</v>
      </c>
      <c r="F4" s="782">
        <v>1</v>
      </c>
      <c r="G4" s="785">
        <f>'VAR-based GDP growth adjustment'!G4</f>
        <v>0.1</v>
      </c>
      <c r="H4" s="784">
        <f>'VAR-based GDP growth adjustment'!H4</f>
        <v>0.1</v>
      </c>
      <c r="I4" s="784">
        <f>'VAR-based GDP growth adjustment'!I4</f>
        <v>0</v>
      </c>
      <c r="J4" s="784">
        <f>'VAR-based GDP growth adjustment'!J4</f>
        <v>0</v>
      </c>
      <c r="K4" s="784">
        <f>'VAR-based GDP growth adjustment'!K4</f>
        <v>0</v>
      </c>
      <c r="L4" s="784">
        <f>'VAR-based GDP growth adjustment'!L4</f>
        <v>0</v>
      </c>
      <c r="M4" s="784">
        <f>'VAR-based GDP growth adjustment'!M4</f>
        <v>0</v>
      </c>
      <c r="N4" s="784">
        <f>'VAR-based GDP growth adjustment'!N4</f>
        <v>0</v>
      </c>
      <c r="O4" s="784">
        <f>'VAR-based GDP growth adjustment'!O4</f>
        <v>0</v>
      </c>
      <c r="P4" s="786">
        <f>'VAR-based GDP growth adjustment'!P4</f>
        <v>0</v>
      </c>
      <c r="Q4" s="94"/>
      <c r="R4" s="94"/>
      <c r="S4" s="94"/>
      <c r="T4" s="94"/>
    </row>
    <row r="5" spans="1:20" ht="31.9" customHeight="1" thickBot="1">
      <c r="A5" s="851"/>
      <c r="B5" s="883"/>
      <c r="C5" s="884"/>
      <c r="D5" s="568">
        <f t="shared" ref="D5:D14" si="0">IF($L$1="TOT",B6,C6)</f>
        <v>1</v>
      </c>
      <c r="E5" s="779" t="s">
        <v>2297</v>
      </c>
      <c r="F5" s="781">
        <v>1</v>
      </c>
      <c r="G5" s="785">
        <f>'VAR-based GDP growth adjustment'!G5</f>
        <v>-0.2</v>
      </c>
      <c r="H5" s="784">
        <f>'VAR-based GDP growth adjustment'!H5</f>
        <v>-0.15</v>
      </c>
      <c r="I5" s="784">
        <f>'VAR-based GDP growth adjustment'!I5</f>
        <v>-0.1</v>
      </c>
      <c r="J5" s="784">
        <f>'VAR-based GDP growth adjustment'!J5</f>
        <v>0</v>
      </c>
      <c r="K5" s="784">
        <f>'VAR-based GDP growth adjustment'!K5</f>
        <v>0</v>
      </c>
      <c r="L5" s="784">
        <f>'VAR-based GDP growth adjustment'!L5</f>
        <v>0</v>
      </c>
      <c r="M5" s="784">
        <f>'VAR-based GDP growth adjustment'!M5</f>
        <v>0</v>
      </c>
      <c r="N5" s="784">
        <f>'VAR-based GDP growth adjustment'!N5</f>
        <v>0</v>
      </c>
      <c r="O5" s="784">
        <f>'VAR-based GDP growth adjustment'!O5</f>
        <v>0</v>
      </c>
      <c r="P5" s="786">
        <f>'VAR-based GDP growth adjustment'!P5</f>
        <v>0</v>
      </c>
      <c r="Q5" s="556" t="s">
        <v>2083</v>
      </c>
    </row>
    <row r="6" spans="1:20" ht="34.15" customHeight="1">
      <c r="A6" s="669">
        <v>1</v>
      </c>
      <c r="B6" s="707">
        <f>IF('E-views VAR impulse responses'!$D$3="Gov-t exp.",'E-views VAR impulse responses'!D7/'E-views VAR impulse responses'!$C$7,0)</f>
        <v>-0.50077578620721597</v>
      </c>
      <c r="C6" s="708">
        <f>'E-views VAR impulse responses'!H7/'E-views VAR impulse responses'!$H$7</f>
        <v>1</v>
      </c>
      <c r="D6" s="568">
        <f t="shared" si="0"/>
        <v>-0.35546018437201382</v>
      </c>
      <c r="E6" s="857" t="s">
        <v>2296</v>
      </c>
      <c r="F6" s="567">
        <v>1</v>
      </c>
      <c r="G6" s="678">
        <f>G$5*$B6+G$4*$C6</f>
        <v>0.2001551572414432</v>
      </c>
      <c r="H6" s="571"/>
      <c r="I6" s="572"/>
      <c r="J6" s="572"/>
      <c r="K6" s="572"/>
      <c r="L6" s="572"/>
      <c r="M6" s="572"/>
      <c r="N6" s="572"/>
      <c r="O6" s="572"/>
      <c r="P6" s="573"/>
      <c r="Q6" s="574">
        <f t="shared" ref="Q6:Q15" si="1">SUM(G6:P6)</f>
        <v>0.2001551572414432</v>
      </c>
    </row>
    <row r="7" spans="1:20">
      <c r="A7" s="662">
        <v>2</v>
      </c>
      <c r="B7" s="710">
        <f>IF('E-views VAR impulse responses'!$D$3="Gov-t exp.",'E-views VAR impulse responses'!D8/'E-views VAR impulse responses'!$C$7,0)</f>
        <v>-0.18010976795887176</v>
      </c>
      <c r="C7" s="579">
        <f>'E-views VAR impulse responses'!H9/'E-views VAR impulse responses'!$H$7</f>
        <v>-0.35546018437201382</v>
      </c>
      <c r="D7" s="568">
        <f t="shared" si="0"/>
        <v>-3.4604274028290992E-2</v>
      </c>
      <c r="E7" s="857"/>
      <c r="F7" s="551">
        <v>2</v>
      </c>
      <c r="G7" s="679">
        <f>G$5*($B7-$B6*'E-views VAR impulse responses'!$E$4)+G$4*($C7-$C6*'E-views VAR impulse responses'!$E$4)</f>
        <v>4.7593515457296925E-4</v>
      </c>
      <c r="H7" s="553">
        <f>H$5*$B6+H$4*$C6</f>
        <v>0.1751163679310824</v>
      </c>
      <c r="I7" s="564"/>
      <c r="J7" s="564"/>
      <c r="K7" s="564"/>
      <c r="L7" s="564"/>
      <c r="M7" s="564"/>
      <c r="N7" s="564"/>
      <c r="O7" s="564"/>
      <c r="P7" s="565"/>
      <c r="Q7" s="557">
        <f t="shared" si="1"/>
        <v>0.17559230308565538</v>
      </c>
    </row>
    <row r="8" spans="1:20">
      <c r="A8" s="662">
        <v>3</v>
      </c>
      <c r="B8" s="710">
        <f>IF('E-views VAR impulse responses'!$D$3="Gov-t exp.",'E-views VAR impulse responses'!D9/'E-views VAR impulse responses'!$C$7,0)</f>
        <v>0.141476772729378</v>
      </c>
      <c r="C8" s="579">
        <f>'E-views VAR impulse responses'!H11/'E-views VAR impulse responses'!$H$7</f>
        <v>-3.4604274028290992E-2</v>
      </c>
      <c r="D8" s="568">
        <f t="shared" si="0"/>
        <v>-0.18104138704314349</v>
      </c>
      <c r="E8" s="857"/>
      <c r="F8" s="551">
        <v>3</v>
      </c>
      <c r="G8" s="679">
        <f>G$5*($B8-$B7*'E-views VAR impulse responses'!$E$4)+G$4*($C8-$C7*'E-views VAR impulse responses'!$E$4)</f>
        <v>-3.1755781948704702E-2</v>
      </c>
      <c r="H8" s="553">
        <f>H$5*($B7-$B6*'E-views VAR impulse responses'!$E$4)+H$4*($C7-$C6*'E-views VAR impulse responses'!$E$4)</f>
        <v>-8.529553243370621E-3</v>
      </c>
      <c r="I8" s="553">
        <f>I$5*$B6+I$4*$C6</f>
        <v>5.0077578620721597E-2</v>
      </c>
      <c r="J8" s="566"/>
      <c r="K8" s="566"/>
      <c r="L8" s="566"/>
      <c r="M8" s="566"/>
      <c r="N8" s="566"/>
      <c r="O8" s="566"/>
      <c r="P8" s="565"/>
      <c r="Q8" s="557">
        <f t="shared" si="1"/>
        <v>9.7922434286462773E-3</v>
      </c>
    </row>
    <row r="9" spans="1:20">
      <c r="A9" s="662">
        <v>4</v>
      </c>
      <c r="B9" s="710">
        <f>IF('E-views VAR impulse responses'!$D$3="Gov-t exp.",'E-views VAR impulse responses'!D10/'E-views VAR impulse responses'!$C$7,0)</f>
        <v>-0.21235700060210272</v>
      </c>
      <c r="C9" s="579">
        <f>'E-views VAR impulse responses'!H13/'E-views VAR impulse responses'!$H$7</f>
        <v>-0.18104138704314349</v>
      </c>
      <c r="D9" s="568">
        <f t="shared" si="0"/>
        <v>6.3309527360298698E-2</v>
      </c>
      <c r="E9" s="857"/>
      <c r="F9" s="551">
        <v>4</v>
      </c>
      <c r="G9" s="679">
        <f>G$5*($B9-$B8*'E-views VAR impulse responses'!$E$4)+G$4*($C9-$C8*'E-views VAR impulse responses'!$E$4)</f>
        <v>2.4367261416106199E-2</v>
      </c>
      <c r="H9" s="553">
        <f>H$5*($B8-$B7*'E-views VAR impulse responses'!$E$4)+H$4*($C8-$C7*'E-views VAR impulse responses'!$E$4)</f>
        <v>-2.4681943312235798E-2</v>
      </c>
      <c r="I9" s="553">
        <f>I$5*($B7-$B6*'E-views VAR impulse responses'!$E$4)+I$4*($C7-$C6*'E-views VAR impulse responses'!$E$4)</f>
        <v>1.8010976795887177E-2</v>
      </c>
      <c r="J9" s="553">
        <f>J$5*$B6+J$4*$C6</f>
        <v>0</v>
      </c>
      <c r="K9" s="566"/>
      <c r="L9" s="566"/>
      <c r="M9" s="566"/>
      <c r="N9" s="566"/>
      <c r="O9" s="566"/>
      <c r="P9" s="565"/>
      <c r="Q9" s="557">
        <f t="shared" si="1"/>
        <v>1.7696294899757579E-2</v>
      </c>
    </row>
    <row r="10" spans="1:20">
      <c r="A10" s="662">
        <v>5</v>
      </c>
      <c r="B10" s="710">
        <f>IF('E-views VAR impulse responses'!$D$3="Gov-t exp.",'E-views VAR impulse responses'!D11/'E-views VAR impulse responses'!$C$7,0)</f>
        <v>0.43745657913019315</v>
      </c>
      <c r="C10" s="579">
        <f>'E-views VAR impulse responses'!H15/'E-views VAR impulse responses'!$H$7</f>
        <v>6.3309527360298698E-2</v>
      </c>
      <c r="D10" s="568">
        <f t="shared" si="0"/>
        <v>5.0986760343999064E-2</v>
      </c>
      <c r="E10" s="857"/>
      <c r="F10" s="551">
        <v>5</v>
      </c>
      <c r="G10" s="679">
        <f>G$5*($B10-$B9*'E-views VAR impulse responses'!$E$4)+G$4*($C10-$C9*'E-views VAR impulse responses'!$E$4)</f>
        <v>-8.1160363090008764E-2</v>
      </c>
      <c r="H10" s="553">
        <f>H$5*($B9-$B8*'E-views VAR impulse responses'!$E$4)+H$4*($C9-$C8*'E-views VAR impulse responses'!$E$4)</f>
        <v>1.3749411386001061E-2</v>
      </c>
      <c r="I10" s="553">
        <f>I$5*($B8-$B7*'E-views VAR impulse responses'!$E$4)+I$4*($C8-$C7*'E-views VAR impulse responses'!$E$4)</f>
        <v>-1.4147677272937802E-2</v>
      </c>
      <c r="J10" s="553">
        <f>J$5*($B7-$B6*'E-views VAR impulse responses'!$E$4)+J$4*($C7-$C6*'E-views VAR impulse responses'!$E$4)</f>
        <v>0</v>
      </c>
      <c r="K10" s="553">
        <f>K$5*$B6+K$4*$C6</f>
        <v>0</v>
      </c>
      <c r="L10" s="566"/>
      <c r="M10" s="566"/>
      <c r="N10" s="566"/>
      <c r="O10" s="566"/>
      <c r="P10" s="565"/>
      <c r="Q10" s="557">
        <f t="shared" si="1"/>
        <v>-8.1558628976945519E-2</v>
      </c>
    </row>
    <row r="11" spans="1:20">
      <c r="A11" s="662">
        <v>6</v>
      </c>
      <c r="B11" s="710">
        <f>IF('E-views VAR impulse responses'!$D$3="Gov-t exp.",'E-views VAR impulse responses'!D12/'E-views VAR impulse responses'!$C$7,0)</f>
        <v>-0.20425177157148813</v>
      </c>
      <c r="C11" s="579">
        <f>'E-views VAR impulse responses'!H17/'E-views VAR impulse responses'!$H$7</f>
        <v>5.0986760343999064E-2</v>
      </c>
      <c r="D11" s="568">
        <f t="shared" si="0"/>
        <v>4.9534098880401223E-2</v>
      </c>
      <c r="E11" s="857"/>
      <c r="F11" s="551">
        <v>6</v>
      </c>
      <c r="G11" s="679">
        <f>G$5*($B11-$B10*'E-views VAR impulse responses'!$E$4)+G$4*($C11-$C10*'E-views VAR impulse responses'!$E$4)</f>
        <v>4.5949030348697531E-2</v>
      </c>
      <c r="H11" s="553">
        <f>H$5*($B10-$B9*'E-views VAR impulse responses'!$E$4)+H$4*($C10-$C9*'E-views VAR impulse responses'!$E$4)</f>
        <v>-5.9287534133499097E-2</v>
      </c>
      <c r="I11" s="553">
        <f>I$5*($B9-$B8*'E-views VAR impulse responses'!$E$4)+I$4*($C9-$C8*'E-views VAR impulse responses'!$E$4)</f>
        <v>2.1235700060210274E-2</v>
      </c>
      <c r="J11" s="553">
        <f>J$5*($B8-$B7*'E-views VAR impulse responses'!$E$4)+J$4*($C8-$C7*'E-views VAR impulse responses'!$E$4)</f>
        <v>0</v>
      </c>
      <c r="K11" s="553">
        <f>K$5*($B7-$B6*'E-views VAR impulse responses'!$E$4)+K$4*($C7-$C6*'E-views VAR impulse responses'!$E$4)</f>
        <v>0</v>
      </c>
      <c r="L11" s="553">
        <f>L$5*$B6+L$4*$C6</f>
        <v>0</v>
      </c>
      <c r="M11" s="566"/>
      <c r="N11" s="566"/>
      <c r="O11" s="566"/>
      <c r="P11" s="565"/>
      <c r="Q11" s="557">
        <f t="shared" si="1"/>
        <v>7.8971962754087084E-3</v>
      </c>
    </row>
    <row r="12" spans="1:20">
      <c r="A12" s="662">
        <v>7</v>
      </c>
      <c r="B12" s="710">
        <f>IF('E-views VAR impulse responses'!$D$3="Gov-t exp.",'E-views VAR impulse responses'!D13/'E-views VAR impulse responses'!$C$7,0)</f>
        <v>0.1615140567829188</v>
      </c>
      <c r="C12" s="579">
        <f>'E-views VAR impulse responses'!H19/'E-views VAR impulse responses'!$H$7</f>
        <v>4.9534098880401223E-2</v>
      </c>
      <c r="D12" s="568">
        <f t="shared" si="0"/>
        <v>-3.7244472429811042E-2</v>
      </c>
      <c r="E12" s="857"/>
      <c r="F12" s="551">
        <v>7</v>
      </c>
      <c r="G12" s="679">
        <f>G$5*($B12-$B11*'E-views VAR impulse responses'!$E$4)+G$4*($C12-$C11*'E-views VAR impulse responses'!$E$4)</f>
        <v>-2.734940146854364E-2</v>
      </c>
      <c r="H12" s="553">
        <f>H$5*($B11-$B10*'E-views VAR impulse responses'!$E$4)+H$4*($C11-$C10*'E-views VAR impulse responses'!$E$4)</f>
        <v>3.5736441770123126E-2</v>
      </c>
      <c r="I12" s="553">
        <f>I$5*($B10-$B9*'E-views VAR impulse responses'!$E$4)+I$4*($C10-$C9*'E-views VAR impulse responses'!$E$4)</f>
        <v>-4.374565791301932E-2</v>
      </c>
      <c r="J12" s="553">
        <f>J$5*($B9-$B8*'E-views VAR impulse responses'!$E$4)+J$4*($C9-$C8*'E-views VAR impulse responses'!$E$4)</f>
        <v>0</v>
      </c>
      <c r="K12" s="553">
        <f>K$5*($B8-$B7*'E-views VAR impulse responses'!$E$4)+K$4*($C8-$C7*'E-views VAR impulse responses'!$E$4)</f>
        <v>0</v>
      </c>
      <c r="L12" s="553">
        <f>L$5*($B7-$B6*'E-views VAR impulse responses'!$E$4)+L$4*($C7-$C6*'E-views VAR impulse responses'!$E$4)</f>
        <v>0</v>
      </c>
      <c r="M12" s="553">
        <f>M$5*$B6+M$4*$C6</f>
        <v>0</v>
      </c>
      <c r="N12" s="566"/>
      <c r="O12" s="566"/>
      <c r="P12" s="565"/>
      <c r="Q12" s="557">
        <f t="shared" si="1"/>
        <v>-3.5358617611439838E-2</v>
      </c>
    </row>
    <row r="13" spans="1:20">
      <c r="A13" s="662">
        <v>8</v>
      </c>
      <c r="B13" s="710">
        <f>IF('E-views VAR impulse responses'!$D$3="Gov-t exp.",'E-views VAR impulse responses'!D14/'E-views VAR impulse responses'!$C$7,0)</f>
        <v>-0.22642536241952665</v>
      </c>
      <c r="C13" s="579">
        <f>'E-views VAR impulse responses'!H21/'E-views VAR impulse responses'!$H$7</f>
        <v>-3.7244472429811042E-2</v>
      </c>
      <c r="D13" s="568">
        <f t="shared" si="0"/>
        <v>-4.50380287991516E-2</v>
      </c>
      <c r="E13" s="857"/>
      <c r="F13" s="551">
        <v>8</v>
      </c>
      <c r="G13" s="679">
        <f>G$5*($B13-$B12*'E-views VAR impulse responses'!$E$4)+G$4*($C13-$C12*'E-views VAR impulse responses'!$E$4)</f>
        <v>4.1560625240924229E-2</v>
      </c>
      <c r="H13" s="553">
        <f>H$5*($B12-$B11*'E-views VAR impulse responses'!$E$4)+H$4*($C12-$C11*'E-views VAR impulse responses'!$E$4)</f>
        <v>-1.9273698629397696E-2</v>
      </c>
      <c r="I13" s="553">
        <f>I$5*($B11-$B10*'E-views VAR impulse responses'!$E$4)+I$4*($C11-$C10*'E-views VAR impulse responses'!$E$4)</f>
        <v>2.0425177157148814E-2</v>
      </c>
      <c r="J13" s="553">
        <f>J$5*($B10-$B9*'E-views VAR impulse responses'!$E$4)+J$4*($C10-$C9*'E-views VAR impulse responses'!$E$4)</f>
        <v>0</v>
      </c>
      <c r="K13" s="553">
        <f>K$5*($B9-$B8*'E-views VAR impulse responses'!$E$4)+K$4*($C9-$C8*'E-views VAR impulse responses'!$E$4)</f>
        <v>0</v>
      </c>
      <c r="L13" s="553">
        <f>L$5*($B8-$B7*'E-views VAR impulse responses'!$E$4)+L$4*($C8-$C7*'E-views VAR impulse responses'!$E$4)</f>
        <v>0</v>
      </c>
      <c r="M13" s="553">
        <f>M$5*($B7-$B6*'E-views VAR impulse responses'!$E$4)+M$4*($C7-$C6*'E-views VAR impulse responses'!$E$4)</f>
        <v>0</v>
      </c>
      <c r="N13" s="553">
        <f>N$5*$B6+N$4*$C6</f>
        <v>0</v>
      </c>
      <c r="O13" s="566"/>
      <c r="P13" s="565"/>
      <c r="Q13" s="557">
        <f t="shared" si="1"/>
        <v>4.2712103768675347E-2</v>
      </c>
    </row>
    <row r="14" spans="1:20">
      <c r="A14" s="662">
        <v>9</v>
      </c>
      <c r="B14" s="710">
        <f>IF('E-views VAR impulse responses'!$D$3="Gov-t exp.",'E-views VAR impulse responses'!D15/'E-views VAR impulse responses'!$C$7,0)</f>
        <v>-0.25613681626603679</v>
      </c>
      <c r="C14" s="579">
        <f>'E-views VAR impulse responses'!H23/'E-views VAR impulse responses'!$H$7</f>
        <v>-4.50380287991516E-2</v>
      </c>
      <c r="D14" s="568">
        <f t="shared" si="0"/>
        <v>-9.9974039890194256E-4</v>
      </c>
      <c r="E14" s="857"/>
      <c r="F14" s="551">
        <v>9</v>
      </c>
      <c r="G14" s="679">
        <f>G$5*($B14-$B13*'E-views VAR impulse responses'!$E$4)+G$4*($C14-$C13*'E-views VAR impulse responses'!$E$4)</f>
        <v>4.67235603732922E-2</v>
      </c>
      <c r="H14" s="553">
        <f>H$5*($B13-$B12*'E-views VAR impulse responses'!$E$4)+H$4*($C13-$C12*'E-views VAR impulse responses'!$E$4)</f>
        <v>3.0239357119947893E-2</v>
      </c>
      <c r="I14" s="553">
        <f>I$5*($B12-$B11*'E-views VAR impulse responses'!$E$4)+I$4*($C12-$C11*'E-views VAR impulse responses'!$E$4)</f>
        <v>-1.6151405678291882E-2</v>
      </c>
      <c r="J14" s="553">
        <f>J$5*($B11-$B10*'E-views VAR impulse responses'!$E$4)+J$4*($C11-$C10*'E-views VAR impulse responses'!$E$4)</f>
        <v>0</v>
      </c>
      <c r="K14" s="553">
        <f>K$5*($B10-$B9*'E-views VAR impulse responses'!$E$4)+K$4*($C10-$C9*'E-views VAR impulse responses'!$E$4)</f>
        <v>0</v>
      </c>
      <c r="L14" s="553">
        <f>L$5*($B9-$B8*'E-views VAR impulse responses'!$E$4)+L$4*($C9-$C8*'E-views VAR impulse responses'!$E$4)</f>
        <v>0</v>
      </c>
      <c r="M14" s="553">
        <f>M$5*($B8-$B7*'E-views VAR impulse responses'!$E$4)+M$4*($C8-$C7*'E-views VAR impulse responses'!$E$4)</f>
        <v>0</v>
      </c>
      <c r="N14" s="553">
        <f>N$5*($B7-$B6*'E-views VAR impulse responses'!$E$4)+N$4*($C7-$C6*'E-views VAR impulse responses'!$E$4)</f>
        <v>0</v>
      </c>
      <c r="O14" s="553">
        <f>O$5*$B6+O$4*$C6</f>
        <v>0</v>
      </c>
      <c r="P14" s="565"/>
      <c r="Q14" s="557">
        <f t="shared" si="1"/>
        <v>6.0811511814948212E-2</v>
      </c>
    </row>
    <row r="15" spans="1:20" ht="13.5" thickBot="1">
      <c r="A15" s="709">
        <v>10</v>
      </c>
      <c r="B15" s="711">
        <f>IF('E-views VAR impulse responses'!$D$3="Gov-t exp.",'E-views VAR impulse responses'!D16/'E-views VAR impulse responses'!$C$7,0)</f>
        <v>-0.19371497383168912</v>
      </c>
      <c r="C15" s="580">
        <f>'E-views VAR impulse responses'!H25/'E-views VAR impulse responses'!$H$7</f>
        <v>-9.9974039890194256E-4</v>
      </c>
      <c r="E15" s="858"/>
      <c r="F15" s="552">
        <v>10</v>
      </c>
      <c r="G15" s="680">
        <f>G$5*($B15-$B14*'E-views VAR impulse responses'!$E$4)+G$4*($C15-$C14*'E-views VAR impulse responses'!$E$4)</f>
        <v>3.8643020726447638E-2</v>
      </c>
      <c r="H15" s="562">
        <f>H$5*($B14-$B13*'E-views VAR impulse responses'!$E$4)+H$4*($C14-$C13*'E-views VAR impulse responses'!$E$4)</f>
        <v>3.3916719559990358E-2</v>
      </c>
      <c r="I15" s="562">
        <f>I$5*($B13-$B12*'E-views VAR impulse responses'!$E$4)+I$4*($C13-$C12*'E-views VAR impulse responses'!$E$4)</f>
        <v>2.2642536241952668E-2</v>
      </c>
      <c r="J15" s="562">
        <f>J$5*($B12-$B11*'E-views VAR impulse responses'!$E$4)+J$4*($C12-$C11*'E-views VAR impulse responses'!$E$4)</f>
        <v>0</v>
      </c>
      <c r="K15" s="562">
        <f>K$5*($B11-$B10*'E-views VAR impulse responses'!$E$4)+K$4*($C11-$C10*'E-views VAR impulse responses'!$E$4)</f>
        <v>0</v>
      </c>
      <c r="L15" s="562">
        <f>L$5*($B10-$B9*'E-views VAR impulse responses'!$E$4)+L$4*($C10-$C9*'E-views VAR impulse responses'!$E$4)</f>
        <v>0</v>
      </c>
      <c r="M15" s="562">
        <f>M$5*($B9-$B8*'E-views VAR impulse responses'!$E$4)+M$4*($C9-$C8*'E-views VAR impulse responses'!$E$4)</f>
        <v>0</v>
      </c>
      <c r="N15" s="562">
        <f>N$5*($B8-$B7*'E-views VAR impulse responses'!$E$4)+N$4*($C8-$C7*'E-views VAR impulse responses'!$E$4)</f>
        <v>0</v>
      </c>
      <c r="O15" s="562">
        <f>O$5*($B7-$B6*'E-views VAR impulse responses'!$E$4)+O$4*($C7-$C6*'E-views VAR impulse responses'!$E$4)</f>
        <v>0</v>
      </c>
      <c r="P15" s="563">
        <f>P$5*$B6+P$4*$C6</f>
        <v>0</v>
      </c>
      <c r="Q15" s="558">
        <f t="shared" si="1"/>
        <v>9.5202276528390667E-2</v>
      </c>
    </row>
    <row r="16" spans="1:20" ht="15" customHeight="1">
      <c r="N16" s="791"/>
    </row>
    <row r="17" spans="3:16" ht="15" customHeight="1">
      <c r="N17" s="791"/>
    </row>
    <row r="18" spans="3:16" ht="15" customHeight="1"/>
    <row r="19" spans="3:16" ht="13.5" thickBot="1"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spans="3:16" ht="29.45" customHeight="1" thickBot="1">
      <c r="D20" s="877" t="s">
        <v>2084</v>
      </c>
      <c r="E20" s="878"/>
      <c r="F20" s="879"/>
      <c r="G20" s="681">
        <f t="shared" ref="G20:P20" si="2">G2</f>
        <v>2001</v>
      </c>
      <c r="H20" s="682">
        <f t="shared" si="2"/>
        <v>2002</v>
      </c>
      <c r="I20" s="682">
        <f t="shared" si="2"/>
        <v>2003</v>
      </c>
      <c r="J20" s="682" t="str">
        <f t="shared" si="2"/>
        <v/>
      </c>
      <c r="K20" s="682" t="str">
        <f t="shared" si="2"/>
        <v/>
      </c>
      <c r="L20" s="682" t="str">
        <f t="shared" si="2"/>
        <v/>
      </c>
      <c r="M20" s="682" t="str">
        <f t="shared" si="2"/>
        <v/>
      </c>
      <c r="N20" s="682" t="str">
        <f t="shared" si="2"/>
        <v/>
      </c>
      <c r="O20" s="682" t="str">
        <f t="shared" si="2"/>
        <v/>
      </c>
      <c r="P20" s="683" t="str">
        <f t="shared" si="2"/>
        <v/>
      </c>
    </row>
    <row r="21" spans="3:16" ht="42" customHeight="1" thickBot="1">
      <c r="C21" s="549"/>
      <c r="D21" s="880" t="s">
        <v>217</v>
      </c>
      <c r="E21" s="881"/>
      <c r="F21" s="882"/>
      <c r="G21" s="684">
        <f>IF(ISTEXT(G20),"",IF(G3&gt;$G$24,0,Q6))</f>
        <v>0.2001551572414432</v>
      </c>
      <c r="H21" s="685">
        <f>IF(ISTEXT(H20),"",IF(H3&gt;$G$24,0,Q7))</f>
        <v>0.17559230308565538</v>
      </c>
      <c r="I21" s="685">
        <f>IF(ISTEXT(I20),"",IF(I3&gt;$G$24,0,Q8))</f>
        <v>9.7922434286462773E-3</v>
      </c>
      <c r="J21" s="685" t="str">
        <f>IF(ISTEXT(J20),"",IF(J3&gt;$G$24,0,Q9))</f>
        <v/>
      </c>
      <c r="K21" s="685" t="str">
        <f>IF(ISTEXT(K20),"",IF(K3&gt;$G$24,0,Q10))</f>
        <v/>
      </c>
      <c r="L21" s="685" t="str">
        <f>IF(ISTEXT(L20),"",IF(L3&gt;$G$24,0,Q11))</f>
        <v/>
      </c>
      <c r="M21" s="685" t="str">
        <f>IF(ISTEXT(M20),"",IF(M3&gt;$G$24,0,Q12))</f>
        <v/>
      </c>
      <c r="N21" s="685" t="str">
        <f>IF(ISTEXT(N20),"",IF(N3&gt;$G$24,0,Q13))</f>
        <v/>
      </c>
      <c r="O21" s="685" t="str">
        <f>IF(ISTEXT(O20),"",IF(O3&gt;$G$24,0,Q14))</f>
        <v/>
      </c>
      <c r="P21" s="686" t="str">
        <f>IF(ISTEXT(P20),"",IF(P3&gt;$G$24,0,Q15))</f>
        <v/>
      </c>
    </row>
    <row r="23" spans="3:16" hidden="1"/>
    <row r="24" spans="3:16" hidden="1">
      <c r="G24">
        <f>'VAR-based GDP growth adjustment'!G24</f>
        <v>5</v>
      </c>
    </row>
  </sheetData>
  <mergeCells count="10">
    <mergeCell ref="D21:F21"/>
    <mergeCell ref="B1:C3"/>
    <mergeCell ref="B4:B5"/>
    <mergeCell ref="C4:C5"/>
    <mergeCell ref="A1:A5"/>
    <mergeCell ref="E1:K1"/>
    <mergeCell ref="L1:N1"/>
    <mergeCell ref="E6:E15"/>
    <mergeCell ref="E2:E3"/>
    <mergeCell ref="D20:F20"/>
  </mergeCells>
  <pageMargins left="0.75" right="0.75" top="1" bottom="1" header="0.5" footer="0.5"/>
  <pageSetup orientation="portrait" horizontalDpi="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Q33"/>
  <sheetViews>
    <sheetView topLeftCell="A12" zoomScale="75" workbookViewId="0">
      <selection activeCell="B30" sqref="B30"/>
    </sheetView>
  </sheetViews>
  <sheetFormatPr defaultRowHeight="12.75"/>
  <cols>
    <col min="1" max="1" width="31.42578125" customWidth="1"/>
    <col min="2" max="2" width="10.7109375" style="175" customWidth="1"/>
    <col min="3" max="7" width="6.7109375" customWidth="1"/>
    <col min="8" max="8" width="9" customWidth="1"/>
    <col min="9" max="11" width="6.7109375" customWidth="1"/>
    <col min="12" max="12" width="6.140625" customWidth="1"/>
    <col min="13" max="20" width="6.7109375" customWidth="1"/>
  </cols>
  <sheetData>
    <row r="1" spans="1:12" ht="13.5" thickBot="1">
      <c r="A1" s="668" t="s">
        <v>2399</v>
      </c>
      <c r="B1" s="664"/>
      <c r="C1" s="908" t="s">
        <v>1228</v>
      </c>
      <c r="D1" s="909"/>
      <c r="E1" s="909"/>
      <c r="F1" s="909"/>
      <c r="G1" s="909"/>
      <c r="H1" s="909"/>
      <c r="I1" s="920" t="s">
        <v>238</v>
      </c>
      <c r="J1" s="921"/>
      <c r="K1" s="921"/>
      <c r="L1" s="922"/>
    </row>
    <row r="2" spans="1:12" ht="13.5" thickBot="1">
      <c r="A2" s="581" t="s">
        <v>2401</v>
      </c>
      <c r="B2" s="591" t="s">
        <v>2402</v>
      </c>
      <c r="C2" s="913" t="s">
        <v>1223</v>
      </c>
      <c r="D2" s="914"/>
      <c r="E2" s="914"/>
      <c r="F2" s="914"/>
      <c r="G2" s="914"/>
      <c r="H2" s="914"/>
      <c r="I2" s="923"/>
      <c r="J2" s="924"/>
      <c r="K2" s="924"/>
      <c r="L2" s="925"/>
    </row>
    <row r="3" spans="1:12">
      <c r="A3" s="589" t="s">
        <v>1227</v>
      </c>
      <c r="B3" s="550">
        <v>-1.5299999999999999E-2</v>
      </c>
      <c r="C3" s="910">
        <f>F19</f>
        <v>-0.22734714549999999</v>
      </c>
      <c r="D3" s="911"/>
      <c r="E3" s="911"/>
      <c r="F3" s="911"/>
      <c r="G3" s="911"/>
      <c r="H3" s="912"/>
      <c r="I3" s="885">
        <f>B3*C3</f>
        <v>3.4784113261499996E-3</v>
      </c>
      <c r="J3" s="886"/>
      <c r="K3" s="886"/>
      <c r="L3" s="887"/>
    </row>
    <row r="4" spans="1:12">
      <c r="A4" s="590" t="s">
        <v>2412</v>
      </c>
      <c r="B4" s="551">
        <v>4.0000000000000002E-4</v>
      </c>
      <c r="C4" s="888">
        <f t="shared" ref="C4:C11" si="0">F20</f>
        <v>0</v>
      </c>
      <c r="D4" s="889"/>
      <c r="E4" s="889"/>
      <c r="F4" s="889"/>
      <c r="G4" s="889"/>
      <c r="H4" s="890"/>
      <c r="I4" s="885">
        <f>B4*C4</f>
        <v>0</v>
      </c>
      <c r="J4" s="886"/>
      <c r="K4" s="886"/>
      <c r="L4" s="887"/>
    </row>
    <row r="5" spans="1:12">
      <c r="A5" s="590" t="s">
        <v>901</v>
      </c>
      <c r="B5" s="551">
        <v>-1.4E-3</v>
      </c>
      <c r="C5" s="891">
        <f t="shared" si="0"/>
        <v>-0.29740200700000002</v>
      </c>
      <c r="D5" s="892"/>
      <c r="E5" s="892"/>
      <c r="F5" s="892"/>
      <c r="G5" s="892"/>
      <c r="H5" s="893"/>
      <c r="I5" s="885">
        <f t="shared" ref="I5:I10" si="1">B5*C5</f>
        <v>4.1636280980000004E-4</v>
      </c>
      <c r="J5" s="886"/>
      <c r="K5" s="886"/>
      <c r="L5" s="887"/>
    </row>
    <row r="6" spans="1:12">
      <c r="A6" s="590" t="s">
        <v>902</v>
      </c>
      <c r="B6" s="551">
        <v>-8.6999999999999994E-3</v>
      </c>
      <c r="C6" s="891">
        <f t="shared" si="0"/>
        <v>-0.48183439150000001</v>
      </c>
      <c r="D6" s="892"/>
      <c r="E6" s="892"/>
      <c r="F6" s="892"/>
      <c r="G6" s="892"/>
      <c r="H6" s="893"/>
      <c r="I6" s="885">
        <f t="shared" si="1"/>
        <v>4.1919592060499994E-3</v>
      </c>
      <c r="J6" s="886"/>
      <c r="K6" s="886"/>
      <c r="L6" s="887"/>
    </row>
    <row r="7" spans="1:12">
      <c r="A7" s="590" t="s">
        <v>903</v>
      </c>
      <c r="B7" s="551">
        <v>2.9999999999999997E-4</v>
      </c>
      <c r="C7" s="888">
        <f t="shared" si="0"/>
        <v>0</v>
      </c>
      <c r="D7" s="889"/>
      <c r="E7" s="889"/>
      <c r="F7" s="889"/>
      <c r="G7" s="889"/>
      <c r="H7" s="890"/>
      <c r="I7" s="885">
        <f t="shared" si="1"/>
        <v>0</v>
      </c>
      <c r="J7" s="886"/>
      <c r="K7" s="886"/>
      <c r="L7" s="887"/>
    </row>
    <row r="8" spans="1:12">
      <c r="A8" s="590" t="s">
        <v>904</v>
      </c>
      <c r="B8" s="551">
        <v>5.4000000000000003E-3</v>
      </c>
      <c r="C8" s="888">
        <f t="shared" si="0"/>
        <v>0.69314718055994529</v>
      </c>
      <c r="D8" s="889"/>
      <c r="E8" s="889"/>
      <c r="F8" s="889"/>
      <c r="G8" s="889"/>
      <c r="H8" s="890"/>
      <c r="I8" s="885">
        <f t="shared" si="1"/>
        <v>3.7429947750237049E-3</v>
      </c>
      <c r="J8" s="886"/>
      <c r="K8" s="886"/>
      <c r="L8" s="887"/>
    </row>
    <row r="9" spans="1:12">
      <c r="A9" s="590" t="s">
        <v>905</v>
      </c>
      <c r="B9" s="551">
        <v>0.21215000000000001</v>
      </c>
      <c r="C9" s="891">
        <f t="shared" si="0"/>
        <v>0</v>
      </c>
      <c r="D9" s="892"/>
      <c r="E9" s="892"/>
      <c r="F9" s="892"/>
      <c r="G9" s="892"/>
      <c r="H9" s="893"/>
      <c r="I9" s="885">
        <f t="shared" si="1"/>
        <v>0</v>
      </c>
      <c r="J9" s="886"/>
      <c r="K9" s="886"/>
      <c r="L9" s="887"/>
    </row>
    <row r="10" spans="1:12">
      <c r="A10" s="590" t="s">
        <v>906</v>
      </c>
      <c r="B10" s="551">
        <v>-2.8999999999999998E-3</v>
      </c>
      <c r="C10" s="891">
        <f t="shared" si="0"/>
        <v>-3.7199999999999997E-2</v>
      </c>
      <c r="D10" s="892"/>
      <c r="E10" s="892"/>
      <c r="F10" s="892"/>
      <c r="G10" s="892"/>
      <c r="H10" s="893"/>
      <c r="I10" s="885">
        <f t="shared" si="1"/>
        <v>1.0787999999999999E-4</v>
      </c>
      <c r="J10" s="886"/>
      <c r="K10" s="886"/>
      <c r="L10" s="887"/>
    </row>
    <row r="11" spans="1:12" ht="13.5" thickBot="1">
      <c r="A11" s="766" t="s">
        <v>907</v>
      </c>
      <c r="B11" s="767">
        <v>2.1000000000000001E-2</v>
      </c>
      <c r="C11" s="936">
        <f t="shared" si="0"/>
        <v>0</v>
      </c>
      <c r="D11" s="937"/>
      <c r="E11" s="937"/>
      <c r="F11" s="937"/>
      <c r="G11" s="937"/>
      <c r="H11" s="938"/>
      <c r="I11" s="926">
        <f>B11*C11</f>
        <v>0</v>
      </c>
      <c r="J11" s="927"/>
      <c r="K11" s="927"/>
      <c r="L11" s="928"/>
    </row>
    <row r="12" spans="1:12" ht="13.5" thickBot="1">
      <c r="A12" s="581" t="s">
        <v>900</v>
      </c>
      <c r="B12" s="768"/>
      <c r="C12" s="939">
        <v>0</v>
      </c>
      <c r="D12" s="940"/>
      <c r="E12" s="940"/>
      <c r="F12" s="940"/>
      <c r="G12" s="940"/>
      <c r="H12" s="941"/>
      <c r="I12" s="942">
        <f>B12*C12</f>
        <v>0</v>
      </c>
      <c r="J12" s="943"/>
      <c r="K12" s="943"/>
      <c r="L12" s="944"/>
    </row>
    <row r="13" spans="1:12" ht="13.5" thickBot="1">
      <c r="A13" t="s">
        <v>911</v>
      </c>
      <c r="C13" s="915" t="s">
        <v>1226</v>
      </c>
      <c r="D13" s="852"/>
      <c r="E13" s="852"/>
      <c r="F13" s="852"/>
      <c r="G13" s="852"/>
      <c r="H13" s="852"/>
      <c r="I13" s="929">
        <f>SUM(I3:L11)-I12</f>
        <v>1.1937608117023704E-2</v>
      </c>
      <c r="J13" s="930"/>
      <c r="K13" s="930"/>
      <c r="L13" s="931"/>
    </row>
    <row r="14" spans="1:12">
      <c r="A14" t="s">
        <v>1230</v>
      </c>
      <c r="C14" s="540"/>
      <c r="D14" s="540"/>
      <c r="E14" s="540"/>
      <c r="F14" s="540"/>
      <c r="G14" s="540"/>
      <c r="H14" s="540"/>
      <c r="I14" s="540"/>
      <c r="J14" s="540"/>
    </row>
    <row r="15" spans="1:12">
      <c r="C15" s="540"/>
      <c r="D15" s="540"/>
      <c r="E15" s="540"/>
      <c r="F15" s="540"/>
      <c r="G15" s="540"/>
      <c r="H15" s="540"/>
      <c r="I15" s="540"/>
      <c r="J15" s="540"/>
    </row>
    <row r="16" spans="1:12">
      <c r="A16" t="s">
        <v>1224</v>
      </c>
      <c r="C16" s="540"/>
      <c r="D16" s="540"/>
      <c r="E16" s="540"/>
      <c r="F16" s="540"/>
      <c r="G16" s="540"/>
      <c r="H16" s="540"/>
      <c r="I16" s="540"/>
      <c r="J16" s="540"/>
    </row>
    <row r="17" spans="1:17" ht="13.5" thickBot="1">
      <c r="A17" s="164" t="s">
        <v>1222</v>
      </c>
      <c r="B17" s="593" t="str">
        <f>'MACRO DATA'!D2</f>
        <v>ZAMBIA</v>
      </c>
      <c r="C17" s="540"/>
      <c r="D17" s="777" t="s">
        <v>1228</v>
      </c>
      <c r="E17" s="778"/>
      <c r="F17" s="778"/>
      <c r="G17" s="778"/>
      <c r="H17" s="778"/>
      <c r="I17" s="778"/>
      <c r="J17" s="540"/>
    </row>
    <row r="18" spans="1:17" ht="16.5" thickBot="1">
      <c r="A18" s="591" t="s">
        <v>2422</v>
      </c>
      <c r="B18" s="591" t="s">
        <v>2404</v>
      </c>
      <c r="C18" s="540"/>
      <c r="D18" s="918" t="s">
        <v>237</v>
      </c>
      <c r="E18" s="919"/>
      <c r="F18" s="793" t="s">
        <v>1317</v>
      </c>
      <c r="G18" s="665"/>
      <c r="H18" s="540"/>
      <c r="I18" s="540"/>
      <c r="J18" s="540"/>
    </row>
    <row r="19" spans="1:17">
      <c r="A19" s="586" t="s">
        <v>1872</v>
      </c>
      <c r="B19" s="771">
        <v>0.45469429099999997</v>
      </c>
      <c r="C19" s="540"/>
      <c r="D19" s="932">
        <v>-0.5</v>
      </c>
      <c r="E19" s="933"/>
      <c r="F19" s="794">
        <f>B19*D19</f>
        <v>-0.22734714549999999</v>
      </c>
      <c r="G19" s="665"/>
      <c r="H19" s="666"/>
      <c r="I19" s="666"/>
      <c r="J19" s="540"/>
    </row>
    <row r="20" spans="1:17">
      <c r="A20" s="587" t="s">
        <v>1871</v>
      </c>
      <c r="B20" s="770">
        <v>16.399999999999999</v>
      </c>
      <c r="C20" s="540"/>
      <c r="D20" s="934">
        <v>0</v>
      </c>
      <c r="E20" s="935"/>
      <c r="F20" s="795">
        <f t="shared" ref="F20:F27" si="2">B20*D20</f>
        <v>0</v>
      </c>
    </row>
    <row r="21" spans="1:17">
      <c r="A21" s="587" t="s">
        <v>901</v>
      </c>
      <c r="B21" s="769">
        <v>0.59480401400000005</v>
      </c>
      <c r="C21" s="540"/>
      <c r="D21" s="916">
        <v>-0.5</v>
      </c>
      <c r="E21" s="917"/>
      <c r="F21" s="794">
        <f t="shared" si="2"/>
        <v>-0.29740200700000002</v>
      </c>
    </row>
    <row r="22" spans="1:17" ht="16.149999999999999" customHeight="1">
      <c r="A22" s="587" t="s">
        <v>908</v>
      </c>
      <c r="B22" s="769">
        <v>0.96366878300000003</v>
      </c>
      <c r="C22" s="540"/>
      <c r="D22" s="916">
        <v>-0.5</v>
      </c>
      <c r="E22" s="917"/>
      <c r="F22" s="794">
        <f t="shared" si="2"/>
        <v>-0.48183439150000001</v>
      </c>
    </row>
    <row r="23" spans="1:17">
      <c r="A23" s="587" t="s">
        <v>909</v>
      </c>
      <c r="B23" s="770">
        <v>25.860000230000001</v>
      </c>
      <c r="C23" s="540"/>
      <c r="D23" s="916">
        <v>0</v>
      </c>
      <c r="E23" s="917"/>
      <c r="F23" s="795">
        <f t="shared" si="2"/>
        <v>0</v>
      </c>
    </row>
    <row r="24" spans="1:17">
      <c r="A24" s="588" t="s">
        <v>910</v>
      </c>
      <c r="B24" s="775">
        <v>2.2304721230000002</v>
      </c>
      <c r="C24" s="540"/>
      <c r="D24" s="916">
        <v>1</v>
      </c>
      <c r="E24" s="917"/>
      <c r="F24" s="795">
        <f>LN(1+D24)</f>
        <v>0.69314718055994529</v>
      </c>
    </row>
    <row r="25" spans="1:17">
      <c r="A25" s="587" t="s">
        <v>905</v>
      </c>
      <c r="B25" s="776">
        <v>1.340571E-3</v>
      </c>
      <c r="C25" s="540"/>
      <c r="D25" s="900">
        <v>0</v>
      </c>
      <c r="E25" s="901"/>
      <c r="F25" s="794">
        <f t="shared" si="2"/>
        <v>0</v>
      </c>
    </row>
    <row r="26" spans="1:17">
      <c r="A26" s="587" t="s">
        <v>906</v>
      </c>
      <c r="B26" s="774">
        <v>7.4399999999999994E-2</v>
      </c>
      <c r="C26" s="540"/>
      <c r="D26" s="900">
        <v>-0.5</v>
      </c>
      <c r="E26" s="901"/>
      <c r="F26" s="794">
        <f t="shared" si="2"/>
        <v>-3.7199999999999997E-2</v>
      </c>
    </row>
    <row r="27" spans="1:17" ht="13.5" thickBot="1">
      <c r="A27" s="588" t="s">
        <v>907</v>
      </c>
      <c r="B27" s="772">
        <v>1.442104533</v>
      </c>
      <c r="C27" s="540"/>
      <c r="D27" s="902">
        <v>0</v>
      </c>
      <c r="E27" s="903"/>
      <c r="F27" s="796">
        <f t="shared" si="2"/>
        <v>0</v>
      </c>
      <c r="G27" s="665"/>
      <c r="H27" s="666"/>
      <c r="I27" s="666"/>
      <c r="J27" s="540"/>
    </row>
    <row r="28" spans="1:17" ht="13.5" thickBot="1">
      <c r="A28" s="641" t="s">
        <v>1225</v>
      </c>
      <c r="B28" s="773">
        <v>3</v>
      </c>
      <c r="C28" s="540"/>
      <c r="D28" s="792"/>
      <c r="E28" s="665"/>
      <c r="F28" s="665"/>
      <c r="G28" s="665"/>
      <c r="H28" s="667"/>
      <c r="I28" s="667"/>
      <c r="J28" s="540"/>
    </row>
    <row r="29" spans="1:17" ht="27.6" customHeight="1" thickBot="1">
      <c r="A29" t="s">
        <v>912</v>
      </c>
      <c r="B29" s="663"/>
      <c r="D29" s="665"/>
      <c r="F29" s="898" t="s">
        <v>219</v>
      </c>
      <c r="G29" s="899"/>
      <c r="H29" s="899"/>
      <c r="I29" s="899"/>
      <c r="J29" s="676">
        <f>'VAR-based GDP growth adjustment'!G24</f>
        <v>5</v>
      </c>
      <c r="K29" t="s">
        <v>220</v>
      </c>
    </row>
    <row r="30" spans="1:17" ht="27.6" customHeight="1" thickBot="1">
      <c r="B30" s="663"/>
      <c r="F30" s="896" t="s">
        <v>1232</v>
      </c>
      <c r="G30" s="897"/>
      <c r="H30" s="897"/>
      <c r="I30" s="897"/>
      <c r="J30" s="687">
        <v>4</v>
      </c>
      <c r="K30" t="s">
        <v>221</v>
      </c>
    </row>
    <row r="31" spans="1:17" ht="13.5" thickBot="1">
      <c r="A31" s="894" t="s">
        <v>1729</v>
      </c>
      <c r="B31" s="895"/>
      <c r="C31" s="644">
        <v>1</v>
      </c>
      <c r="D31" s="670">
        <v>2</v>
      </c>
      <c r="E31" s="670">
        <v>3</v>
      </c>
      <c r="F31" s="670">
        <v>4</v>
      </c>
      <c r="G31" s="670">
        <v>5</v>
      </c>
      <c r="H31" s="670">
        <v>6</v>
      </c>
      <c r="I31" s="670">
        <v>7</v>
      </c>
      <c r="J31" s="670">
        <v>8</v>
      </c>
      <c r="K31" s="670">
        <v>9</v>
      </c>
      <c r="L31" s="670">
        <v>10</v>
      </c>
      <c r="M31" s="670">
        <v>11</v>
      </c>
      <c r="N31" s="670">
        <v>12</v>
      </c>
      <c r="O31" s="670">
        <v>13</v>
      </c>
      <c r="P31" s="670">
        <v>14</v>
      </c>
      <c r="Q31" s="643">
        <v>15</v>
      </c>
    </row>
    <row r="32" spans="1:17" ht="18.600000000000001" customHeight="1" thickBot="1">
      <c r="A32" s="904" t="s">
        <v>1231</v>
      </c>
      <c r="B32" s="905"/>
      <c r="C32" s="674">
        <f>IF('MACRO DATA'!E7&gt;0,'MACRO DATA'!E7,"")</f>
        <v>2001</v>
      </c>
      <c r="D32" s="671">
        <f>IF('MACRO DATA'!F7&gt;0,'MACRO DATA'!F7,"")</f>
        <v>2002</v>
      </c>
      <c r="E32" s="671">
        <f>IF('MACRO DATA'!G7&gt;0,'MACRO DATA'!G7,"")</f>
        <v>2003</v>
      </c>
      <c r="F32" s="672" t="str">
        <f>IF('MACRO DATA'!H7&gt;0,'MACRO DATA'!H7,"")</f>
        <v/>
      </c>
      <c r="G32" s="672" t="str">
        <f>IF('MACRO DATA'!I7&gt;0,'MACRO DATA'!I7,"")</f>
        <v/>
      </c>
      <c r="H32" s="672" t="str">
        <f>IF('MACRO DATA'!J7&gt;0,'MACRO DATA'!J7,"")</f>
        <v/>
      </c>
      <c r="I32" s="672" t="str">
        <f>IF('MACRO DATA'!K7&gt;0,'MACRO DATA'!K7,"")</f>
        <v/>
      </c>
      <c r="J32" s="672" t="str">
        <f>IF('MACRO DATA'!L7&gt;0,'MACRO DATA'!L7,"")</f>
        <v/>
      </c>
      <c r="K32" s="672" t="str">
        <f>IF('MACRO DATA'!M7&gt;0,'MACRO DATA'!M7,"")</f>
        <v/>
      </c>
      <c r="L32" s="672" t="str">
        <f>IF('MACRO DATA'!N7&gt;0,'MACRO DATA'!N7,"")</f>
        <v/>
      </c>
      <c r="M32" s="672" t="str">
        <f>IF('MACRO DATA'!O7&gt;0,'MACRO DATA'!O7,"")</f>
        <v/>
      </c>
      <c r="N32" s="672" t="str">
        <f>IF('MACRO DATA'!P7&gt;0,'MACRO DATA'!P7,"")</f>
        <v/>
      </c>
      <c r="O32" s="672" t="str">
        <f>IF('MACRO DATA'!Q7&gt;0,'MACRO DATA'!Q7,"")</f>
        <v/>
      </c>
      <c r="P32" s="672" t="str">
        <f>IF('MACRO DATA'!R7&gt;0,'MACRO DATA'!R7,"")</f>
        <v/>
      </c>
      <c r="Q32" s="673" t="str">
        <f>IF('MACRO DATA'!S7&gt;0,'MACRO DATA'!S7,"")</f>
        <v/>
      </c>
    </row>
    <row r="33" spans="1:17" ht="35.450000000000003" customHeight="1" thickBot="1">
      <c r="A33" s="906"/>
      <c r="B33" s="907"/>
      <c r="C33" s="675">
        <f>IF(ISTEXT(C32),"",IF(C31&lt;$J29+1,'VAR-based GDP growth adjustment'!G21,'GDP growth GET REAL + VAR'!$I$13))</f>
        <v>-6.7724803210508092E-3</v>
      </c>
      <c r="D33" s="675">
        <f>IF(ISTEXT(D32),"",IF(D31&lt;$J29+1,'VAR-based GDP growth adjustment'!H21,'GDP growth GET REAL + VAR'!$I$13))</f>
        <v>-1.2209740770438217E-2</v>
      </c>
      <c r="E33" s="675">
        <f>IF(ISTEXT(E32),"",IF(E31&lt;$J29+1,'VAR-based GDP growth adjustment'!I21,'GDP growth GET REAL + VAR'!$I$13))</f>
        <v>-1.4358095023391027E-2</v>
      </c>
      <c r="F33" s="675" t="str">
        <f>IF(ISTEXT(F32),"",IF(F31&lt;$J29+1,'VAR-based GDP growth adjustment'!J21,'GDP growth GET REAL + VAR'!$I$13))</f>
        <v/>
      </c>
      <c r="G33" s="675" t="str">
        <f>IF(ISTEXT(G32),"",IF(G31&lt;$J29+1,'VAR-based GDP growth adjustment'!K21,'GDP growth GET REAL + VAR'!$I$13))</f>
        <v/>
      </c>
      <c r="H33" s="675" t="str">
        <f>IF(ISTEXT(H32),"",IF(H31&lt;$J29+1,'VAR-based GDP growth adjustment'!L21,'GDP growth GET REAL + VAR'!$I$13))</f>
        <v/>
      </c>
      <c r="I33" s="675" t="str">
        <f>IF(ISTEXT(I32),"",IF(I31&lt;$J29+1,'VAR-based GDP growth adjustment'!M21,'GDP growth GET REAL + VAR'!$I$13))</f>
        <v/>
      </c>
      <c r="J33" s="675" t="str">
        <f>IF(ISTEXT(J32),"",IF(J31&lt;$J29+1,'VAR-based GDP growth adjustment'!N21,'GDP growth GET REAL + VAR'!$I$13))</f>
        <v/>
      </c>
      <c r="K33" s="675" t="str">
        <f>IF(ISTEXT(K32),"",IF(K31&lt;$J29+1,'VAR-based GDP growth adjustment'!O21,'GDP growth GET REAL + VAR'!$I$13))</f>
        <v/>
      </c>
      <c r="L33" s="675" t="str">
        <f>IF(ISTEXT(L32),"",IF(L31&lt;$J29+1,'VAR-based GDP growth adjustment'!P21,'GDP growth GET REAL + VAR'!$I$13))</f>
        <v/>
      </c>
      <c r="M33" s="675" t="str">
        <f>IF(ISTEXT(M32),"",IF(M31&lt;$J29+1,'VAR-based GDP growth adjustment'!Q21,'GDP growth GET REAL + VAR'!$I$13))</f>
        <v/>
      </c>
      <c r="N33" s="675" t="str">
        <f>IF(ISTEXT(N32),"",IF(N31&lt;$J29+1,'VAR-based GDP growth adjustment'!R21,'GDP growth GET REAL + VAR'!$I$13))</f>
        <v/>
      </c>
      <c r="O33" s="675" t="str">
        <f>IF(ISTEXT(O32),"",IF(O31&lt;$J29+1,'VAR-based GDP growth adjustment'!S21,'GDP growth GET REAL + VAR'!$I$13))</f>
        <v/>
      </c>
      <c r="P33" s="675" t="str">
        <f>IF(ISTEXT(P32),"",IF(P31&lt;$J29+1,'VAR-based GDP growth adjustment'!T21,'GDP growth GET REAL + VAR'!$I$13))</f>
        <v/>
      </c>
      <c r="Q33" s="675" t="str">
        <f>IF(ISTEXT(Q32),"",IF(Q31&lt;$J29+1,'VAR-based GDP growth adjustment'!U21,'GDP growth GET REAL + VAR'!$I$13))</f>
        <v/>
      </c>
    </row>
  </sheetData>
  <mergeCells count="39">
    <mergeCell ref="I13:L13"/>
    <mergeCell ref="D19:E19"/>
    <mergeCell ref="D20:E20"/>
    <mergeCell ref="I9:L9"/>
    <mergeCell ref="C10:H10"/>
    <mergeCell ref="I10:L10"/>
    <mergeCell ref="C11:H11"/>
    <mergeCell ref="C12:H12"/>
    <mergeCell ref="I12:L12"/>
    <mergeCell ref="D21:E21"/>
    <mergeCell ref="D22:E22"/>
    <mergeCell ref="D18:E18"/>
    <mergeCell ref="I1:L2"/>
    <mergeCell ref="I3:L3"/>
    <mergeCell ref="I4:L4"/>
    <mergeCell ref="I7:L7"/>
    <mergeCell ref="I11:L11"/>
    <mergeCell ref="C9:H9"/>
    <mergeCell ref="I8:L8"/>
    <mergeCell ref="A32:B33"/>
    <mergeCell ref="C8:H8"/>
    <mergeCell ref="C1:H1"/>
    <mergeCell ref="C3:H3"/>
    <mergeCell ref="C2:H2"/>
    <mergeCell ref="C7:H7"/>
    <mergeCell ref="C13:H13"/>
    <mergeCell ref="D23:E23"/>
    <mergeCell ref="D24:E24"/>
    <mergeCell ref="D25:E25"/>
    <mergeCell ref="I5:L5"/>
    <mergeCell ref="C4:H4"/>
    <mergeCell ref="C5:H5"/>
    <mergeCell ref="C6:H6"/>
    <mergeCell ref="I6:L6"/>
    <mergeCell ref="A31:B31"/>
    <mergeCell ref="F30:I30"/>
    <mergeCell ref="F29:I29"/>
    <mergeCell ref="D26:E26"/>
    <mergeCell ref="D27:E27"/>
  </mergeCells>
  <pageMargins left="0.25" right="0.25" top="1" bottom="1" header="0.5" footer="0.5"/>
  <pageSetup scale="90" orientation="portrait" horizontalDpi="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"/>
  <dimension ref="A1:AZ150"/>
  <sheetViews>
    <sheetView zoomScaleNormal="115" workbookViewId="0">
      <pane xSplit="3" ySplit="1" topLeftCell="F2" activePane="bottomRight" state="frozen"/>
      <selection activeCell="F25" sqref="F25"/>
      <selection pane="topRight" activeCell="F25" sqref="F25"/>
      <selection pane="bottomLeft" activeCell="F25" sqref="F25"/>
      <selection pane="bottomRight" activeCell="H1" sqref="H1:AZ65536"/>
    </sheetView>
  </sheetViews>
  <sheetFormatPr defaultRowHeight="12.75"/>
  <cols>
    <col min="1" max="1" width="4.140625" customWidth="1"/>
    <col min="2" max="2" width="46.7109375" bestFit="1" customWidth="1"/>
    <col min="3" max="3" width="14.7109375" style="64" customWidth="1"/>
    <col min="4" max="4" width="11" bestFit="1" customWidth="1"/>
    <col min="5" max="6" width="7.7109375" customWidth="1"/>
    <col min="7" max="7" width="7.7109375" style="131" customWidth="1"/>
    <col min="8" max="8" width="9.7109375" style="615" hidden="1" customWidth="1"/>
    <col min="9" max="17" width="8.5703125" style="621" hidden="1" customWidth="1"/>
    <col min="18" max="52" width="8.85546875" hidden="1" customWidth="1"/>
  </cols>
  <sheetData>
    <row r="1" spans="2:52" ht="30" customHeight="1" thickBot="1">
      <c r="B1" s="594" t="s">
        <v>1229</v>
      </c>
      <c r="C1" s="595">
        <f>'internal parameters'!B8</f>
        <v>1</v>
      </c>
      <c r="D1" s="66"/>
      <c r="E1" s="543"/>
      <c r="G1" s="592"/>
      <c r="H1" s="162"/>
      <c r="I1" s="614"/>
      <c r="J1" s="614"/>
      <c r="K1" s="614"/>
      <c r="L1" s="614"/>
      <c r="M1" s="614"/>
      <c r="N1" s="614"/>
      <c r="O1" s="614"/>
      <c r="P1" s="614"/>
      <c r="Q1" s="614"/>
    </row>
    <row r="2" spans="2:52">
      <c r="B2" s="148">
        <f>'MACRO DATA'!F3</f>
        <v>36993</v>
      </c>
      <c r="C2" s="613" t="s">
        <v>2464</v>
      </c>
      <c r="D2" s="24">
        <f>'MACRO DATA'!D7</f>
        <v>2000</v>
      </c>
      <c r="E2" s="24">
        <f>'MACRO DATA'!E7</f>
        <v>2001</v>
      </c>
      <c r="F2" s="24">
        <f>'MACRO DATA'!F7</f>
        <v>2002</v>
      </c>
      <c r="G2" s="24">
        <f>'MACRO DATA'!G7</f>
        <v>2003</v>
      </c>
      <c r="H2" s="24">
        <f>'MACRO DATA'!H7</f>
        <v>0</v>
      </c>
      <c r="I2" s="24">
        <f>'MACRO DATA'!I7</f>
        <v>0</v>
      </c>
      <c r="J2" s="24">
        <f>'MACRO DATA'!J7</f>
        <v>0</v>
      </c>
      <c r="K2" s="24">
        <f>'MACRO DATA'!K7</f>
        <v>0</v>
      </c>
      <c r="L2" s="24">
        <f>'MACRO DATA'!L7</f>
        <v>0</v>
      </c>
      <c r="M2" s="24">
        <f>'MACRO DATA'!M7</f>
        <v>0</v>
      </c>
      <c r="N2" s="24">
        <f>'MACRO DATA'!N7</f>
        <v>0</v>
      </c>
      <c r="O2" s="24">
        <f>'MACRO DATA'!O7</f>
        <v>0</v>
      </c>
      <c r="P2" s="24">
        <f>'MACRO DATA'!P7</f>
        <v>0</v>
      </c>
      <c r="Q2" s="24">
        <f>'MACRO DATA'!Q7</f>
        <v>0</v>
      </c>
    </row>
    <row r="3" spans="2:52" ht="25.15" customHeight="1">
      <c r="B3" s="35" t="s">
        <v>1497</v>
      </c>
      <c r="C3" s="60"/>
      <c r="I3" s="130"/>
      <c r="J3" s="130"/>
      <c r="K3" s="130"/>
      <c r="L3" s="130"/>
      <c r="M3" s="130"/>
      <c r="N3" s="130"/>
      <c r="O3" s="130"/>
      <c r="P3" s="130"/>
      <c r="Q3" s="130"/>
    </row>
    <row r="4" spans="2:52">
      <c r="B4" s="2" t="s">
        <v>2052</v>
      </c>
      <c r="C4" s="61" t="s">
        <v>1498</v>
      </c>
      <c r="D4" s="67">
        <f>'MACRO DATA'!D9</f>
        <v>3.5999999999999997E-2</v>
      </c>
      <c r="E4" s="67">
        <f>IF($C$1=1,'GDP growth GET REAL + VAR'!C33+'MACRO DATA'!E9,'MACRO DATA'!E9)</f>
        <v>4.3227519678949194E-2</v>
      </c>
      <c r="F4" s="67">
        <f>IF($C$1=1,'GDP growth GET REAL + VAR'!D33+'MACRO DATA'!F9,'MACRO DATA'!F9)</f>
        <v>3.7790259229561786E-2</v>
      </c>
      <c r="G4" s="67">
        <f>IF($C$1=1,'GDP growth GET REAL + VAR'!E33+'MACRO DATA'!G9,'MACRO DATA'!G9)</f>
        <v>4.0641904976608974E-2</v>
      </c>
      <c r="H4" s="67" t="e">
        <f>IF($C$1=1,'GDP growth GET REAL + VAR'!F33+'MACRO DATA'!H9,'MACRO DATA'!H9)</f>
        <v>#VALUE!</v>
      </c>
      <c r="I4" s="67" t="e">
        <f>IF($C$1=1,'GDP growth GET REAL + VAR'!G33+'MACRO DATA'!I9,'MACRO DATA'!I9)</f>
        <v>#VALUE!</v>
      </c>
      <c r="J4" s="67" t="e">
        <f>IF($C$1=1,'GDP growth GET REAL + VAR'!H33+'MACRO DATA'!J9,'MACRO DATA'!J9)</f>
        <v>#VALUE!</v>
      </c>
      <c r="K4" s="67" t="e">
        <f>IF($C$1=1,'GDP growth GET REAL + VAR'!I33+'MACRO DATA'!K9,'MACRO DATA'!K9)</f>
        <v>#VALUE!</v>
      </c>
      <c r="L4" s="67" t="e">
        <f>IF($C$1=1,'GDP growth GET REAL + VAR'!J33+'MACRO DATA'!L9,'MACRO DATA'!L9)</f>
        <v>#VALUE!</v>
      </c>
      <c r="M4" s="67" t="e">
        <f>IF($C$1=1,'GDP growth GET REAL + VAR'!K33+'MACRO DATA'!M9,'MACRO DATA'!M9)</f>
        <v>#VALUE!</v>
      </c>
      <c r="N4" s="67" t="e">
        <f>IF($C$1=1,'GDP growth GET REAL + VAR'!L33+'MACRO DATA'!N9,'MACRO DATA'!N9)</f>
        <v>#VALUE!</v>
      </c>
      <c r="O4" s="67" t="e">
        <f>IF($C$1=1,'GDP growth GET REAL + VAR'!M33+'MACRO DATA'!O9,'MACRO DATA'!O9)</f>
        <v>#VALUE!</v>
      </c>
      <c r="P4" s="67" t="e">
        <f>IF($C$1=1,'GDP growth GET REAL + VAR'!N33+'MACRO DATA'!P9,'MACRO DATA'!P9)</f>
        <v>#VALUE!</v>
      </c>
      <c r="Q4" s="67" t="e">
        <f>IF($C$1=1,'GDP growth GET REAL + VAR'!O33+'MACRO DATA'!Q9,'MACRO DATA'!Q9)</f>
        <v>#VALUE!</v>
      </c>
    </row>
    <row r="5" spans="2:52">
      <c r="B5" s="80" t="s">
        <v>1499</v>
      </c>
      <c r="C5" s="81" t="s">
        <v>1498</v>
      </c>
      <c r="D5" s="82">
        <f>'MACRO DATA'!D10</f>
        <v>0.27900000000000003</v>
      </c>
      <c r="E5" s="82">
        <f>'MACRO DATA'!E10</f>
        <v>0.249</v>
      </c>
      <c r="F5" s="82">
        <f>'MACRO DATA'!F10</f>
        <v>0.17199999999999999</v>
      </c>
      <c r="G5" s="120">
        <f>'MACRO DATA'!G10</f>
        <v>0.13300000000000001</v>
      </c>
      <c r="H5" s="120">
        <f>'MACRO DATA'!H10</f>
        <v>0</v>
      </c>
      <c r="I5" s="119">
        <f>'MACRO DATA'!I10</f>
        <v>0</v>
      </c>
      <c r="J5" s="119">
        <f>'MACRO DATA'!J10</f>
        <v>0</v>
      </c>
      <c r="K5" s="119">
        <f>'MACRO DATA'!K10</f>
        <v>0</v>
      </c>
      <c r="L5" s="119">
        <f>'MACRO DATA'!L10</f>
        <v>0</v>
      </c>
      <c r="M5" s="119">
        <f>'MACRO DATA'!M10</f>
        <v>0</v>
      </c>
      <c r="N5" s="119">
        <f>'MACRO DATA'!N10</f>
        <v>0</v>
      </c>
      <c r="O5" s="119">
        <f>'MACRO DATA'!O10</f>
        <v>0</v>
      </c>
      <c r="P5" s="119">
        <f>'MACRO DATA'!P10</f>
        <v>0</v>
      </c>
      <c r="Q5" s="119">
        <f>'MACRO DATA'!Q10</f>
        <v>0</v>
      </c>
    </row>
    <row r="6" spans="2:52">
      <c r="B6" s="18" t="s">
        <v>1500</v>
      </c>
      <c r="C6" s="61" t="s">
        <v>1498</v>
      </c>
      <c r="D6" s="68" t="s">
        <v>1448</v>
      </c>
      <c r="E6" s="68">
        <f>E7/D7*E4</f>
        <v>4.3508146407856441E-2</v>
      </c>
      <c r="F6" s="68">
        <f t="shared" ref="F6:Q6" si="0">F7/E7*F4</f>
        <v>4.0379397215420818E-2</v>
      </c>
      <c r="G6" s="68">
        <f t="shared" si="0"/>
        <v>4.419144899903743E-2</v>
      </c>
      <c r="H6" s="68" t="e">
        <f t="shared" si="0"/>
        <v>#VALUE!</v>
      </c>
      <c r="I6" s="68" t="e">
        <f t="shared" si="0"/>
        <v>#VALUE!</v>
      </c>
      <c r="J6" s="68" t="e">
        <f t="shared" si="0"/>
        <v>#VALUE!</v>
      </c>
      <c r="K6" s="68" t="e">
        <f t="shared" si="0"/>
        <v>#VALUE!</v>
      </c>
      <c r="L6" s="68" t="e">
        <f t="shared" si="0"/>
        <v>#VALUE!</v>
      </c>
      <c r="M6" s="68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8" t="e">
        <f t="shared" si="0"/>
        <v>#VALUE!</v>
      </c>
      <c r="Q6" s="68" t="e">
        <f t="shared" si="0"/>
        <v>#VALUE!</v>
      </c>
    </row>
    <row r="7" spans="2:52">
      <c r="B7" s="83" t="s">
        <v>1501</v>
      </c>
      <c r="C7" s="86" t="s">
        <v>1502</v>
      </c>
      <c r="D7" s="84">
        <f>'MACRO DATA'!D16/D9</f>
        <v>0.20587210748942522</v>
      </c>
      <c r="E7" s="84">
        <f>'MACRO DATA'!E16/E9</f>
        <v>0.20720859906995265</v>
      </c>
      <c r="F7" s="84">
        <f>'MACRO DATA'!F16/F9</f>
        <v>0.22140515833644675</v>
      </c>
      <c r="G7" s="84">
        <f>'MACRO DATA'!G16/G9</f>
        <v>0.2407420313683647</v>
      </c>
      <c r="H7" s="84" t="e">
        <f>'MACRO DATA'!H16/H9</f>
        <v>#VALUE!</v>
      </c>
      <c r="I7" s="68" t="e">
        <f>'MACRO DATA'!I16/I9</f>
        <v>#VALUE!</v>
      </c>
      <c r="J7" s="68" t="e">
        <f>'MACRO DATA'!J16/J9</f>
        <v>#VALUE!</v>
      </c>
      <c r="K7" s="68" t="e">
        <f>'MACRO DATA'!K16/K9</f>
        <v>#VALUE!</v>
      </c>
      <c r="L7" s="68" t="e">
        <f>'MACRO DATA'!L16/L9</f>
        <v>#VALUE!</v>
      </c>
      <c r="M7" s="68" t="e">
        <f>'MACRO DATA'!M16/M9</f>
        <v>#VALUE!</v>
      </c>
      <c r="N7" s="68" t="e">
        <f>'MACRO DATA'!N16/N9</f>
        <v>#VALUE!</v>
      </c>
      <c r="O7" s="68" t="e">
        <f>'MACRO DATA'!O16/O9</f>
        <v>#VALUE!</v>
      </c>
      <c r="P7" s="68" t="e">
        <f>'MACRO DATA'!P16/P9</f>
        <v>#VALUE!</v>
      </c>
      <c r="Q7" s="68" t="e">
        <f>'MACRO DATA'!Q16/Q9</f>
        <v>#VALUE!</v>
      </c>
    </row>
    <row r="8" spans="2:52">
      <c r="B8" s="468" t="s">
        <v>1849</v>
      </c>
      <c r="C8" s="117"/>
      <c r="D8" s="113" t="s">
        <v>1448</v>
      </c>
      <c r="E8" s="103">
        <f>E4/E6</f>
        <v>0.99355001874185633</v>
      </c>
      <c r="F8" s="103">
        <f t="shared" ref="F8:Q8" si="1">F4/F6</f>
        <v>0.93587972668224362</v>
      </c>
      <c r="G8" s="103">
        <f t="shared" si="1"/>
        <v>0.91967803494052047</v>
      </c>
      <c r="H8" s="103" t="e">
        <f t="shared" si="1"/>
        <v>#VALUE!</v>
      </c>
      <c r="I8" s="103" t="e">
        <f t="shared" si="1"/>
        <v>#VALUE!</v>
      </c>
      <c r="J8" s="103" t="e">
        <f t="shared" si="1"/>
        <v>#VALUE!</v>
      </c>
      <c r="K8" s="103" t="e">
        <f t="shared" si="1"/>
        <v>#VALUE!</v>
      </c>
      <c r="L8" s="103" t="e">
        <f t="shared" si="1"/>
        <v>#VALUE!</v>
      </c>
      <c r="M8" s="103" t="e">
        <f t="shared" si="1"/>
        <v>#VALUE!</v>
      </c>
      <c r="N8" s="103" t="e">
        <f t="shared" si="1"/>
        <v>#VALUE!</v>
      </c>
      <c r="O8" s="103" t="e">
        <f t="shared" si="1"/>
        <v>#VALUE!</v>
      </c>
      <c r="P8" s="103" t="e">
        <f t="shared" si="1"/>
        <v>#VALUE!</v>
      </c>
      <c r="Q8" s="103" t="e">
        <f t="shared" si="1"/>
        <v>#VALUE!</v>
      </c>
    </row>
    <row r="9" spans="2:52">
      <c r="B9" s="83" t="s">
        <v>1834</v>
      </c>
      <c r="C9" s="81"/>
      <c r="D9" s="87">
        <f>'MACRO DATA'!D20</f>
        <v>8038</v>
      </c>
      <c r="E9" s="87">
        <f>IF($C$1=1,D9*(1+E4)*(1+'MACRO DATA'!E10),'MACRO DATA'!E20)</f>
        <v>10473.443041171062</v>
      </c>
      <c r="F9" s="87">
        <f>IF($C$1=1,E9*(1+F4)*(1+'MACRO DATA'!F10),'MACRO DATA'!F20)</f>
        <v>12738.745961743316</v>
      </c>
      <c r="G9" s="87">
        <f>IF($C$1=1,F9*(1+G4)*(1+'MACRO DATA'!G10),'MACRO DATA'!G20)</f>
        <v>15019.583755638987</v>
      </c>
      <c r="H9" s="87" t="e">
        <f>IF($C$1=1,G9*(1+H4)*(1+'MACRO DATA'!H10),'MACRO DATA'!H20)</f>
        <v>#VALUE!</v>
      </c>
      <c r="I9" s="87" t="e">
        <f>IF($C$1=1,H9*(1+I4)*(1+'MACRO DATA'!I10),'MACRO DATA'!I20)</f>
        <v>#VALUE!</v>
      </c>
      <c r="J9" s="87" t="e">
        <f>IF($C$1=1,I9*(1+J4)*(1+'MACRO DATA'!J10),'MACRO DATA'!J20)</f>
        <v>#VALUE!</v>
      </c>
      <c r="K9" s="87" t="e">
        <f>IF($C$1=1,J9*(1+K4)*(1+'MACRO DATA'!K10),'MACRO DATA'!K20)</f>
        <v>#VALUE!</v>
      </c>
      <c r="L9" s="87" t="e">
        <f>IF($C$1=1,K9*(1+L4)*(1+'MACRO DATA'!L10),'MACRO DATA'!L20)</f>
        <v>#VALUE!</v>
      </c>
      <c r="M9" s="87" t="e">
        <f>IF($C$1=1,L9*(1+M4)*(1+'MACRO DATA'!M10),'MACRO DATA'!M20)</f>
        <v>#VALUE!</v>
      </c>
      <c r="N9" s="87" t="e">
        <f>IF($C$1=1,M9*(1+N4)*(1+'MACRO DATA'!N10),'MACRO DATA'!N20)</f>
        <v>#VALUE!</v>
      </c>
      <c r="O9" s="87" t="e">
        <f>IF($C$1=1,N9*(1+O4)*(1+'MACRO DATA'!O10),'MACRO DATA'!O20)</f>
        <v>#VALUE!</v>
      </c>
      <c r="P9" s="87" t="e">
        <f>IF($C$1=1,O9*(1+P4)*(1+'MACRO DATA'!P10),'MACRO DATA'!P20)</f>
        <v>#VALUE!</v>
      </c>
      <c r="Q9" s="87" t="e">
        <f>IF($C$1=1,P9*(1+Q4)*(1+'MACRO DATA'!Q10),'MACRO DATA'!Q20)</f>
        <v>#VALUE!</v>
      </c>
      <c r="R9" s="87" t="e">
        <f>IF($C$1=1,Q9*(1+R4)*(1+'MACRO DATA'!R10),'MACRO DATA'!R20)</f>
        <v>#VALUE!</v>
      </c>
      <c r="S9" s="87" t="e">
        <f>IF($C$1=1,R9*(1+S4)*(1+'MACRO DATA'!S10),'MACRO DATA'!S20)</f>
        <v>#VALUE!</v>
      </c>
      <c r="T9" s="87" t="e">
        <f>IF($C$1=1,S9*(1+T4)*(1+'MACRO DATA'!T10),'MACRO DATA'!T20)</f>
        <v>#VALUE!</v>
      </c>
      <c r="U9" s="87" t="e">
        <f>IF($C$1=1,T9*(1+U4)*(1+'MACRO DATA'!U10),'MACRO DATA'!U20)</f>
        <v>#VALUE!</v>
      </c>
      <c r="V9" s="87" t="e">
        <f>IF($C$1=1,U9*(1+V4)*(1+'MACRO DATA'!V10),'MACRO DATA'!V20)</f>
        <v>#VALUE!</v>
      </c>
      <c r="W9" s="87" t="e">
        <f>IF($C$1=1,V9*(1+W4)*(1+'MACRO DATA'!W10),'MACRO DATA'!W20)</f>
        <v>#VALUE!</v>
      </c>
      <c r="X9" s="87" t="e">
        <f>IF($C$1=1,W9*(1+X4)*(1+'MACRO DATA'!X10),'MACRO DATA'!X20)</f>
        <v>#VALUE!</v>
      </c>
      <c r="Y9" s="87" t="e">
        <f>IF($C$1=1,X9*(1+Y4)*(1+'MACRO DATA'!Y10),'MACRO DATA'!Y20)</f>
        <v>#VALUE!</v>
      </c>
      <c r="Z9" s="87" t="e">
        <f>IF($C$1=1,Y9*(1+Z4)*(1+'MACRO DATA'!Z10),'MACRO DATA'!Z20)</f>
        <v>#VALUE!</v>
      </c>
      <c r="AA9" s="87" t="e">
        <f>IF($C$1=1,Z9*(1+AA4)*(1+'MACRO DATA'!AA10),'MACRO DATA'!AA20)</f>
        <v>#VALUE!</v>
      </c>
      <c r="AB9" s="87" t="e">
        <f>IF($C$1=1,AA9*(1+AB4)*(1+'MACRO DATA'!AB10),'MACRO DATA'!AB20)</f>
        <v>#VALUE!</v>
      </c>
      <c r="AC9" s="87" t="e">
        <f>IF($C$1=1,AB9*(1+AC4)*(1+'MACRO DATA'!AC10),'MACRO DATA'!AC20)</f>
        <v>#VALUE!</v>
      </c>
      <c r="AD9" s="87" t="e">
        <f>IF($C$1=1,AC9*(1+AD4)*(1+'MACRO DATA'!AD10),'MACRO DATA'!AD20)</f>
        <v>#VALUE!</v>
      </c>
      <c r="AE9" s="87" t="e">
        <f>IF($C$1=1,AD9*(1+AE4)*(1+'MACRO DATA'!AE10),'MACRO DATA'!AE20)</f>
        <v>#VALUE!</v>
      </c>
      <c r="AF9" s="87" t="e">
        <f>IF($C$1=1,AE9*(1+AF4)*(1+'MACRO DATA'!AF10),'MACRO DATA'!AF20)</f>
        <v>#VALUE!</v>
      </c>
      <c r="AG9" s="87" t="e">
        <f>IF($C$1=1,AF9*(1+AG4)*(1+'MACRO DATA'!AG10),'MACRO DATA'!AG20)</f>
        <v>#VALUE!</v>
      </c>
      <c r="AH9" s="87" t="e">
        <f>IF($C$1=1,AG9*(1+AH4)*(1+'MACRO DATA'!AH10),'MACRO DATA'!AH20)</f>
        <v>#VALUE!</v>
      </c>
      <c r="AI9" s="87" t="e">
        <f>IF($C$1=1,AH9*(1+AI4)*(1+'MACRO DATA'!AI10),'MACRO DATA'!AI20)</f>
        <v>#VALUE!</v>
      </c>
      <c r="AJ9" s="87" t="e">
        <f>IF($C$1=1,AI9*(1+AJ4)*(1+'MACRO DATA'!AJ10),'MACRO DATA'!AJ20)</f>
        <v>#VALUE!</v>
      </c>
      <c r="AK9" s="87" t="e">
        <f>IF($C$1=1,AJ9*(1+AK4)*(1+'MACRO DATA'!AK10),'MACRO DATA'!AK20)</f>
        <v>#VALUE!</v>
      </c>
      <c r="AL9" s="87" t="e">
        <f>IF($C$1=1,AK9*(1+AL4)*(1+'MACRO DATA'!AL10),'MACRO DATA'!AL20)</f>
        <v>#VALUE!</v>
      </c>
      <c r="AM9" s="87" t="e">
        <f>IF($C$1=1,AL9*(1+AM4)*(1+'MACRO DATA'!AM10),'MACRO DATA'!AM20)</f>
        <v>#VALUE!</v>
      </c>
      <c r="AN9" s="87" t="e">
        <f>IF($C$1=1,AM9*(1+AN4)*(1+'MACRO DATA'!AN10),'MACRO DATA'!AN20)</f>
        <v>#VALUE!</v>
      </c>
      <c r="AO9" s="87" t="e">
        <f>IF($C$1=1,AN9*(1+AO4)*(1+'MACRO DATA'!AO10),'MACRO DATA'!AO20)</f>
        <v>#VALUE!</v>
      </c>
      <c r="AP9" s="87" t="e">
        <f>IF($C$1=1,AO9*(1+AP4)*(1+'MACRO DATA'!AP10),'MACRO DATA'!AP20)</f>
        <v>#VALUE!</v>
      </c>
      <c r="AQ9" s="87" t="e">
        <f>IF($C$1=1,AP9*(1+AQ4)*(1+'MACRO DATA'!AQ10),'MACRO DATA'!AQ20)</f>
        <v>#VALUE!</v>
      </c>
      <c r="AR9" s="87" t="e">
        <f>IF($C$1=1,AQ9*(1+AR4)*(1+'MACRO DATA'!AR10),'MACRO DATA'!AR20)</f>
        <v>#VALUE!</v>
      </c>
      <c r="AS9" s="87" t="e">
        <f>IF($C$1=1,AR9*(1+AS4)*(1+'MACRO DATA'!AS10),'MACRO DATA'!AS20)</f>
        <v>#VALUE!</v>
      </c>
      <c r="AT9" s="87" t="e">
        <f>IF($C$1=1,AS9*(1+AT4)*(1+'MACRO DATA'!AT10),'MACRO DATA'!AT20)</f>
        <v>#VALUE!</v>
      </c>
      <c r="AU9" s="87" t="e">
        <f>IF($C$1=1,AT9*(1+AU4)*(1+'MACRO DATA'!AU10),'MACRO DATA'!AU20)</f>
        <v>#VALUE!</v>
      </c>
      <c r="AV9" s="87" t="e">
        <f>IF($C$1=1,AU9*(1+AV4)*(1+'MACRO DATA'!AV10),'MACRO DATA'!AV20)</f>
        <v>#VALUE!</v>
      </c>
      <c r="AW9" s="87" t="e">
        <f>IF($C$1=1,AV9*(1+AW4)*(1+'MACRO DATA'!AW10),'MACRO DATA'!AW20)</f>
        <v>#VALUE!</v>
      </c>
      <c r="AX9" s="87" t="e">
        <f>IF($C$1=1,AW9*(1+AX4)*(1+'MACRO DATA'!AX10),'MACRO DATA'!AX20)</f>
        <v>#VALUE!</v>
      </c>
      <c r="AY9" s="87" t="e">
        <f>IF($C$1=1,AX9*(1+AY4)*(1+'MACRO DATA'!AY10),'MACRO DATA'!AY20)</f>
        <v>#VALUE!</v>
      </c>
      <c r="AZ9" s="87" t="e">
        <f>IF($C$1=1,AY9*(1+AZ4)*(1+'MACRO DATA'!AZ10),'MACRO DATA'!AZ20)</f>
        <v>#VALUE!</v>
      </c>
    </row>
    <row r="10" spans="2:52" ht="25.15" customHeight="1">
      <c r="B10" s="35" t="s">
        <v>1447</v>
      </c>
      <c r="C10" s="62"/>
      <c r="D10" s="70" t="s">
        <v>1448</v>
      </c>
      <c r="E10" s="71"/>
      <c r="F10" s="71" t="s">
        <v>1448</v>
      </c>
      <c r="G10" s="124"/>
      <c r="H10" s="124"/>
      <c r="I10" s="119"/>
      <c r="J10" s="119"/>
      <c r="K10" s="119"/>
      <c r="L10" s="119"/>
      <c r="M10" s="119"/>
      <c r="N10" s="119"/>
      <c r="O10" s="119"/>
      <c r="P10" s="119"/>
      <c r="Q10" s="119"/>
    </row>
    <row r="11" spans="2:52" ht="19.899999999999999" customHeight="1">
      <c r="B11" s="33" t="s">
        <v>1453</v>
      </c>
      <c r="C11" s="62" t="s">
        <v>1502</v>
      </c>
      <c r="D11" s="67">
        <f>D12/D9</f>
        <v>0.24023388902712117</v>
      </c>
      <c r="E11" s="67">
        <f>E12/E9</f>
        <v>0.21549742440262884</v>
      </c>
      <c r="F11" s="67">
        <f>F12/F9</f>
        <v>0.2184673443020087</v>
      </c>
      <c r="G11" s="119">
        <f>G12/G9</f>
        <v>0.2251061051362778</v>
      </c>
      <c r="H11" s="119" t="e">
        <f t="shared" ref="H11:Q11" si="2">H12/H9</f>
        <v>#VALUE!</v>
      </c>
      <c r="I11" s="119" t="e">
        <f t="shared" si="2"/>
        <v>#VALUE!</v>
      </c>
      <c r="J11" s="119" t="e">
        <f t="shared" si="2"/>
        <v>#VALUE!</v>
      </c>
      <c r="K11" s="119" t="e">
        <f t="shared" si="2"/>
        <v>#VALUE!</v>
      </c>
      <c r="L11" s="119" t="e">
        <f t="shared" si="2"/>
        <v>#VALUE!</v>
      </c>
      <c r="M11" s="119" t="e">
        <f t="shared" si="2"/>
        <v>#VALUE!</v>
      </c>
      <c r="N11" s="119" t="e">
        <f t="shared" si="2"/>
        <v>#VALUE!</v>
      </c>
      <c r="O11" s="119" t="e">
        <f t="shared" si="2"/>
        <v>#VALUE!</v>
      </c>
      <c r="P11" s="119" t="e">
        <f t="shared" si="2"/>
        <v>#VALUE!</v>
      </c>
      <c r="Q11" s="119" t="e">
        <f t="shared" si="2"/>
        <v>#VALUE!</v>
      </c>
    </row>
    <row r="12" spans="2:52" ht="15">
      <c r="B12" s="33"/>
      <c r="C12" s="62" t="s">
        <v>1832</v>
      </c>
      <c r="D12" s="69">
        <f>'MACRO DATA'!D33</f>
        <v>1931</v>
      </c>
      <c r="E12" s="69">
        <f>'MACRO DATA'!E33</f>
        <v>2257</v>
      </c>
      <c r="F12" s="74">
        <f>'MACRO DATA'!F33</f>
        <v>2783</v>
      </c>
      <c r="G12" s="125">
        <f>'MACRO DATA'!G33</f>
        <v>3381</v>
      </c>
      <c r="H12" s="125">
        <f>'MACRO DATA'!H33</f>
        <v>0</v>
      </c>
      <c r="I12" s="125">
        <f>'MACRO DATA'!I33</f>
        <v>0</v>
      </c>
      <c r="J12" s="125">
        <f>'MACRO DATA'!J33</f>
        <v>0</v>
      </c>
      <c r="K12" s="125">
        <f>'MACRO DATA'!K33</f>
        <v>0</v>
      </c>
      <c r="L12" s="125">
        <f>'MACRO DATA'!L33</f>
        <v>0</v>
      </c>
      <c r="M12" s="125">
        <f>'MACRO DATA'!M33</f>
        <v>0</v>
      </c>
      <c r="N12" s="125">
        <f>'MACRO DATA'!N33</f>
        <v>0</v>
      </c>
      <c r="O12" s="125">
        <f>'MACRO DATA'!O33</f>
        <v>0</v>
      </c>
      <c r="P12" s="125">
        <f>'MACRO DATA'!P33</f>
        <v>0</v>
      </c>
      <c r="Q12" s="125">
        <f>'MACRO DATA'!Q33</f>
        <v>0</v>
      </c>
    </row>
    <row r="13" spans="2:52">
      <c r="B13" s="85" t="s">
        <v>1454</v>
      </c>
      <c r="C13" s="86" t="s">
        <v>1503</v>
      </c>
      <c r="D13" s="84">
        <f>D15/('MACRO DATA'!D14+'MACRO DATA'!D15+'MACRO DATA'!D16-D15+D45)</f>
        <v>5.0733618104727055E-2</v>
      </c>
      <c r="E13" s="84">
        <f>E15/('MACRO DATA'!E14+'MACRO DATA'!E15+'MACRO DATA'!E16-E15+E45)</f>
        <v>6.4051158027854327E-2</v>
      </c>
      <c r="F13" s="84">
        <f>F15/('MACRO DATA'!F14+'MACRO DATA'!F15+'MACRO DATA'!F16-F15+F45)</f>
        <v>6.7812505089949099E-2</v>
      </c>
      <c r="G13" s="122">
        <f>G15/('MACRO DATA'!G14+'MACRO DATA'!G15+'MACRO DATA'!G16-G15+G45)</f>
        <v>7.0862452426071948E-2</v>
      </c>
      <c r="H13" s="122">
        <f>H15/('MACRO DATA'!H14+'MACRO DATA'!H15+'MACRO DATA'!H16-H15+H45)</f>
        <v>0</v>
      </c>
      <c r="I13" s="121" t="e">
        <f>I15/('MACRO DATA'!I14+'MACRO DATA'!I15+'MACRO DATA'!I16-I15+I45)</f>
        <v>#DIV/0!</v>
      </c>
      <c r="J13" s="121" t="e">
        <f>J15/('MACRO DATA'!J14+'MACRO DATA'!J15+'MACRO DATA'!J16-J15+J45)</f>
        <v>#DIV/0!</v>
      </c>
      <c r="K13" s="121" t="e">
        <f>K15/('MACRO DATA'!K14+'MACRO DATA'!K15+'MACRO DATA'!K16-K15+K45)</f>
        <v>#DIV/0!</v>
      </c>
      <c r="L13" s="121" t="e">
        <f>L15/('MACRO DATA'!L14+'MACRO DATA'!L15+'MACRO DATA'!L16-L15+L45)</f>
        <v>#DIV/0!</v>
      </c>
      <c r="M13" s="121" t="e">
        <f>M15/('MACRO DATA'!M14+'MACRO DATA'!M15+'MACRO DATA'!M16-M15+M45)</f>
        <v>#DIV/0!</v>
      </c>
      <c r="N13" s="121" t="e">
        <f>N15/('MACRO DATA'!N14+'MACRO DATA'!N15+'MACRO DATA'!N16-N15+N45)</f>
        <v>#DIV/0!</v>
      </c>
      <c r="O13" s="121" t="e">
        <f>O15/('MACRO DATA'!O14+'MACRO DATA'!O15+'MACRO DATA'!O16-O15+O45)</f>
        <v>#DIV/0!</v>
      </c>
      <c r="P13" s="121" t="e">
        <f>P15/('MACRO DATA'!P14+'MACRO DATA'!P15+'MACRO DATA'!P16-P15+P45)</f>
        <v>#DIV/0!</v>
      </c>
      <c r="Q13" s="121" t="e">
        <f>Q15/('MACRO DATA'!Q14+'MACRO DATA'!Q15+'MACRO DATA'!Q16-Q15+Q45)</f>
        <v>#DIV/0!</v>
      </c>
    </row>
    <row r="14" spans="2:52">
      <c r="B14" s="85"/>
      <c r="C14" s="86" t="s">
        <v>1502</v>
      </c>
      <c r="D14" s="84">
        <f>D15/D9</f>
        <v>6.3199800945508838E-2</v>
      </c>
      <c r="E14" s="84">
        <f>E15/E9</f>
        <v>8.1444086404715288E-2</v>
      </c>
      <c r="F14" s="84">
        <f>F15/F9</f>
        <v>8.4623714393663452E-2</v>
      </c>
      <c r="G14" s="122">
        <f>G15/G9</f>
        <v>8.7618939473333809E-2</v>
      </c>
      <c r="H14" s="122" t="e">
        <f t="shared" ref="H14:Q14" si="3">H15/H9</f>
        <v>#VALUE!</v>
      </c>
      <c r="I14" s="121" t="e">
        <f t="shared" si="3"/>
        <v>#VALUE!</v>
      </c>
      <c r="J14" s="121" t="e">
        <f t="shared" si="3"/>
        <v>#VALUE!</v>
      </c>
      <c r="K14" s="121" t="e">
        <f t="shared" si="3"/>
        <v>#VALUE!</v>
      </c>
      <c r="L14" s="121" t="e">
        <f t="shared" si="3"/>
        <v>#VALUE!</v>
      </c>
      <c r="M14" s="121" t="e">
        <f t="shared" si="3"/>
        <v>#VALUE!</v>
      </c>
      <c r="N14" s="121" t="e">
        <f t="shared" si="3"/>
        <v>#VALUE!</v>
      </c>
      <c r="O14" s="121" t="e">
        <f t="shared" si="3"/>
        <v>#VALUE!</v>
      </c>
      <c r="P14" s="121" t="e">
        <f t="shared" si="3"/>
        <v>#VALUE!</v>
      </c>
      <c r="Q14" s="121" t="e">
        <f t="shared" si="3"/>
        <v>#VALUE!</v>
      </c>
    </row>
    <row r="15" spans="2:52">
      <c r="B15" s="85"/>
      <c r="C15" s="86" t="s">
        <v>1832</v>
      </c>
      <c r="D15" s="87">
        <f>'MACRO DATA'!D34</f>
        <v>508</v>
      </c>
      <c r="E15" s="87">
        <f>'MACRO DATA'!E34</f>
        <v>853</v>
      </c>
      <c r="F15" s="87">
        <f>'MACRO DATA'!F34</f>
        <v>1078</v>
      </c>
      <c r="G15" s="126">
        <f>'MACRO DATA'!G34</f>
        <v>1316</v>
      </c>
      <c r="H15" s="126">
        <f>'MACRO DATA'!H34</f>
        <v>0</v>
      </c>
      <c r="I15" s="123">
        <f>'MACRO DATA'!I34</f>
        <v>0</v>
      </c>
      <c r="J15" s="123">
        <f>'MACRO DATA'!J34</f>
        <v>0</v>
      </c>
      <c r="K15" s="123">
        <f>'MACRO DATA'!K34</f>
        <v>0</v>
      </c>
      <c r="L15" s="123">
        <f>'MACRO DATA'!L34</f>
        <v>0</v>
      </c>
      <c r="M15" s="123">
        <f>'MACRO DATA'!M34</f>
        <v>0</v>
      </c>
      <c r="N15" s="123">
        <f>'MACRO DATA'!N34</f>
        <v>0</v>
      </c>
      <c r="O15" s="123">
        <f>'MACRO DATA'!O34</f>
        <v>0</v>
      </c>
      <c r="P15" s="123">
        <f>'MACRO DATA'!P34</f>
        <v>0</v>
      </c>
      <c r="Q15" s="123">
        <f>'MACRO DATA'!Q34</f>
        <v>0</v>
      </c>
    </row>
    <row r="16" spans="2:52">
      <c r="B16" s="4" t="s">
        <v>1455</v>
      </c>
      <c r="C16" s="63" t="s">
        <v>1504</v>
      </c>
      <c r="D16" s="72">
        <f>D18/'MACRO DATA'!D18</f>
        <v>0.14397002876796092</v>
      </c>
      <c r="E16" s="72">
        <f>E18/'MACRO DATA'!E18</f>
        <v>9.793765891326868E-2</v>
      </c>
      <c r="F16" s="67">
        <f>F18/'MACRO DATA'!F18</f>
        <v>0.10427786296477044</v>
      </c>
      <c r="G16" s="119">
        <f>G18/'MACRO DATA'!G18</f>
        <v>0.10125565684367988</v>
      </c>
      <c r="H16" s="119" t="e">
        <f>H18/'MACRO DATA'!H18</f>
        <v>#DIV/0!</v>
      </c>
      <c r="I16" s="119" t="e">
        <f>I18/'MACRO DATA'!I18</f>
        <v>#DIV/0!</v>
      </c>
      <c r="J16" s="119" t="e">
        <f>J18/'MACRO DATA'!J18</f>
        <v>#DIV/0!</v>
      </c>
      <c r="K16" s="119" t="e">
        <f>K18/'MACRO DATA'!K18</f>
        <v>#DIV/0!</v>
      </c>
      <c r="L16" s="119" t="e">
        <f>L18/'MACRO DATA'!L18</f>
        <v>#DIV/0!</v>
      </c>
      <c r="M16" s="119" t="e">
        <f>M18/'MACRO DATA'!M18</f>
        <v>#DIV/0!</v>
      </c>
      <c r="N16" s="119" t="e">
        <f>N18/'MACRO DATA'!N18</f>
        <v>#DIV/0!</v>
      </c>
      <c r="O16" s="119" t="e">
        <f>O18/'MACRO DATA'!O18</f>
        <v>#DIV/0!</v>
      </c>
      <c r="P16" s="119" t="e">
        <f>P18/'MACRO DATA'!P18</f>
        <v>#DIV/0!</v>
      </c>
      <c r="Q16" s="119" t="e">
        <f>Q18/'MACRO DATA'!Q18</f>
        <v>#DIV/0!</v>
      </c>
    </row>
    <row r="17" spans="1:17">
      <c r="B17" s="4"/>
      <c r="C17" s="63" t="s">
        <v>1502</v>
      </c>
      <c r="D17" s="72">
        <f>D18/D9</f>
        <v>7.427220701667081E-2</v>
      </c>
      <c r="E17" s="72">
        <f>E18/E9</f>
        <v>5.9579261332406021E-2</v>
      </c>
      <c r="F17" s="72">
        <f>F18/F9</f>
        <v>6.1230516908216598E-2</v>
      </c>
      <c r="G17" s="127">
        <f>G18/G9</f>
        <v>6.2984435214113815E-2</v>
      </c>
      <c r="H17" s="127" t="e">
        <f t="shared" ref="H17:Q17" si="4">H18/H9</f>
        <v>#VALUE!</v>
      </c>
      <c r="I17" s="121" t="e">
        <f t="shared" si="4"/>
        <v>#VALUE!</v>
      </c>
      <c r="J17" s="121" t="e">
        <f t="shared" si="4"/>
        <v>#VALUE!</v>
      </c>
      <c r="K17" s="121" t="e">
        <f t="shared" si="4"/>
        <v>#VALUE!</v>
      </c>
      <c r="L17" s="121" t="e">
        <f t="shared" si="4"/>
        <v>#VALUE!</v>
      </c>
      <c r="M17" s="121" t="e">
        <f t="shared" si="4"/>
        <v>#VALUE!</v>
      </c>
      <c r="N17" s="121" t="e">
        <f t="shared" si="4"/>
        <v>#VALUE!</v>
      </c>
      <c r="O17" s="121" t="e">
        <f t="shared" si="4"/>
        <v>#VALUE!</v>
      </c>
      <c r="P17" s="121" t="e">
        <f t="shared" si="4"/>
        <v>#VALUE!</v>
      </c>
      <c r="Q17" s="121" t="e">
        <f t="shared" si="4"/>
        <v>#VALUE!</v>
      </c>
    </row>
    <row r="18" spans="1:17">
      <c r="B18" s="4"/>
      <c r="C18" s="63" t="s">
        <v>1832</v>
      </c>
      <c r="D18" s="46">
        <f>'MACRO DATA'!D35</f>
        <v>597</v>
      </c>
      <c r="E18" s="46">
        <f>'MACRO DATA'!E35</f>
        <v>624</v>
      </c>
      <c r="F18" s="46">
        <f>'MACRO DATA'!F35</f>
        <v>780</v>
      </c>
      <c r="G18" s="128">
        <f>'MACRO DATA'!G35</f>
        <v>946</v>
      </c>
      <c r="H18" s="128">
        <f>'MACRO DATA'!H35</f>
        <v>0</v>
      </c>
      <c r="I18" s="123">
        <f>'MACRO DATA'!I35</f>
        <v>0</v>
      </c>
      <c r="J18" s="123">
        <f>'MACRO DATA'!J35</f>
        <v>0</v>
      </c>
      <c r="K18" s="123">
        <f>'MACRO DATA'!K35</f>
        <v>0</v>
      </c>
      <c r="L18" s="123">
        <f>'MACRO DATA'!L35</f>
        <v>0</v>
      </c>
      <c r="M18" s="123">
        <f>'MACRO DATA'!M35</f>
        <v>0</v>
      </c>
      <c r="N18" s="123">
        <f>'MACRO DATA'!N35</f>
        <v>0</v>
      </c>
      <c r="O18" s="123">
        <f>'MACRO DATA'!O35</f>
        <v>0</v>
      </c>
      <c r="P18" s="123">
        <f>'MACRO DATA'!P35</f>
        <v>0</v>
      </c>
      <c r="Q18" s="123">
        <f>'MACRO DATA'!Q35</f>
        <v>0</v>
      </c>
    </row>
    <row r="19" spans="1:17">
      <c r="B19" s="80" t="s">
        <v>1456</v>
      </c>
      <c r="C19" s="86" t="s">
        <v>1505</v>
      </c>
      <c r="D19" s="84">
        <f>'MACRO DATA'!D36/('MACRO DATA'!D17-'MACRO DATA'!D36+'MACRO DATA'!D44)</f>
        <v>0</v>
      </c>
      <c r="E19" s="84">
        <f>'MACRO DATA'!E36/('MACRO DATA'!E17-'MACRO DATA'!E36+'MACRO DATA'!E44)</f>
        <v>0</v>
      </c>
      <c r="F19" s="84">
        <f>'MACRO DATA'!F36/('MACRO DATA'!F17-'MACRO DATA'!F36+'MACRO DATA'!F44)</f>
        <v>0</v>
      </c>
      <c r="G19" s="122">
        <f>'MACRO DATA'!G36/('MACRO DATA'!G17-'MACRO DATA'!G36+'MACRO DATA'!G44)</f>
        <v>0</v>
      </c>
      <c r="H19" s="122" t="e">
        <f>'MACRO DATA'!H36/('MACRO DATA'!H17-'MACRO DATA'!H36+'MACRO DATA'!H44)</f>
        <v>#DIV/0!</v>
      </c>
      <c r="I19" s="121" t="e">
        <f>'MACRO DATA'!I36/('MACRO DATA'!I17-'MACRO DATA'!I36+'MACRO DATA'!I44)</f>
        <v>#DIV/0!</v>
      </c>
      <c r="J19" s="121" t="e">
        <f>'MACRO DATA'!J36/('MACRO DATA'!J17-'MACRO DATA'!J36+'MACRO DATA'!J44)</f>
        <v>#DIV/0!</v>
      </c>
      <c r="K19" s="121" t="e">
        <f>'MACRO DATA'!K36/('MACRO DATA'!K17-'MACRO DATA'!K36+'MACRO DATA'!K44)</f>
        <v>#DIV/0!</v>
      </c>
      <c r="L19" s="121" t="e">
        <f>'MACRO DATA'!L36/('MACRO DATA'!L17-'MACRO DATA'!L36+'MACRO DATA'!L44)</f>
        <v>#DIV/0!</v>
      </c>
      <c r="M19" s="121" t="e">
        <f>'MACRO DATA'!M36/('MACRO DATA'!M17-'MACRO DATA'!M36+'MACRO DATA'!M44)</f>
        <v>#DIV/0!</v>
      </c>
      <c r="N19" s="121" t="e">
        <f>'MACRO DATA'!N36/('MACRO DATA'!N17-'MACRO DATA'!N36+'MACRO DATA'!N44)</f>
        <v>#DIV/0!</v>
      </c>
      <c r="O19" s="121" t="e">
        <f>'MACRO DATA'!O36/('MACRO DATA'!O17-'MACRO DATA'!O36+'MACRO DATA'!O44)</f>
        <v>#DIV/0!</v>
      </c>
      <c r="P19" s="121" t="e">
        <f>'MACRO DATA'!P36/('MACRO DATA'!P17-'MACRO DATA'!P36+'MACRO DATA'!P44)</f>
        <v>#DIV/0!</v>
      </c>
      <c r="Q19" s="121" t="e">
        <f>'MACRO DATA'!Q36/('MACRO DATA'!Q17-'MACRO DATA'!Q36+'MACRO DATA'!Q44)</f>
        <v>#DIV/0!</v>
      </c>
    </row>
    <row r="20" spans="1:17">
      <c r="A20" s="23"/>
      <c r="B20" s="80"/>
      <c r="C20" s="86" t="s">
        <v>1502</v>
      </c>
      <c r="D20" s="84">
        <f>D21/D9</f>
        <v>0</v>
      </c>
      <c r="E20" s="84">
        <f>E21/E9</f>
        <v>0</v>
      </c>
      <c r="F20" s="84">
        <f>F21/F9</f>
        <v>0</v>
      </c>
      <c r="G20" s="122">
        <f>G21/G9</f>
        <v>0</v>
      </c>
      <c r="H20" s="122" t="e">
        <f t="shared" ref="H20:Q20" si="5">H21/H9</f>
        <v>#VALUE!</v>
      </c>
      <c r="I20" s="121" t="e">
        <f t="shared" si="5"/>
        <v>#VALUE!</v>
      </c>
      <c r="J20" s="121" t="e">
        <f t="shared" si="5"/>
        <v>#VALUE!</v>
      </c>
      <c r="K20" s="121" t="e">
        <f t="shared" si="5"/>
        <v>#VALUE!</v>
      </c>
      <c r="L20" s="121" t="e">
        <f t="shared" si="5"/>
        <v>#VALUE!</v>
      </c>
      <c r="M20" s="121" t="e">
        <f t="shared" si="5"/>
        <v>#VALUE!</v>
      </c>
      <c r="N20" s="121" t="e">
        <f t="shared" si="5"/>
        <v>#VALUE!</v>
      </c>
      <c r="O20" s="121" t="e">
        <f t="shared" si="5"/>
        <v>#VALUE!</v>
      </c>
      <c r="P20" s="121" t="e">
        <f t="shared" si="5"/>
        <v>#VALUE!</v>
      </c>
      <c r="Q20" s="121" t="e">
        <f t="shared" si="5"/>
        <v>#VALUE!</v>
      </c>
    </row>
    <row r="21" spans="1:17">
      <c r="B21" s="80"/>
      <c r="C21" s="86" t="s">
        <v>1832</v>
      </c>
      <c r="D21" s="87">
        <f>'MACRO DATA'!D36</f>
        <v>0</v>
      </c>
      <c r="E21" s="87">
        <f>'MACRO DATA'!E36</f>
        <v>0</v>
      </c>
      <c r="F21" s="87">
        <f>'MACRO DATA'!F36</f>
        <v>0</v>
      </c>
      <c r="G21" s="126">
        <f>'MACRO DATA'!G36</f>
        <v>0</v>
      </c>
      <c r="H21" s="126">
        <f>'MACRO DATA'!H36</f>
        <v>0</v>
      </c>
      <c r="I21" s="123">
        <f>'MACRO DATA'!I36</f>
        <v>0</v>
      </c>
      <c r="J21" s="123">
        <f>'MACRO DATA'!J36</f>
        <v>0</v>
      </c>
      <c r="K21" s="123">
        <f>'MACRO DATA'!K36</f>
        <v>0</v>
      </c>
      <c r="L21" s="123">
        <f>'MACRO DATA'!L36</f>
        <v>0</v>
      </c>
      <c r="M21" s="123">
        <f>'MACRO DATA'!M36</f>
        <v>0</v>
      </c>
      <c r="N21" s="123">
        <f>'MACRO DATA'!N36</f>
        <v>0</v>
      </c>
      <c r="O21" s="123">
        <f>'MACRO DATA'!O36</f>
        <v>0</v>
      </c>
      <c r="P21" s="123">
        <f>'MACRO DATA'!P36</f>
        <v>0</v>
      </c>
      <c r="Q21" s="123">
        <f>'MACRO DATA'!Q36</f>
        <v>0</v>
      </c>
    </row>
    <row r="22" spans="1:17">
      <c r="B22" s="4" t="s">
        <v>1457</v>
      </c>
      <c r="C22" s="63" t="s">
        <v>1506</v>
      </c>
      <c r="D22" s="72">
        <f>'MACRO DATA'!D37/(D9+D42+D48+D52-D26-D32+D96*D81+(D87*D81+D50))</f>
        <v>0.10404266988908396</v>
      </c>
      <c r="E22" s="72">
        <f>'MACRO DATA'!E37/(E9+E42+E48+E52-E26-E32+E96*E81+(E87*E81+E50))</f>
        <v>7.657952494984116E-2</v>
      </c>
      <c r="F22" s="72">
        <f>'MACRO DATA'!F37/(F9+F42+F48+F52-F26-F32+F96*F81+(F87*F81+F50))</f>
        <v>7.2095348730751324E-2</v>
      </c>
      <c r="G22" s="72">
        <f>'MACRO DATA'!G37/(G9+G42+G48+G52-G26-G32+G96*G81+(G87*G81+G50))</f>
        <v>7.653739605884792E-2</v>
      </c>
      <c r="H22" s="72" t="e">
        <f>'MACRO DATA'!H37/(H9+H42+H48+H52-H26-H32+H96*H81+(H87*H81+H50))</f>
        <v>#VALUE!</v>
      </c>
      <c r="I22" s="68" t="e">
        <f>'MACRO DATA'!I37/(I9+I42+I48+I52-I26-I32+I96*I81+(I87*I81+I50))</f>
        <v>#VALUE!</v>
      </c>
      <c r="J22" s="68" t="e">
        <f>'MACRO DATA'!J37/(J9+J42+J48+J52-J26-J32+J96*J81+(J87*J81+J50))</f>
        <v>#VALUE!</v>
      </c>
      <c r="K22" s="68" t="e">
        <f>'MACRO DATA'!K37/(K9+K42+K48+K52-K26-K32+K96*K81+(K87*K81+K50))</f>
        <v>#VALUE!</v>
      </c>
      <c r="L22" s="68" t="e">
        <f>'MACRO DATA'!L37/(L9+L42+L48+L52-L26-L32+L96*L81+(L87*L81+L50))</f>
        <v>#VALUE!</v>
      </c>
      <c r="M22" s="68" t="e">
        <f>'MACRO DATA'!M37/(M9+M42+M48+M52-M26-M32+M96*M81+(M87*M81+M50))</f>
        <v>#VALUE!</v>
      </c>
      <c r="N22" s="68" t="e">
        <f>'MACRO DATA'!N37/(N9+N42+N48+N52-N26-N32+N96*N81+(N87*N81+N50))</f>
        <v>#VALUE!</v>
      </c>
      <c r="O22" s="68" t="e">
        <f>'MACRO DATA'!O37/(O9+O42+O48+O52-O26-O32+O96*O81+(O87*O81+O50))</f>
        <v>#VALUE!</v>
      </c>
      <c r="P22" s="68" t="e">
        <f>'MACRO DATA'!P37/(P9+P42+P48+P52-P26-P32+P96*P81+(P87*P81+P50))</f>
        <v>#VALUE!</v>
      </c>
      <c r="Q22" s="68" t="e">
        <f>'MACRO DATA'!Q37/(Q9+Q42+Q48+Q52-Q26-Q32+Q96*Q81+(Q87*Q81+Q50))</f>
        <v>#VALUE!</v>
      </c>
    </row>
    <row r="23" spans="1:17">
      <c r="B23" s="4"/>
      <c r="C23" s="63" t="s">
        <v>1502</v>
      </c>
      <c r="D23" s="72">
        <f>D24/D9</f>
        <v>0.10276188106494152</v>
      </c>
      <c r="E23" s="72">
        <f>E24/E9</f>
        <v>7.4474076665507524E-2</v>
      </c>
      <c r="F23" s="72">
        <f>F24/F9</f>
        <v>7.2613113000128654E-2</v>
      </c>
      <c r="G23" s="127">
        <f>G24/G9</f>
        <v>7.4502730448830184E-2</v>
      </c>
      <c r="H23" s="127" t="e">
        <f t="shared" ref="H23:Q23" si="6">H24/H9</f>
        <v>#VALUE!</v>
      </c>
      <c r="I23" s="121" t="e">
        <f t="shared" si="6"/>
        <v>#VALUE!</v>
      </c>
      <c r="J23" s="121" t="e">
        <f t="shared" si="6"/>
        <v>#VALUE!</v>
      </c>
      <c r="K23" s="121" t="e">
        <f t="shared" si="6"/>
        <v>#VALUE!</v>
      </c>
      <c r="L23" s="121" t="e">
        <f t="shared" si="6"/>
        <v>#VALUE!</v>
      </c>
      <c r="M23" s="121" t="e">
        <f t="shared" si="6"/>
        <v>#VALUE!</v>
      </c>
      <c r="N23" s="121" t="e">
        <f t="shared" si="6"/>
        <v>#VALUE!</v>
      </c>
      <c r="O23" s="121" t="e">
        <f t="shared" si="6"/>
        <v>#VALUE!</v>
      </c>
      <c r="P23" s="121" t="e">
        <f t="shared" si="6"/>
        <v>#VALUE!</v>
      </c>
      <c r="Q23" s="121" t="e">
        <f t="shared" si="6"/>
        <v>#VALUE!</v>
      </c>
    </row>
    <row r="24" spans="1:17">
      <c r="B24" s="4"/>
      <c r="C24" s="63" t="s">
        <v>1832</v>
      </c>
      <c r="D24" s="46">
        <f>'MACRO DATA'!D37</f>
        <v>826</v>
      </c>
      <c r="E24" s="46">
        <f>'MACRO DATA'!E37</f>
        <v>780</v>
      </c>
      <c r="F24" s="46">
        <f>'MACRO DATA'!F37</f>
        <v>925</v>
      </c>
      <c r="G24" s="128">
        <f>'MACRO DATA'!G37</f>
        <v>1119</v>
      </c>
      <c r="H24" s="128">
        <f>'MACRO DATA'!H37</f>
        <v>0</v>
      </c>
      <c r="I24" s="123">
        <f>'MACRO DATA'!I37</f>
        <v>0</v>
      </c>
      <c r="J24" s="123">
        <f>'MACRO DATA'!J37</f>
        <v>0</v>
      </c>
      <c r="K24" s="123">
        <f>'MACRO DATA'!K37</f>
        <v>0</v>
      </c>
      <c r="L24" s="123">
        <f>'MACRO DATA'!L37</f>
        <v>0</v>
      </c>
      <c r="M24" s="123">
        <f>'MACRO DATA'!M37</f>
        <v>0</v>
      </c>
      <c r="N24" s="123">
        <f>'MACRO DATA'!N37</f>
        <v>0</v>
      </c>
      <c r="O24" s="123">
        <f>'MACRO DATA'!O37</f>
        <v>0</v>
      </c>
      <c r="P24" s="123">
        <f>'MACRO DATA'!P37</f>
        <v>0</v>
      </c>
      <c r="Q24" s="123">
        <f>'MACRO DATA'!Q37</f>
        <v>0</v>
      </c>
    </row>
    <row r="25" spans="1:17" ht="19.899999999999999" customHeight="1">
      <c r="B25" s="88" t="s">
        <v>1452</v>
      </c>
      <c r="C25" s="89" t="s">
        <v>1502</v>
      </c>
      <c r="D25" s="84">
        <f>D26/D9</f>
        <v>2.7369992535456579E-3</v>
      </c>
      <c r="E25" s="84">
        <f>E26/E9</f>
        <v>3.5327446623381778E-3</v>
      </c>
      <c r="F25" s="84">
        <f>F26/F9</f>
        <v>5.0240424129818747E-3</v>
      </c>
      <c r="G25" s="122">
        <f>G26/G9</f>
        <v>5.126640075567403E-3</v>
      </c>
      <c r="H25" s="122" t="e">
        <f t="shared" ref="H25:Q25" si="7">H26/H9</f>
        <v>#VALUE!</v>
      </c>
      <c r="I25" s="121" t="e">
        <f t="shared" si="7"/>
        <v>#VALUE!</v>
      </c>
      <c r="J25" s="121" t="e">
        <f t="shared" si="7"/>
        <v>#VALUE!</v>
      </c>
      <c r="K25" s="121" t="e">
        <f t="shared" si="7"/>
        <v>#VALUE!</v>
      </c>
      <c r="L25" s="121" t="e">
        <f t="shared" si="7"/>
        <v>#VALUE!</v>
      </c>
      <c r="M25" s="121" t="e">
        <f t="shared" si="7"/>
        <v>#VALUE!</v>
      </c>
      <c r="N25" s="121" t="e">
        <f t="shared" si="7"/>
        <v>#VALUE!</v>
      </c>
      <c r="O25" s="121" t="e">
        <f t="shared" si="7"/>
        <v>#VALUE!</v>
      </c>
      <c r="P25" s="121" t="e">
        <f t="shared" si="7"/>
        <v>#VALUE!</v>
      </c>
      <c r="Q25" s="121" t="e">
        <f t="shared" si="7"/>
        <v>#VALUE!</v>
      </c>
    </row>
    <row r="26" spans="1:17" ht="15">
      <c r="B26" s="88"/>
      <c r="C26" s="89" t="s">
        <v>1832</v>
      </c>
      <c r="D26" s="87">
        <f>'MACRO DATA'!D32</f>
        <v>22</v>
      </c>
      <c r="E26" s="87">
        <f>'MACRO DATA'!E32</f>
        <v>37</v>
      </c>
      <c r="F26" s="87">
        <f>'MACRO DATA'!F32</f>
        <v>64</v>
      </c>
      <c r="G26" s="126">
        <f>'MACRO DATA'!G32</f>
        <v>77</v>
      </c>
      <c r="H26" s="126">
        <f>'MACRO DATA'!H32</f>
        <v>0</v>
      </c>
      <c r="I26" s="123">
        <f>'MACRO DATA'!I32</f>
        <v>0</v>
      </c>
      <c r="J26" s="123">
        <f>'MACRO DATA'!J32</f>
        <v>0</v>
      </c>
      <c r="K26" s="123">
        <f>'MACRO DATA'!K32</f>
        <v>0</v>
      </c>
      <c r="L26" s="123">
        <f>'MACRO DATA'!L32</f>
        <v>0</v>
      </c>
      <c r="M26" s="123">
        <f>'MACRO DATA'!M32</f>
        <v>0</v>
      </c>
      <c r="N26" s="123">
        <f>'MACRO DATA'!N32</f>
        <v>0</v>
      </c>
      <c r="O26" s="123">
        <f>'MACRO DATA'!O32</f>
        <v>0</v>
      </c>
      <c r="P26" s="123">
        <f>'MACRO DATA'!P32</f>
        <v>0</v>
      </c>
      <c r="Q26" s="123">
        <f>'MACRO DATA'!Q32</f>
        <v>0</v>
      </c>
    </row>
    <row r="27" spans="1:17" ht="19.899999999999999" customHeight="1">
      <c r="B27" s="33" t="s">
        <v>1450</v>
      </c>
      <c r="C27" s="62" t="s">
        <v>1502</v>
      </c>
      <c r="D27" s="72">
        <f>D28/D9</f>
        <v>7.153520776312515E-2</v>
      </c>
      <c r="E27" s="72">
        <f>E28/E9</f>
        <v>0.11724893095544006</v>
      </c>
      <c r="F27" s="67">
        <f>F28/F9</f>
        <v>7.3084116976345703E-2</v>
      </c>
      <c r="G27" s="119">
        <f>G28/G9</f>
        <v>6.8377394254645757E-2</v>
      </c>
      <c r="H27" s="119" t="e">
        <f t="shared" ref="H27:Q27" si="8">H28/H9</f>
        <v>#VALUE!</v>
      </c>
      <c r="I27" s="119" t="e">
        <f t="shared" si="8"/>
        <v>#VALUE!</v>
      </c>
      <c r="J27" s="119" t="e">
        <f t="shared" si="8"/>
        <v>#VALUE!</v>
      </c>
      <c r="K27" s="119" t="e">
        <f t="shared" si="8"/>
        <v>#VALUE!</v>
      </c>
      <c r="L27" s="119" t="e">
        <f t="shared" si="8"/>
        <v>#VALUE!</v>
      </c>
      <c r="M27" s="119" t="e">
        <f t="shared" si="8"/>
        <v>#VALUE!</v>
      </c>
      <c r="N27" s="119" t="e">
        <f t="shared" si="8"/>
        <v>#VALUE!</v>
      </c>
      <c r="O27" s="119" t="e">
        <f t="shared" si="8"/>
        <v>#VALUE!</v>
      </c>
      <c r="P27" s="119" t="e">
        <f t="shared" si="8"/>
        <v>#VALUE!</v>
      </c>
      <c r="Q27" s="119" t="e">
        <f t="shared" si="8"/>
        <v>#VALUE!</v>
      </c>
    </row>
    <row r="28" spans="1:17" ht="15">
      <c r="B28" s="33"/>
      <c r="C28" s="62" t="s">
        <v>1832</v>
      </c>
      <c r="D28" s="46">
        <f>'MACRO DATA'!D29</f>
        <v>575</v>
      </c>
      <c r="E28" s="46">
        <f>'MACRO DATA'!E29</f>
        <v>1228</v>
      </c>
      <c r="F28" s="74">
        <f>'MACRO DATA'!F29</f>
        <v>931</v>
      </c>
      <c r="G28" s="125">
        <f>'MACRO DATA'!G29</f>
        <v>1027</v>
      </c>
      <c r="H28" s="125">
        <f>'MACRO DATA'!H29</f>
        <v>0</v>
      </c>
      <c r="I28" s="125">
        <f>'MACRO DATA'!I29</f>
        <v>0</v>
      </c>
      <c r="J28" s="125">
        <f>'MACRO DATA'!J29</f>
        <v>0</v>
      </c>
      <c r="K28" s="125">
        <f>'MACRO DATA'!K29</f>
        <v>0</v>
      </c>
      <c r="L28" s="125">
        <f>'MACRO DATA'!L29</f>
        <v>0</v>
      </c>
      <c r="M28" s="125">
        <f>'MACRO DATA'!M29</f>
        <v>0</v>
      </c>
      <c r="N28" s="125">
        <f>'MACRO DATA'!N29</f>
        <v>0</v>
      </c>
      <c r="O28" s="125">
        <f>'MACRO DATA'!O29</f>
        <v>0</v>
      </c>
      <c r="P28" s="125">
        <f>'MACRO DATA'!P29</f>
        <v>0</v>
      </c>
      <c r="Q28" s="125">
        <f>'MACRO DATA'!Q29</f>
        <v>0</v>
      </c>
    </row>
    <row r="29" spans="1:17">
      <c r="B29" s="85" t="s">
        <v>1919</v>
      </c>
      <c r="C29" s="89" t="s">
        <v>1502</v>
      </c>
      <c r="D29" s="84">
        <f>D30/D$9</f>
        <v>7.153520776312515E-2</v>
      </c>
      <c r="E29" s="84">
        <f>E30/E9</f>
        <v>0.11724893095544006</v>
      </c>
      <c r="F29" s="84">
        <f>F30/F9</f>
        <v>7.3084116976345703E-2</v>
      </c>
      <c r="G29" s="84">
        <f>G30/G9</f>
        <v>6.8377394254645757E-2</v>
      </c>
      <c r="H29" s="84" t="e">
        <f t="shared" ref="H29:Q29" si="9">H30/H9</f>
        <v>#VALUE!</v>
      </c>
      <c r="I29" s="68" t="e">
        <f t="shared" si="9"/>
        <v>#VALUE!</v>
      </c>
      <c r="J29" s="68" t="e">
        <f t="shared" si="9"/>
        <v>#VALUE!</v>
      </c>
      <c r="K29" s="68" t="e">
        <f t="shared" si="9"/>
        <v>#VALUE!</v>
      </c>
      <c r="L29" s="68" t="e">
        <f t="shared" si="9"/>
        <v>#VALUE!</v>
      </c>
      <c r="M29" s="68" t="e">
        <f t="shared" si="9"/>
        <v>#VALUE!</v>
      </c>
      <c r="N29" s="68" t="e">
        <f t="shared" si="9"/>
        <v>#VALUE!</v>
      </c>
      <c r="O29" s="68" t="e">
        <f t="shared" si="9"/>
        <v>#VALUE!</v>
      </c>
      <c r="P29" s="68" t="e">
        <f t="shared" si="9"/>
        <v>#VALUE!</v>
      </c>
      <c r="Q29" s="68" t="e">
        <f t="shared" si="9"/>
        <v>#VALUE!</v>
      </c>
    </row>
    <row r="30" spans="1:17">
      <c r="B30" s="85"/>
      <c r="C30" s="89" t="s">
        <v>1832</v>
      </c>
      <c r="D30" s="87">
        <f>'MACRO DATA'!D30+'MACRO DATA'!D84*'MACRO DATA'!D73</f>
        <v>575</v>
      </c>
      <c r="E30" s="87">
        <f>'MACRO DATA'!E30+'MACRO DATA'!E84*'MACRO DATA'!E73</f>
        <v>1228</v>
      </c>
      <c r="F30" s="87">
        <f>'MACRO DATA'!F30+'MACRO DATA'!F84*'MACRO DATA'!F73</f>
        <v>931</v>
      </c>
      <c r="G30" s="87">
        <f>'MACRO DATA'!G30+'MACRO DATA'!G84*'MACRO DATA'!G73</f>
        <v>1027</v>
      </c>
      <c r="H30" s="87">
        <f>'MACRO DATA'!H30+'MACRO DATA'!H84*'MACRO DATA'!H73</f>
        <v>0</v>
      </c>
      <c r="I30" s="69">
        <f>'MACRO DATA'!I30+'MACRO DATA'!I84*'MACRO DATA'!I73</f>
        <v>0</v>
      </c>
      <c r="J30" s="69">
        <f>'MACRO DATA'!J30+'MACRO DATA'!J84*'MACRO DATA'!J73</f>
        <v>0</v>
      </c>
      <c r="K30" s="69">
        <f>'MACRO DATA'!K30+'MACRO DATA'!K84*'MACRO DATA'!K73</f>
        <v>0</v>
      </c>
      <c r="L30" s="69">
        <f>'MACRO DATA'!L30+'MACRO DATA'!L84*'MACRO DATA'!L73</f>
        <v>0</v>
      </c>
      <c r="M30" s="69">
        <f>'MACRO DATA'!M30+'MACRO DATA'!M84*'MACRO DATA'!M73</f>
        <v>0</v>
      </c>
      <c r="N30" s="69">
        <f>'MACRO DATA'!N30+'MACRO DATA'!N84*'MACRO DATA'!N73</f>
        <v>0</v>
      </c>
      <c r="O30" s="69">
        <f>'MACRO DATA'!O30+'MACRO DATA'!O84*'MACRO DATA'!O73</f>
        <v>0</v>
      </c>
      <c r="P30" s="69">
        <f>'MACRO DATA'!P30+'MACRO DATA'!P84*'MACRO DATA'!P73</f>
        <v>0</v>
      </c>
      <c r="Q30" s="69">
        <f>'MACRO DATA'!Q30+'MACRO DATA'!Q84*'MACRO DATA'!Q73</f>
        <v>0</v>
      </c>
    </row>
    <row r="31" spans="1:17">
      <c r="B31" s="32" t="s">
        <v>1937</v>
      </c>
      <c r="C31" s="62" t="s">
        <v>1502</v>
      </c>
      <c r="D31" s="68">
        <f>D32/D$9</f>
        <v>0</v>
      </c>
      <c r="E31" s="68">
        <f>E32/E$9</f>
        <v>0</v>
      </c>
      <c r="F31" s="68">
        <f>F32/F$9</f>
        <v>0</v>
      </c>
      <c r="G31" s="68">
        <f>G32/G$9</f>
        <v>0</v>
      </c>
      <c r="H31" s="68" t="e">
        <f t="shared" ref="H31:Q31" si="10">H32/H$9</f>
        <v>#VALUE!</v>
      </c>
      <c r="I31" s="68" t="e">
        <f t="shared" si="10"/>
        <v>#VALUE!</v>
      </c>
      <c r="J31" s="68" t="e">
        <f t="shared" si="10"/>
        <v>#VALUE!</v>
      </c>
      <c r="K31" s="68" t="e">
        <f t="shared" si="10"/>
        <v>#VALUE!</v>
      </c>
      <c r="L31" s="68" t="e">
        <f t="shared" si="10"/>
        <v>#VALUE!</v>
      </c>
      <c r="M31" s="68" t="e">
        <f t="shared" si="10"/>
        <v>#VALUE!</v>
      </c>
      <c r="N31" s="68" t="e">
        <f t="shared" si="10"/>
        <v>#VALUE!</v>
      </c>
      <c r="O31" s="68" t="e">
        <f t="shared" si="10"/>
        <v>#VALUE!</v>
      </c>
      <c r="P31" s="68" t="e">
        <f t="shared" si="10"/>
        <v>#VALUE!</v>
      </c>
      <c r="Q31" s="68" t="e">
        <f t="shared" si="10"/>
        <v>#VALUE!</v>
      </c>
    </row>
    <row r="32" spans="1:17">
      <c r="A32">
        <v>1</v>
      </c>
      <c r="B32" s="32"/>
      <c r="C32" s="62" t="s">
        <v>1832</v>
      </c>
      <c r="D32" s="69">
        <f>D28-D30</f>
        <v>0</v>
      </c>
      <c r="E32" s="69">
        <f>E28-E30</f>
        <v>0</v>
      </c>
      <c r="F32" s="69">
        <f>F28-F30</f>
        <v>0</v>
      </c>
      <c r="G32" s="69">
        <f>G28-G30</f>
        <v>0</v>
      </c>
      <c r="H32" s="69">
        <f t="shared" ref="H32:Q32" si="11">H28-H30</f>
        <v>0</v>
      </c>
      <c r="I32" s="69">
        <f t="shared" si="11"/>
        <v>0</v>
      </c>
      <c r="J32" s="69">
        <f t="shared" si="11"/>
        <v>0</v>
      </c>
      <c r="K32" s="69">
        <f t="shared" si="11"/>
        <v>0</v>
      </c>
      <c r="L32" s="69">
        <f t="shared" si="11"/>
        <v>0</v>
      </c>
      <c r="M32" s="69">
        <f t="shared" si="11"/>
        <v>0</v>
      </c>
      <c r="N32" s="69">
        <f t="shared" si="11"/>
        <v>0</v>
      </c>
      <c r="O32" s="69">
        <f t="shared" si="11"/>
        <v>0</v>
      </c>
      <c r="P32" s="69">
        <f t="shared" si="11"/>
        <v>0</v>
      </c>
      <c r="Q32" s="69">
        <f t="shared" si="11"/>
        <v>0</v>
      </c>
    </row>
    <row r="33" spans="2:52">
      <c r="B33" s="32" t="s">
        <v>225</v>
      </c>
      <c r="C33" s="62"/>
      <c r="D33" s="69">
        <v>0</v>
      </c>
      <c r="E33" s="69">
        <v>0</v>
      </c>
      <c r="F33" s="69">
        <f>('MACRO DATA'!E41+E33)*'VAR-based GEXP growth adj'!H21*(1+'MACRO DATA'!F10)</f>
        <v>152.4934867993436</v>
      </c>
      <c r="G33" s="69">
        <f>('MACRO DATA'!F41+F33)*'VAR-based GEXP growth adj'!I21*(1+'MACRO DATA'!G10)</f>
        <v>11.810142004623671</v>
      </c>
      <c r="H33" s="69" t="e">
        <f>('MACRO DATA'!G41+G33)*'VAR-based GEXP growth adj'!J21*(1+'MACRO DATA'!H10)</f>
        <v>#VALUE!</v>
      </c>
      <c r="I33" s="69" t="e">
        <f>('MACRO DATA'!H41+H33)*'VAR-based GEXP growth adj'!K21*(1+'MACRO DATA'!I10)</f>
        <v>#VALUE!</v>
      </c>
      <c r="J33" s="69" t="e">
        <f>('MACRO DATA'!I41+I33)*'VAR-based GEXP growth adj'!L21*(1+'MACRO DATA'!J10)</f>
        <v>#VALUE!</v>
      </c>
      <c r="K33" s="69" t="e">
        <f>('MACRO DATA'!J41+J33)*'VAR-based GEXP growth adj'!M21*(1+'MACRO DATA'!K10)</f>
        <v>#VALUE!</v>
      </c>
      <c r="L33" s="69" t="e">
        <f>('MACRO DATA'!K41+K33)*'VAR-based GEXP growth adj'!N21*(1+'MACRO DATA'!L10)</f>
        <v>#VALUE!</v>
      </c>
      <c r="M33" s="69" t="e">
        <f>('MACRO DATA'!L41+L33)*'VAR-based GEXP growth adj'!O21*(1+'MACRO DATA'!M10)</f>
        <v>#VALUE!</v>
      </c>
      <c r="N33" s="69" t="e">
        <f>('MACRO DATA'!M41+M33)*'VAR-based GEXP growth adj'!P21*(1+'MACRO DATA'!N10)</f>
        <v>#VALUE!</v>
      </c>
      <c r="O33" s="69" t="e">
        <f>('MACRO DATA'!N41+N33)*'VAR-based GEXP growth adj'!Q21*(1+'MACRO DATA'!O10)</f>
        <v>#VALUE!</v>
      </c>
      <c r="P33" s="69" t="e">
        <f>('MACRO DATA'!O41+O33)*'VAR-based GEXP growth adj'!R21*(1+'MACRO DATA'!P10)</f>
        <v>#VALUE!</v>
      </c>
      <c r="Q33" s="69" t="e">
        <f>('MACRO DATA'!P41+P33)*'VAR-based GEXP growth adj'!S21*(1+'MACRO DATA'!Q10)</f>
        <v>#VALUE!</v>
      </c>
    </row>
    <row r="34" spans="2:52" ht="19.899999999999999" customHeight="1">
      <c r="B34" s="88" t="s">
        <v>1458</v>
      </c>
      <c r="C34" s="89" t="s">
        <v>1502</v>
      </c>
      <c r="D34" s="90">
        <f>D35/D9</f>
        <v>0.18997263000746453</v>
      </c>
      <c r="E34" s="90">
        <f>E35/E9</f>
        <v>0.21883920989402983</v>
      </c>
      <c r="F34" s="90">
        <f>F35/F9</f>
        <v>0.20916450448115409</v>
      </c>
      <c r="G34" s="129">
        <f>G35/G9</f>
        <v>0.1951325808815623</v>
      </c>
      <c r="H34" s="129" t="e">
        <f t="shared" ref="H34:Q34" si="12">H35/H9</f>
        <v>#VALUE!</v>
      </c>
      <c r="I34" s="616" t="e">
        <f t="shared" si="12"/>
        <v>#VALUE!</v>
      </c>
      <c r="J34" s="616" t="e">
        <f t="shared" si="12"/>
        <v>#VALUE!</v>
      </c>
      <c r="K34" s="616" t="e">
        <f t="shared" si="12"/>
        <v>#VALUE!</v>
      </c>
      <c r="L34" s="616" t="e">
        <f t="shared" si="12"/>
        <v>#VALUE!</v>
      </c>
      <c r="M34" s="616" t="e">
        <f t="shared" si="12"/>
        <v>#VALUE!</v>
      </c>
      <c r="N34" s="616" t="e">
        <f t="shared" si="12"/>
        <v>#VALUE!</v>
      </c>
      <c r="O34" s="616" t="e">
        <f t="shared" si="12"/>
        <v>#VALUE!</v>
      </c>
      <c r="P34" s="616" t="e">
        <f t="shared" si="12"/>
        <v>#VALUE!</v>
      </c>
      <c r="Q34" s="616" t="e">
        <f t="shared" si="12"/>
        <v>#VALUE!</v>
      </c>
    </row>
    <row r="35" spans="2:52" ht="15">
      <c r="B35" s="88"/>
      <c r="C35" s="89" t="s">
        <v>1833</v>
      </c>
      <c r="D35" s="91">
        <f>IF($C$1=1,'MACRO DATA'!D39+D33,'MACRO DATA'!D39)</f>
        <v>1527</v>
      </c>
      <c r="E35" s="91">
        <f>IF($C$1=1,'MACRO DATA'!E39+E33,'MACRO DATA'!E39)</f>
        <v>2292</v>
      </c>
      <c r="F35" s="91">
        <f>IF($C$1=1,'MACRO DATA'!F39+F33,'MACRO DATA'!F39)</f>
        <v>2664.4934867993434</v>
      </c>
      <c r="G35" s="91">
        <f>IF($C$1=1,'MACRO DATA'!G39+G33,'MACRO DATA'!G39)</f>
        <v>2930.8101420046237</v>
      </c>
      <c r="H35" s="91" t="e">
        <f>IF($C$1=1,'MACRO DATA'!H39+H33,'MACRO DATA'!H39)</f>
        <v>#VALUE!</v>
      </c>
      <c r="I35" s="91" t="e">
        <f>IF($C$1=1,'MACRO DATA'!I39+I33,'MACRO DATA'!I39)</f>
        <v>#VALUE!</v>
      </c>
      <c r="J35" s="91" t="e">
        <f>IF($C$1=1,'MACRO DATA'!J39+J33,'MACRO DATA'!J39)</f>
        <v>#VALUE!</v>
      </c>
      <c r="K35" s="91" t="e">
        <f>IF($C$1=1,'MACRO DATA'!K39+K33,'MACRO DATA'!K39)</f>
        <v>#VALUE!</v>
      </c>
      <c r="L35" s="91" t="e">
        <f>IF($C$1=1,'MACRO DATA'!L39+L33,'MACRO DATA'!L39)</f>
        <v>#VALUE!</v>
      </c>
      <c r="M35" s="91" t="e">
        <f>IF($C$1=1,'MACRO DATA'!M39+M33,'MACRO DATA'!M39)</f>
        <v>#VALUE!</v>
      </c>
      <c r="N35" s="91" t="e">
        <f>IF($C$1=1,'MACRO DATA'!N39+N33,'MACRO DATA'!N39)</f>
        <v>#VALUE!</v>
      </c>
      <c r="O35" s="91" t="e">
        <f>IF($C$1=1,'MACRO DATA'!O39+O33,'MACRO DATA'!O39)</f>
        <v>#VALUE!</v>
      </c>
      <c r="P35" s="91" t="e">
        <f>IF($C$1=1,'MACRO DATA'!P39+P33,'MACRO DATA'!P39)</f>
        <v>#VALUE!</v>
      </c>
      <c r="Q35" s="91" t="e">
        <f>IF($C$1=1,'MACRO DATA'!Q39+Q33,'MACRO DATA'!Q39)</f>
        <v>#VALUE!</v>
      </c>
      <c r="R35" s="91">
        <f>IF($C$1=1,'MACRO DATA'!R39+R33,'MACRO DATA'!R39)</f>
        <v>0</v>
      </c>
      <c r="S35" s="91">
        <f>IF($C$1=1,'MACRO DATA'!S39+S33,'MACRO DATA'!S39)</f>
        <v>0</v>
      </c>
      <c r="T35" s="91">
        <f>IF($C$1=1,'MACRO DATA'!T39+T33,'MACRO DATA'!T39)</f>
        <v>0</v>
      </c>
      <c r="U35" s="91">
        <f>IF($C$1=1,'MACRO DATA'!U39+U33,'MACRO DATA'!U39)</f>
        <v>0</v>
      </c>
      <c r="V35" s="91">
        <f>IF($C$1=1,'MACRO DATA'!V39+V33,'MACRO DATA'!V39)</f>
        <v>0</v>
      </c>
      <c r="W35" s="91">
        <f>IF($C$1=1,'MACRO DATA'!W39+W33,'MACRO DATA'!W39)</f>
        <v>0</v>
      </c>
      <c r="X35" s="91">
        <f>IF($C$1=1,'MACRO DATA'!X39+X33,'MACRO DATA'!X39)</f>
        <v>0</v>
      </c>
      <c r="Y35" s="91">
        <f>IF($C$1=1,'MACRO DATA'!Y39+Y33,'MACRO DATA'!Y39)</f>
        <v>0</v>
      </c>
      <c r="Z35" s="91">
        <f>IF($C$1=1,'MACRO DATA'!Z39+Z33,'MACRO DATA'!Z39)</f>
        <v>0</v>
      </c>
      <c r="AA35" s="91">
        <f>IF($C$1=1,'MACRO DATA'!AA39+AA33,'MACRO DATA'!AA39)</f>
        <v>0</v>
      </c>
      <c r="AB35" s="91">
        <f>IF($C$1=1,'MACRO DATA'!AB39+AB33,'MACRO DATA'!AB39)</f>
        <v>0</v>
      </c>
      <c r="AC35" s="91">
        <f>IF($C$1=1,'MACRO DATA'!AC39+AC33,'MACRO DATA'!AC39)</f>
        <v>0</v>
      </c>
      <c r="AD35" s="91">
        <f>IF($C$1=1,'MACRO DATA'!AD39+AD33,'MACRO DATA'!AD39)</f>
        <v>0</v>
      </c>
      <c r="AE35" s="91">
        <f>IF($C$1=1,'MACRO DATA'!AE39+AE33,'MACRO DATA'!AE39)</f>
        <v>0</v>
      </c>
      <c r="AF35" s="91">
        <f>IF($C$1=1,'MACRO DATA'!AF39+AF33,'MACRO DATA'!AF39)</f>
        <v>0</v>
      </c>
      <c r="AG35" s="91">
        <f>IF($C$1=1,'MACRO DATA'!AG39+AG33,'MACRO DATA'!AG39)</f>
        <v>0</v>
      </c>
      <c r="AH35" s="91">
        <f>IF($C$1=1,'MACRO DATA'!AH39+AH33,'MACRO DATA'!AH39)</f>
        <v>0</v>
      </c>
      <c r="AI35" s="91">
        <f>IF($C$1=1,'MACRO DATA'!AI39+AI33,'MACRO DATA'!AI39)</f>
        <v>0</v>
      </c>
      <c r="AJ35" s="91">
        <f>IF($C$1=1,'MACRO DATA'!AJ39+AJ33,'MACRO DATA'!AJ39)</f>
        <v>0</v>
      </c>
      <c r="AK35" s="91">
        <f>IF($C$1=1,'MACRO DATA'!AK39+AK33,'MACRO DATA'!AK39)</f>
        <v>0</v>
      </c>
      <c r="AL35" s="91">
        <f>IF($C$1=1,'MACRO DATA'!AL39+AL33,'MACRO DATA'!AL39)</f>
        <v>0</v>
      </c>
      <c r="AM35" s="91">
        <f>IF($C$1=1,'MACRO DATA'!AM39+AM33,'MACRO DATA'!AM39)</f>
        <v>0</v>
      </c>
      <c r="AN35" s="91">
        <f>IF($C$1=1,'MACRO DATA'!AN39+AN33,'MACRO DATA'!AN39)</f>
        <v>0</v>
      </c>
      <c r="AO35" s="91">
        <f>IF($C$1=1,'MACRO DATA'!AO39+AO33,'MACRO DATA'!AO39)</f>
        <v>0</v>
      </c>
      <c r="AP35" s="91">
        <f>IF($C$1=1,'MACRO DATA'!AP39+AP33,'MACRO DATA'!AP39)</f>
        <v>0</v>
      </c>
      <c r="AQ35" s="91">
        <f>IF($C$1=1,'MACRO DATA'!AQ39+AQ33,'MACRO DATA'!AQ39)</f>
        <v>0</v>
      </c>
      <c r="AR35" s="91">
        <f>IF($C$1=1,'MACRO DATA'!AR39+AR33,'MACRO DATA'!AR39)</f>
        <v>0</v>
      </c>
      <c r="AS35" s="91">
        <f>IF($C$1=1,'MACRO DATA'!AS39+AS33,'MACRO DATA'!AS39)</f>
        <v>0</v>
      </c>
      <c r="AT35" s="91">
        <f>IF($C$1=1,'MACRO DATA'!AT39+AT33,'MACRO DATA'!AT39)</f>
        <v>0</v>
      </c>
      <c r="AU35" s="91">
        <f>IF($C$1=1,'MACRO DATA'!AU39+AU33,'MACRO DATA'!AU39)</f>
        <v>0</v>
      </c>
      <c r="AV35" s="91">
        <f>IF($C$1=1,'MACRO DATA'!AV39+AV33,'MACRO DATA'!AV39)</f>
        <v>0</v>
      </c>
      <c r="AW35" s="91">
        <f>IF($C$1=1,'MACRO DATA'!AW39+AW33,'MACRO DATA'!AW39)</f>
        <v>0</v>
      </c>
      <c r="AX35" s="91">
        <f>IF($C$1=1,'MACRO DATA'!AX39+AX33,'MACRO DATA'!AX39)</f>
        <v>0</v>
      </c>
      <c r="AY35" s="91">
        <f>IF($C$1=1,'MACRO DATA'!AY39+AY33,'MACRO DATA'!AY39)</f>
        <v>0</v>
      </c>
      <c r="AZ35" s="91">
        <f>IF($C$1=1,'MACRO DATA'!AZ39+AZ33,'MACRO DATA'!AZ39)</f>
        <v>0</v>
      </c>
    </row>
    <row r="36" spans="2:52">
      <c r="B36" s="4" t="s">
        <v>1459</v>
      </c>
      <c r="C36" s="62" t="s">
        <v>1502</v>
      </c>
      <c r="D36" s="68">
        <f>D37/D9</f>
        <v>0.11358546902214481</v>
      </c>
      <c r="E36" s="68">
        <f>E37/E9</f>
        <v>0.13328950131416475</v>
      </c>
      <c r="F36" s="67">
        <f>E36</f>
        <v>0.13328950131416475</v>
      </c>
      <c r="G36" s="119">
        <f>F36</f>
        <v>0.13328950131416475</v>
      </c>
      <c r="H36" s="119">
        <f t="shared" ref="H36:Q36" si="13">G36</f>
        <v>0.13328950131416475</v>
      </c>
      <c r="I36" s="119">
        <f t="shared" si="13"/>
        <v>0.13328950131416475</v>
      </c>
      <c r="J36" s="119">
        <f t="shared" si="13"/>
        <v>0.13328950131416475</v>
      </c>
      <c r="K36" s="119">
        <f t="shared" si="13"/>
        <v>0.13328950131416475</v>
      </c>
      <c r="L36" s="119">
        <f t="shared" si="13"/>
        <v>0.13328950131416475</v>
      </c>
      <c r="M36" s="119">
        <f t="shared" si="13"/>
        <v>0.13328950131416475</v>
      </c>
      <c r="N36" s="119">
        <f t="shared" si="13"/>
        <v>0.13328950131416475</v>
      </c>
      <c r="O36" s="119">
        <f t="shared" si="13"/>
        <v>0.13328950131416475</v>
      </c>
      <c r="P36" s="119">
        <f t="shared" si="13"/>
        <v>0.13328950131416475</v>
      </c>
      <c r="Q36" s="119">
        <f t="shared" si="13"/>
        <v>0.13328950131416475</v>
      </c>
    </row>
    <row r="37" spans="2:52">
      <c r="B37" s="4"/>
      <c r="C37" s="62" t="s">
        <v>1833</v>
      </c>
      <c r="D37" s="69">
        <f>IF($C$1=1,'MACRO DATA'!D40+D33,'MACRO DATA'!D40)</f>
        <v>913</v>
      </c>
      <c r="E37" s="69">
        <f>IF($C$1=1,'MACRO DATA'!E40+E33,'MACRO DATA'!E40)</f>
        <v>1396</v>
      </c>
      <c r="F37" s="69">
        <f>IF($C$1=1,'MACRO DATA'!F40+F33,'MACRO DATA'!F40)</f>
        <v>1658.4934867993436</v>
      </c>
      <c r="G37" s="69">
        <f>IF($C$1=1,'MACRO DATA'!G40+G33,'MACRO DATA'!G40)</f>
        <v>1811.8101420046237</v>
      </c>
      <c r="H37" s="69" t="e">
        <f>IF($C$1=1,'MACRO DATA'!H40+H33,'MACRO DATA'!H40)</f>
        <v>#VALUE!</v>
      </c>
      <c r="I37" s="69" t="e">
        <f>IF($C$1=1,'MACRO DATA'!I40+I33,'MACRO DATA'!I40)</f>
        <v>#VALUE!</v>
      </c>
      <c r="J37" s="69" t="e">
        <f>IF($C$1=1,'MACRO DATA'!J40+J33,'MACRO DATA'!J40)</f>
        <v>#VALUE!</v>
      </c>
      <c r="K37" s="69" t="e">
        <f>IF($C$1=1,'MACRO DATA'!K40+K33,'MACRO DATA'!K40)</f>
        <v>#VALUE!</v>
      </c>
      <c r="L37" s="69" t="e">
        <f>IF($C$1=1,'MACRO DATA'!L40+L33,'MACRO DATA'!L40)</f>
        <v>#VALUE!</v>
      </c>
      <c r="M37" s="69" t="e">
        <f>IF($C$1=1,'MACRO DATA'!M40+M33,'MACRO DATA'!M40)</f>
        <v>#VALUE!</v>
      </c>
      <c r="N37" s="69" t="e">
        <f>IF($C$1=1,'MACRO DATA'!N40+N33,'MACRO DATA'!N40)</f>
        <v>#VALUE!</v>
      </c>
      <c r="O37" s="69" t="e">
        <f>IF($C$1=1,'MACRO DATA'!O40+O33,'MACRO DATA'!O40)</f>
        <v>#VALUE!</v>
      </c>
      <c r="P37" s="69" t="e">
        <f>IF($C$1=1,'MACRO DATA'!P40+P33,'MACRO DATA'!P40)</f>
        <v>#VALUE!</v>
      </c>
      <c r="Q37" s="69" t="e">
        <f>IF($C$1=1,'MACRO DATA'!Q40+Q33,'MACRO DATA'!Q40)</f>
        <v>#VALUE!</v>
      </c>
      <c r="R37" s="69">
        <f>IF($C$1=1,'MACRO DATA'!R40+R33,'MACRO DATA'!R40)</f>
        <v>0</v>
      </c>
      <c r="S37" s="69">
        <f>IF($C$1=1,'MACRO DATA'!S40+S33,'MACRO DATA'!S40)</f>
        <v>0</v>
      </c>
      <c r="T37" s="69">
        <f>IF($C$1=1,'MACRO DATA'!T40+T33,'MACRO DATA'!T40)</f>
        <v>0</v>
      </c>
      <c r="U37" s="69">
        <f>IF($C$1=1,'MACRO DATA'!U40+U33,'MACRO DATA'!U40)</f>
        <v>0</v>
      </c>
      <c r="V37" s="69">
        <f>IF($C$1=1,'MACRO DATA'!V40+V33,'MACRO DATA'!V40)</f>
        <v>0</v>
      </c>
      <c r="W37" s="69">
        <f>IF($C$1=1,'MACRO DATA'!W40+W33,'MACRO DATA'!W40)</f>
        <v>0</v>
      </c>
      <c r="X37" s="69">
        <f>IF($C$1=1,'MACRO DATA'!X40+X33,'MACRO DATA'!X40)</f>
        <v>0</v>
      </c>
      <c r="Y37" s="69">
        <f>IF($C$1=1,'MACRO DATA'!Y40+Y33,'MACRO DATA'!Y40)</f>
        <v>0</v>
      </c>
      <c r="Z37" s="69">
        <f>IF($C$1=1,'MACRO DATA'!Z40+Z33,'MACRO DATA'!Z40)</f>
        <v>0</v>
      </c>
      <c r="AA37" s="69">
        <f>IF($C$1=1,'MACRO DATA'!AA40+AA33,'MACRO DATA'!AA40)</f>
        <v>0</v>
      </c>
      <c r="AB37" s="69">
        <f>IF($C$1=1,'MACRO DATA'!AB40+AB33,'MACRO DATA'!AB40)</f>
        <v>0</v>
      </c>
      <c r="AC37" s="69">
        <f>IF($C$1=1,'MACRO DATA'!AC40+AC33,'MACRO DATA'!AC40)</f>
        <v>0</v>
      </c>
      <c r="AD37" s="69">
        <f>IF($C$1=1,'MACRO DATA'!AD40+AD33,'MACRO DATA'!AD40)</f>
        <v>0</v>
      </c>
      <c r="AE37" s="69">
        <f>IF($C$1=1,'MACRO DATA'!AE40+AE33,'MACRO DATA'!AE40)</f>
        <v>0</v>
      </c>
      <c r="AF37" s="69">
        <f>IF($C$1=1,'MACRO DATA'!AF40+AF33,'MACRO DATA'!AF40)</f>
        <v>0</v>
      </c>
      <c r="AG37" s="69">
        <f>IF($C$1=1,'MACRO DATA'!AG40+AG33,'MACRO DATA'!AG40)</f>
        <v>0</v>
      </c>
      <c r="AH37" s="69">
        <f>IF($C$1=1,'MACRO DATA'!AH40+AH33,'MACRO DATA'!AH40)</f>
        <v>0</v>
      </c>
      <c r="AI37" s="69">
        <f>IF($C$1=1,'MACRO DATA'!AI40+AI33,'MACRO DATA'!AI40)</f>
        <v>0</v>
      </c>
      <c r="AJ37" s="69">
        <f>IF($C$1=1,'MACRO DATA'!AJ40+AJ33,'MACRO DATA'!AJ40)</f>
        <v>0</v>
      </c>
      <c r="AK37" s="69">
        <f>IF($C$1=1,'MACRO DATA'!AK40+AK33,'MACRO DATA'!AK40)</f>
        <v>0</v>
      </c>
      <c r="AL37" s="69">
        <f>IF($C$1=1,'MACRO DATA'!AL40+AL33,'MACRO DATA'!AL40)</f>
        <v>0</v>
      </c>
      <c r="AM37" s="69">
        <f>IF($C$1=1,'MACRO DATA'!AM40+AM33,'MACRO DATA'!AM40)</f>
        <v>0</v>
      </c>
      <c r="AN37" s="69">
        <f>IF($C$1=1,'MACRO DATA'!AN40+AN33,'MACRO DATA'!AN40)</f>
        <v>0</v>
      </c>
      <c r="AO37" s="69">
        <f>IF($C$1=1,'MACRO DATA'!AO40+AO33,'MACRO DATA'!AO40)</f>
        <v>0</v>
      </c>
      <c r="AP37" s="69">
        <f>IF($C$1=1,'MACRO DATA'!AP40+AP33,'MACRO DATA'!AP40)</f>
        <v>0</v>
      </c>
      <c r="AQ37" s="69">
        <f>IF($C$1=1,'MACRO DATA'!AQ40+AQ33,'MACRO DATA'!AQ40)</f>
        <v>0</v>
      </c>
      <c r="AR37" s="69">
        <f>IF($C$1=1,'MACRO DATA'!AR40+AR33,'MACRO DATA'!AR40)</f>
        <v>0</v>
      </c>
      <c r="AS37" s="69">
        <f>IF($C$1=1,'MACRO DATA'!AS40+AS33,'MACRO DATA'!AS40)</f>
        <v>0</v>
      </c>
      <c r="AT37" s="69">
        <f>IF($C$1=1,'MACRO DATA'!AT40+AT33,'MACRO DATA'!AT40)</f>
        <v>0</v>
      </c>
      <c r="AU37" s="69">
        <f>IF($C$1=1,'MACRO DATA'!AU40+AU33,'MACRO DATA'!AU40)</f>
        <v>0</v>
      </c>
      <c r="AV37" s="69">
        <f>IF($C$1=1,'MACRO DATA'!AV40+AV33,'MACRO DATA'!AV40)</f>
        <v>0</v>
      </c>
      <c r="AW37" s="69">
        <f>IF($C$1=1,'MACRO DATA'!AW40+AW33,'MACRO DATA'!AW40)</f>
        <v>0</v>
      </c>
      <c r="AX37" s="69">
        <f>IF($C$1=1,'MACRO DATA'!AX40+AX33,'MACRO DATA'!AX40)</f>
        <v>0</v>
      </c>
      <c r="AY37" s="69">
        <f>IF($C$1=1,'MACRO DATA'!AY40+AY33,'MACRO DATA'!AY40)</f>
        <v>0</v>
      </c>
      <c r="AZ37" s="69">
        <f>IF($C$1=1,'MACRO DATA'!AZ40+AZ33,'MACRO DATA'!AZ40)</f>
        <v>0</v>
      </c>
    </row>
    <row r="38" spans="2:52">
      <c r="B38" s="85" t="s">
        <v>1917</v>
      </c>
      <c r="C38" s="89" t="s">
        <v>1502</v>
      </c>
      <c r="D38" s="84">
        <f>D39/D9</f>
        <v>6.6932072654889277E-2</v>
      </c>
      <c r="E38" s="84">
        <f>E39/E9</f>
        <v>7.075037283223215E-2</v>
      </c>
      <c r="F38" s="84">
        <f>F39/F9</f>
        <v>8.3563444156607242E-2</v>
      </c>
      <c r="G38" s="122">
        <f>G39/G9</f>
        <v>7.329165441028504E-2</v>
      </c>
      <c r="H38" s="122" t="e">
        <f t="shared" ref="H38:Q38" si="14">H39/H9</f>
        <v>#VALUE!</v>
      </c>
      <c r="I38" s="121" t="e">
        <f t="shared" si="14"/>
        <v>#VALUE!</v>
      </c>
      <c r="J38" s="121" t="e">
        <f t="shared" si="14"/>
        <v>#VALUE!</v>
      </c>
      <c r="K38" s="121" t="e">
        <f t="shared" si="14"/>
        <v>#VALUE!</v>
      </c>
      <c r="L38" s="121" t="e">
        <f t="shared" si="14"/>
        <v>#VALUE!</v>
      </c>
      <c r="M38" s="121" t="e">
        <f t="shared" si="14"/>
        <v>#VALUE!</v>
      </c>
      <c r="N38" s="121" t="e">
        <f t="shared" si="14"/>
        <v>#VALUE!</v>
      </c>
      <c r="O38" s="121" t="e">
        <f t="shared" si="14"/>
        <v>#VALUE!</v>
      </c>
      <c r="P38" s="121" t="e">
        <f t="shared" si="14"/>
        <v>#VALUE!</v>
      </c>
      <c r="Q38" s="121" t="e">
        <f t="shared" si="14"/>
        <v>#VALUE!</v>
      </c>
    </row>
    <row r="39" spans="2:52">
      <c r="B39" s="85"/>
      <c r="C39" s="89" t="s">
        <v>1833</v>
      </c>
      <c r="D39" s="87">
        <f>IF($C$1=1,'MACRO DATA'!D41+D33,'MACRO DATA'!D41)</f>
        <v>538</v>
      </c>
      <c r="E39" s="87">
        <f>IF($C$1=1,'MACRO DATA'!E41+E33,'MACRO DATA'!E41)</f>
        <v>741</v>
      </c>
      <c r="F39" s="87">
        <f>IF($C$1=1,'MACRO DATA'!F41+F33,'MACRO DATA'!F41)</f>
        <v>1064.4934867993436</v>
      </c>
      <c r="G39" s="87">
        <f>IF($C$1=1,'MACRO DATA'!G41+G33,'MACRO DATA'!G41)</f>
        <v>1100.8101420046237</v>
      </c>
      <c r="H39" s="87" t="e">
        <f>IF($C$1=1,'MACRO DATA'!H41+H33,'MACRO DATA'!H41)</f>
        <v>#VALUE!</v>
      </c>
      <c r="I39" s="87" t="e">
        <f>IF($C$1=1,'MACRO DATA'!I41+I33,'MACRO DATA'!I41)</f>
        <v>#VALUE!</v>
      </c>
      <c r="J39" s="87" t="e">
        <f>IF($C$1=1,'MACRO DATA'!J41+J33,'MACRO DATA'!J41)</f>
        <v>#VALUE!</v>
      </c>
      <c r="K39" s="87" t="e">
        <f>IF($C$1=1,'MACRO DATA'!K41+K33,'MACRO DATA'!K41)</f>
        <v>#VALUE!</v>
      </c>
      <c r="L39" s="87" t="e">
        <f>IF($C$1=1,'MACRO DATA'!L41+L33,'MACRO DATA'!L41)</f>
        <v>#VALUE!</v>
      </c>
      <c r="M39" s="87" t="e">
        <f>IF($C$1=1,'MACRO DATA'!M41+M33,'MACRO DATA'!M41)</f>
        <v>#VALUE!</v>
      </c>
      <c r="N39" s="87" t="e">
        <f>IF($C$1=1,'MACRO DATA'!N41+N33,'MACRO DATA'!N41)</f>
        <v>#VALUE!</v>
      </c>
      <c r="O39" s="87" t="e">
        <f>IF($C$1=1,'MACRO DATA'!O41+O33,'MACRO DATA'!O41)</f>
        <v>#VALUE!</v>
      </c>
      <c r="P39" s="87" t="e">
        <f>IF($C$1=1,'MACRO DATA'!P41+P33,'MACRO DATA'!P41)</f>
        <v>#VALUE!</v>
      </c>
      <c r="Q39" s="87" t="e">
        <f>IF($C$1=1,'MACRO DATA'!Q41+Q33,'MACRO DATA'!Q41)</f>
        <v>#VALUE!</v>
      </c>
      <c r="R39" s="87">
        <f>IF($C$1=1,'MACRO DATA'!R41+R33,'MACRO DATA'!R41)</f>
        <v>0</v>
      </c>
      <c r="S39" s="87">
        <f>IF($C$1=1,'MACRO DATA'!S41+S33,'MACRO DATA'!S41)</f>
        <v>0</v>
      </c>
      <c r="T39" s="87">
        <f>IF($C$1=1,'MACRO DATA'!T41+T33,'MACRO DATA'!T41)</f>
        <v>0</v>
      </c>
      <c r="U39" s="87">
        <f>IF($C$1=1,'MACRO DATA'!U41+U33,'MACRO DATA'!U41)</f>
        <v>0</v>
      </c>
      <c r="V39" s="87">
        <f>IF($C$1=1,'MACRO DATA'!V41+V33,'MACRO DATA'!V41)</f>
        <v>0</v>
      </c>
      <c r="W39" s="87">
        <f>IF($C$1=1,'MACRO DATA'!W41+W33,'MACRO DATA'!W41)</f>
        <v>0</v>
      </c>
      <c r="X39" s="87">
        <f>IF($C$1=1,'MACRO DATA'!X41+X33,'MACRO DATA'!X41)</f>
        <v>0</v>
      </c>
      <c r="Y39" s="87">
        <f>IF($C$1=1,'MACRO DATA'!Y41+Y33,'MACRO DATA'!Y41)</f>
        <v>0</v>
      </c>
      <c r="Z39" s="87">
        <f>IF($C$1=1,'MACRO DATA'!Z41+Z33,'MACRO DATA'!Z41)</f>
        <v>0</v>
      </c>
      <c r="AA39" s="87">
        <f>IF($C$1=1,'MACRO DATA'!AA41+AA33,'MACRO DATA'!AA41)</f>
        <v>0</v>
      </c>
      <c r="AB39" s="87">
        <f>IF($C$1=1,'MACRO DATA'!AB41+AB33,'MACRO DATA'!AB41)</f>
        <v>0</v>
      </c>
      <c r="AC39" s="87">
        <f>IF($C$1=1,'MACRO DATA'!AC41+AC33,'MACRO DATA'!AC41)</f>
        <v>0</v>
      </c>
      <c r="AD39" s="87">
        <f>IF($C$1=1,'MACRO DATA'!AD41+AD33,'MACRO DATA'!AD41)</f>
        <v>0</v>
      </c>
      <c r="AE39" s="87">
        <f>IF($C$1=1,'MACRO DATA'!AE41+AE33,'MACRO DATA'!AE41)</f>
        <v>0</v>
      </c>
      <c r="AF39" s="87">
        <f>IF($C$1=1,'MACRO DATA'!AF41+AF33,'MACRO DATA'!AF41)</f>
        <v>0</v>
      </c>
      <c r="AG39" s="87">
        <f>IF($C$1=1,'MACRO DATA'!AG41+AG33,'MACRO DATA'!AG41)</f>
        <v>0</v>
      </c>
      <c r="AH39" s="87">
        <f>IF($C$1=1,'MACRO DATA'!AH41+AH33,'MACRO DATA'!AH41)</f>
        <v>0</v>
      </c>
      <c r="AI39" s="87">
        <f>IF($C$1=1,'MACRO DATA'!AI41+AI33,'MACRO DATA'!AI41)</f>
        <v>0</v>
      </c>
      <c r="AJ39" s="87">
        <f>IF($C$1=1,'MACRO DATA'!AJ41+AJ33,'MACRO DATA'!AJ41)</f>
        <v>0</v>
      </c>
      <c r="AK39" s="87">
        <f>IF($C$1=1,'MACRO DATA'!AK41+AK33,'MACRO DATA'!AK41)</f>
        <v>0</v>
      </c>
      <c r="AL39" s="87">
        <f>IF($C$1=1,'MACRO DATA'!AL41+AL33,'MACRO DATA'!AL41)</f>
        <v>0</v>
      </c>
      <c r="AM39" s="87">
        <f>IF($C$1=1,'MACRO DATA'!AM41+AM33,'MACRO DATA'!AM41)</f>
        <v>0</v>
      </c>
      <c r="AN39" s="87">
        <f>IF($C$1=1,'MACRO DATA'!AN41+AN33,'MACRO DATA'!AN41)</f>
        <v>0</v>
      </c>
      <c r="AO39" s="87">
        <f>IF($C$1=1,'MACRO DATA'!AO41+AO33,'MACRO DATA'!AO41)</f>
        <v>0</v>
      </c>
      <c r="AP39" s="87">
        <f>IF($C$1=1,'MACRO DATA'!AP41+AP33,'MACRO DATA'!AP41)</f>
        <v>0</v>
      </c>
      <c r="AQ39" s="87">
        <f>IF($C$1=1,'MACRO DATA'!AQ41+AQ33,'MACRO DATA'!AQ41)</f>
        <v>0</v>
      </c>
      <c r="AR39" s="87">
        <f>IF($C$1=1,'MACRO DATA'!AR41+AR33,'MACRO DATA'!AR41)</f>
        <v>0</v>
      </c>
      <c r="AS39" s="87">
        <f>IF($C$1=1,'MACRO DATA'!AS41+AS33,'MACRO DATA'!AS41)</f>
        <v>0</v>
      </c>
      <c r="AT39" s="87">
        <f>IF($C$1=1,'MACRO DATA'!AT41+AT33,'MACRO DATA'!AT41)</f>
        <v>0</v>
      </c>
      <c r="AU39" s="87">
        <f>IF($C$1=1,'MACRO DATA'!AU41+AU33,'MACRO DATA'!AU41)</f>
        <v>0</v>
      </c>
      <c r="AV39" s="87">
        <f>IF($C$1=1,'MACRO DATA'!AV41+AV33,'MACRO DATA'!AV41)</f>
        <v>0</v>
      </c>
      <c r="AW39" s="87">
        <f>IF($C$1=1,'MACRO DATA'!AW41+AW33,'MACRO DATA'!AW41)</f>
        <v>0</v>
      </c>
      <c r="AX39" s="87">
        <f>IF($C$1=1,'MACRO DATA'!AX41+AX33,'MACRO DATA'!AX41)</f>
        <v>0</v>
      </c>
      <c r="AY39" s="87">
        <f>IF($C$1=1,'MACRO DATA'!AY41+AY33,'MACRO DATA'!AY41)</f>
        <v>0</v>
      </c>
      <c r="AZ39" s="87">
        <f>IF($C$1=1,'MACRO DATA'!AZ41+AZ33,'MACRO DATA'!AZ41)</f>
        <v>0</v>
      </c>
    </row>
    <row r="40" spans="2:52">
      <c r="B40" s="12" t="s">
        <v>1462</v>
      </c>
      <c r="C40" s="62"/>
      <c r="D40" s="68"/>
      <c r="E40" s="67"/>
      <c r="F40" s="67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</row>
    <row r="41" spans="2:52">
      <c r="B41" s="4" t="s">
        <v>1463</v>
      </c>
      <c r="C41" s="62" t="s">
        <v>1502</v>
      </c>
      <c r="D41" s="68">
        <f>D42/D9</f>
        <v>0</v>
      </c>
      <c r="E41" s="68">
        <f>E42/E9</f>
        <v>0</v>
      </c>
      <c r="F41" s="68">
        <f>F42/F9</f>
        <v>0</v>
      </c>
      <c r="G41" s="121">
        <f>G42/G9</f>
        <v>0</v>
      </c>
      <c r="H41" s="121" t="e">
        <f t="shared" ref="H41:Q41" si="15">H42/H9</f>
        <v>#VALUE!</v>
      </c>
      <c r="I41" s="121" t="e">
        <f t="shared" si="15"/>
        <v>#VALUE!</v>
      </c>
      <c r="J41" s="121" t="e">
        <f t="shared" si="15"/>
        <v>#VALUE!</v>
      </c>
      <c r="K41" s="121" t="e">
        <f t="shared" si="15"/>
        <v>#VALUE!</v>
      </c>
      <c r="L41" s="121" t="e">
        <f t="shared" si="15"/>
        <v>#VALUE!</v>
      </c>
      <c r="M41" s="121" t="e">
        <f t="shared" si="15"/>
        <v>#VALUE!</v>
      </c>
      <c r="N41" s="121" t="e">
        <f t="shared" si="15"/>
        <v>#VALUE!</v>
      </c>
      <c r="O41" s="121" t="e">
        <f t="shared" si="15"/>
        <v>#VALUE!</v>
      </c>
      <c r="P41" s="121" t="e">
        <f t="shared" si="15"/>
        <v>#VALUE!</v>
      </c>
      <c r="Q41" s="121" t="e">
        <f t="shared" si="15"/>
        <v>#VALUE!</v>
      </c>
    </row>
    <row r="42" spans="2:52">
      <c r="B42" s="4"/>
      <c r="C42" s="62" t="s">
        <v>1833</v>
      </c>
      <c r="D42" s="69">
        <f>'MACRO DATA'!D44</f>
        <v>0</v>
      </c>
      <c r="E42" s="69">
        <f>'MACRO DATA'!E44</f>
        <v>0</v>
      </c>
      <c r="F42" s="69">
        <f>'MACRO DATA'!F44</f>
        <v>0</v>
      </c>
      <c r="G42" s="123">
        <f>'MACRO DATA'!G44</f>
        <v>0</v>
      </c>
      <c r="H42" s="123">
        <f>'MACRO DATA'!H44</f>
        <v>0</v>
      </c>
      <c r="I42" s="123">
        <f>'MACRO DATA'!I44</f>
        <v>0</v>
      </c>
      <c r="J42" s="123">
        <f>'MACRO DATA'!J44</f>
        <v>0</v>
      </c>
      <c r="K42" s="123">
        <f>'MACRO DATA'!K44</f>
        <v>0</v>
      </c>
      <c r="L42" s="123">
        <f>'MACRO DATA'!L44</f>
        <v>0</v>
      </c>
      <c r="M42" s="123">
        <f>'MACRO DATA'!M44</f>
        <v>0</v>
      </c>
      <c r="N42" s="123">
        <f>'MACRO DATA'!N44</f>
        <v>0</v>
      </c>
      <c r="O42" s="123">
        <f>'MACRO DATA'!O44</f>
        <v>0</v>
      </c>
      <c r="P42" s="123">
        <f>'MACRO DATA'!P44</f>
        <v>0</v>
      </c>
      <c r="Q42" s="123">
        <f>'MACRO DATA'!Q44</f>
        <v>0</v>
      </c>
    </row>
    <row r="43" spans="2:52">
      <c r="B43" s="4" t="s">
        <v>1448</v>
      </c>
      <c r="C43" s="62" t="s">
        <v>1507</v>
      </c>
      <c r="D43" s="68">
        <f>'MACRO DATA'!D44/('MACRO DATA'!D17-'MACRO DATA'!D36+'MACRO DATA'!D44)</f>
        <v>0</v>
      </c>
      <c r="E43" s="68">
        <f>'MACRO DATA'!E44/('MACRO DATA'!E17-'MACRO DATA'!E36+'MACRO DATA'!E44)</f>
        <v>0</v>
      </c>
      <c r="F43" s="68">
        <f>'MACRO DATA'!F44/('MACRO DATA'!F17-'MACRO DATA'!F36+'MACRO DATA'!F44)</f>
        <v>0</v>
      </c>
      <c r="G43" s="68">
        <f>'MACRO DATA'!G44/('MACRO DATA'!G17-'MACRO DATA'!G36+'MACRO DATA'!G44)</f>
        <v>0</v>
      </c>
      <c r="H43" s="68" t="e">
        <f>'MACRO DATA'!H44/('MACRO DATA'!H17-'MACRO DATA'!H36+'MACRO DATA'!H44)</f>
        <v>#DIV/0!</v>
      </c>
      <c r="I43" s="68" t="e">
        <f>'MACRO DATA'!I44/('MACRO DATA'!I17-'MACRO DATA'!I36+'MACRO DATA'!I44)</f>
        <v>#DIV/0!</v>
      </c>
      <c r="J43" s="68" t="e">
        <f>'MACRO DATA'!J44/('MACRO DATA'!J17-'MACRO DATA'!J36+'MACRO DATA'!J44)</f>
        <v>#DIV/0!</v>
      </c>
      <c r="K43" s="68" t="e">
        <f>'MACRO DATA'!K44/('MACRO DATA'!K17-'MACRO DATA'!K36+'MACRO DATA'!K44)</f>
        <v>#DIV/0!</v>
      </c>
      <c r="L43" s="68" t="e">
        <f>'MACRO DATA'!L44/('MACRO DATA'!L17-'MACRO DATA'!L36+'MACRO DATA'!L44)</f>
        <v>#DIV/0!</v>
      </c>
      <c r="M43" s="68" t="e">
        <f>'MACRO DATA'!M44/('MACRO DATA'!M17-'MACRO DATA'!M36+'MACRO DATA'!M44)</f>
        <v>#DIV/0!</v>
      </c>
      <c r="N43" s="68" t="e">
        <f>'MACRO DATA'!N44/('MACRO DATA'!N17-'MACRO DATA'!N36+'MACRO DATA'!N44)</f>
        <v>#DIV/0!</v>
      </c>
      <c r="O43" s="68" t="e">
        <f>'MACRO DATA'!O44/('MACRO DATA'!O17-'MACRO DATA'!O36+'MACRO DATA'!O44)</f>
        <v>#DIV/0!</v>
      </c>
      <c r="P43" s="68" t="e">
        <f>'MACRO DATA'!P44/('MACRO DATA'!P17-'MACRO DATA'!P36+'MACRO DATA'!P44)</f>
        <v>#DIV/0!</v>
      </c>
      <c r="Q43" s="68" t="e">
        <f>'MACRO DATA'!Q44/('MACRO DATA'!Q17-'MACRO DATA'!Q36+'MACRO DATA'!Q44)</f>
        <v>#DIV/0!</v>
      </c>
    </row>
    <row r="44" spans="2:52">
      <c r="B44" s="85" t="s">
        <v>1464</v>
      </c>
      <c r="C44" s="89" t="s">
        <v>1502</v>
      </c>
      <c r="D44" s="84">
        <f>D45/D9</f>
        <v>1.0947997014182632E-2</v>
      </c>
      <c r="E44" s="84">
        <f>E45/E9</f>
        <v>1.8332080409971085E-2</v>
      </c>
      <c r="F44" s="84">
        <f>F45/F9</f>
        <v>1.6720641155705301E-2</v>
      </c>
      <c r="G44" s="84">
        <f>G45/G9</f>
        <v>1.5579659450425616E-2</v>
      </c>
      <c r="H44" s="84" t="e">
        <f t="shared" ref="H44:Q44" si="16">H45/H9</f>
        <v>#VALUE!</v>
      </c>
      <c r="I44" s="68" t="e">
        <f t="shared" si="16"/>
        <v>#VALUE!</v>
      </c>
      <c r="J44" s="68" t="e">
        <f t="shared" si="16"/>
        <v>#VALUE!</v>
      </c>
      <c r="K44" s="68" t="e">
        <f t="shared" si="16"/>
        <v>#VALUE!</v>
      </c>
      <c r="L44" s="68" t="e">
        <f t="shared" si="16"/>
        <v>#VALUE!</v>
      </c>
      <c r="M44" s="68" t="e">
        <f t="shared" si="16"/>
        <v>#VALUE!</v>
      </c>
      <c r="N44" s="68" t="e">
        <f t="shared" si="16"/>
        <v>#VALUE!</v>
      </c>
      <c r="O44" s="68" t="e">
        <f t="shared" si="16"/>
        <v>#VALUE!</v>
      </c>
      <c r="P44" s="68" t="e">
        <f t="shared" si="16"/>
        <v>#VALUE!</v>
      </c>
      <c r="Q44" s="68" t="e">
        <f t="shared" si="16"/>
        <v>#VALUE!</v>
      </c>
    </row>
    <row r="45" spans="2:52">
      <c r="B45" s="85"/>
      <c r="C45" s="89" t="s">
        <v>1833</v>
      </c>
      <c r="D45" s="87">
        <f>'MACRO DATA'!D45</f>
        <v>88</v>
      </c>
      <c r="E45" s="87">
        <f>'MACRO DATA'!E45</f>
        <v>192</v>
      </c>
      <c r="F45" s="87">
        <f>'MACRO DATA'!F45</f>
        <v>213</v>
      </c>
      <c r="G45" s="87">
        <f>'MACRO DATA'!G45</f>
        <v>234</v>
      </c>
      <c r="H45" s="87">
        <f>'MACRO DATA'!H45</f>
        <v>0</v>
      </c>
      <c r="I45" s="69">
        <f>'MACRO DATA'!I45</f>
        <v>0</v>
      </c>
      <c r="J45" s="69">
        <f>'MACRO DATA'!J45</f>
        <v>0</v>
      </c>
      <c r="K45" s="69">
        <f>'MACRO DATA'!K45</f>
        <v>0</v>
      </c>
      <c r="L45" s="69">
        <f>'MACRO DATA'!L45</f>
        <v>0</v>
      </c>
      <c r="M45" s="69">
        <f>'MACRO DATA'!M45</f>
        <v>0</v>
      </c>
      <c r="N45" s="69">
        <f>'MACRO DATA'!N45</f>
        <v>0</v>
      </c>
      <c r="O45" s="69">
        <f>'MACRO DATA'!O45</f>
        <v>0</v>
      </c>
      <c r="P45" s="69">
        <f>'MACRO DATA'!P45</f>
        <v>0</v>
      </c>
      <c r="Q45" s="69">
        <f>'MACRO DATA'!Q45</f>
        <v>0</v>
      </c>
    </row>
    <row r="46" spans="2:52">
      <c r="B46" s="85" t="s">
        <v>1448</v>
      </c>
      <c r="C46" s="89" t="s">
        <v>1508</v>
      </c>
      <c r="D46" s="84">
        <f>'MACRO DATA'!D45/('MACRO DATA'!D14+'MACRO DATA'!D15+'MACRO DATA'!D16-D15+D45)</f>
        <v>8.788500774047206E-3</v>
      </c>
      <c r="E46" s="84">
        <f>'MACRO DATA'!E45/('MACRO DATA'!E14+'MACRO DATA'!E15+'MACRO DATA'!E16-E15+E45)</f>
        <v>1.4417142252459589E-2</v>
      </c>
      <c r="F46" s="84">
        <f>'MACRO DATA'!F45/('MACRO DATA'!F14+'MACRO DATA'!F15+'MACRO DATA'!F16-F15+F45)</f>
        <v>1.339894581090831E-2</v>
      </c>
      <c r="G46" s="84">
        <f>'MACRO DATA'!G45/('MACRO DATA'!G14+'MACRO DATA'!G15+'MACRO DATA'!G16-G15+G45)</f>
        <v>1.2600162513450483E-2</v>
      </c>
      <c r="H46" s="84">
        <f>'MACRO DATA'!H45/('MACRO DATA'!H14+'MACRO DATA'!H15+'MACRO DATA'!H16-H15+H45)</f>
        <v>0</v>
      </c>
      <c r="I46" s="68" t="e">
        <f>'MACRO DATA'!I45/('MACRO DATA'!I14+'MACRO DATA'!I15+'MACRO DATA'!I16-I15+I45)</f>
        <v>#DIV/0!</v>
      </c>
      <c r="J46" s="68" t="e">
        <f>'MACRO DATA'!J45/('MACRO DATA'!J14+'MACRO DATA'!J15+'MACRO DATA'!J16-J15+J45)</f>
        <v>#DIV/0!</v>
      </c>
      <c r="K46" s="68" t="e">
        <f>'MACRO DATA'!K45/('MACRO DATA'!K14+'MACRO DATA'!K15+'MACRO DATA'!K16-K15+K45)</f>
        <v>#DIV/0!</v>
      </c>
      <c r="L46" s="68" t="e">
        <f>'MACRO DATA'!L45/('MACRO DATA'!L14+'MACRO DATA'!L15+'MACRO DATA'!L16-L15+L45)</f>
        <v>#DIV/0!</v>
      </c>
      <c r="M46" s="68" t="e">
        <f>'MACRO DATA'!M45/('MACRO DATA'!M14+'MACRO DATA'!M15+'MACRO DATA'!M16-M15+M45)</f>
        <v>#DIV/0!</v>
      </c>
      <c r="N46" s="68" t="e">
        <f>'MACRO DATA'!N45/('MACRO DATA'!N14+'MACRO DATA'!N15+'MACRO DATA'!N16-N15+N45)</f>
        <v>#DIV/0!</v>
      </c>
      <c r="O46" s="68" t="e">
        <f>'MACRO DATA'!O45/('MACRO DATA'!O14+'MACRO DATA'!O15+'MACRO DATA'!O16-O15+O45)</f>
        <v>#DIV/0!</v>
      </c>
      <c r="P46" s="68" t="e">
        <f>'MACRO DATA'!P45/('MACRO DATA'!P14+'MACRO DATA'!P15+'MACRO DATA'!P16-P15+P45)</f>
        <v>#DIV/0!</v>
      </c>
      <c r="Q46" s="68" t="e">
        <f>'MACRO DATA'!Q45/('MACRO DATA'!Q14+'MACRO DATA'!Q15+'MACRO DATA'!Q16-Q15+Q45)</f>
        <v>#DIV/0!</v>
      </c>
    </row>
    <row r="47" spans="2:52">
      <c r="B47" s="4" t="s">
        <v>1465</v>
      </c>
      <c r="C47" s="62" t="s">
        <v>1502</v>
      </c>
      <c r="D47" s="68">
        <f>D48/D9</f>
        <v>2.7245583478477234E-2</v>
      </c>
      <c r="E47" s="68">
        <f>E48/E9</f>
        <v>4.0483344238686145E-2</v>
      </c>
      <c r="F47" s="68">
        <f>F48/F9</f>
        <v>4.1683851895208991E-2</v>
      </c>
      <c r="G47" s="68">
        <f>G48/G9</f>
        <v>4.3476571030461222E-2</v>
      </c>
      <c r="H47" s="68" t="e">
        <f t="shared" ref="H47:Q47" si="17">H48/H9</f>
        <v>#VALUE!</v>
      </c>
      <c r="I47" s="68" t="e">
        <f t="shared" si="17"/>
        <v>#VALUE!</v>
      </c>
      <c r="J47" s="68" t="e">
        <f t="shared" si="17"/>
        <v>#VALUE!</v>
      </c>
      <c r="K47" s="68" t="e">
        <f t="shared" si="17"/>
        <v>#VALUE!</v>
      </c>
      <c r="L47" s="68" t="e">
        <f t="shared" si="17"/>
        <v>#VALUE!</v>
      </c>
      <c r="M47" s="68" t="e">
        <f t="shared" si="17"/>
        <v>#VALUE!</v>
      </c>
      <c r="N47" s="68" t="e">
        <f t="shared" si="17"/>
        <v>#VALUE!</v>
      </c>
      <c r="O47" s="68" t="e">
        <f t="shared" si="17"/>
        <v>#VALUE!</v>
      </c>
      <c r="P47" s="68" t="e">
        <f t="shared" si="17"/>
        <v>#VALUE!</v>
      </c>
      <c r="Q47" s="68" t="e">
        <f t="shared" si="17"/>
        <v>#VALUE!</v>
      </c>
    </row>
    <row r="48" spans="2:52">
      <c r="B48" s="4"/>
      <c r="C48" s="62" t="s">
        <v>1833</v>
      </c>
      <c r="D48" s="69">
        <f>'MACRO DATA'!D46</f>
        <v>219</v>
      </c>
      <c r="E48" s="69">
        <f>'MACRO DATA'!E46</f>
        <v>424</v>
      </c>
      <c r="F48" s="69">
        <f>'MACRO DATA'!F46</f>
        <v>531</v>
      </c>
      <c r="G48" s="69">
        <f>'MACRO DATA'!G46</f>
        <v>653</v>
      </c>
      <c r="H48" s="69">
        <f>'MACRO DATA'!H46</f>
        <v>0</v>
      </c>
      <c r="I48" s="69" t="str">
        <f>'MACRO DATA'!I46</f>
        <v xml:space="preserve"> </v>
      </c>
      <c r="J48" s="69">
        <f>'MACRO DATA'!J46</f>
        <v>0</v>
      </c>
      <c r="K48" s="69">
        <f>'MACRO DATA'!K46</f>
        <v>0</v>
      </c>
      <c r="L48" s="69">
        <f>'MACRO DATA'!L46</f>
        <v>0</v>
      </c>
      <c r="M48" s="69">
        <f>'MACRO DATA'!M46</f>
        <v>0</v>
      </c>
      <c r="N48" s="69">
        <f>'MACRO DATA'!N46</f>
        <v>0</v>
      </c>
      <c r="O48" s="69">
        <f>'MACRO DATA'!O46</f>
        <v>0</v>
      </c>
      <c r="P48" s="69">
        <f>'MACRO DATA'!P46</f>
        <v>0</v>
      </c>
      <c r="Q48" s="69">
        <f>'MACRO DATA'!Q46</f>
        <v>0</v>
      </c>
    </row>
    <row r="49" spans="2:52">
      <c r="B49" s="85" t="s">
        <v>1840</v>
      </c>
      <c r="C49" s="89" t="s">
        <v>1502</v>
      </c>
      <c r="D49" s="84">
        <f>D50/D9</f>
        <v>2.0776312515551131E-2</v>
      </c>
      <c r="E49" s="84">
        <f>E50/E9</f>
        <v>1.0598233987014533E-2</v>
      </c>
      <c r="F49" s="84">
        <f>F50/F9</f>
        <v>1.0362087476775117E-2</v>
      </c>
      <c r="G49" s="84">
        <f>G50/G9</f>
        <v>1.0120120668652536E-2</v>
      </c>
      <c r="H49" s="84" t="e">
        <f t="shared" ref="H49:Q49" si="18">H50/H9</f>
        <v>#VALUE!</v>
      </c>
      <c r="I49" s="68" t="e">
        <f t="shared" si="18"/>
        <v>#VALUE!</v>
      </c>
      <c r="J49" s="68" t="e">
        <f t="shared" si="18"/>
        <v>#VALUE!</v>
      </c>
      <c r="K49" s="68" t="e">
        <f t="shared" si="18"/>
        <v>#VALUE!</v>
      </c>
      <c r="L49" s="68" t="e">
        <f t="shared" si="18"/>
        <v>#VALUE!</v>
      </c>
      <c r="M49" s="68" t="e">
        <f t="shared" si="18"/>
        <v>#VALUE!</v>
      </c>
      <c r="N49" s="68" t="e">
        <f t="shared" si="18"/>
        <v>#VALUE!</v>
      </c>
      <c r="O49" s="68" t="e">
        <f t="shared" si="18"/>
        <v>#VALUE!</v>
      </c>
      <c r="P49" s="68" t="e">
        <f t="shared" si="18"/>
        <v>#VALUE!</v>
      </c>
      <c r="Q49" s="68" t="e">
        <f t="shared" si="18"/>
        <v>#VALUE!</v>
      </c>
    </row>
    <row r="50" spans="2:52">
      <c r="B50" s="85"/>
      <c r="C50" s="89" t="s">
        <v>1833</v>
      </c>
      <c r="D50" s="87">
        <f>'MACRO DATA'!D48</f>
        <v>167</v>
      </c>
      <c r="E50" s="87">
        <f>'MACRO DATA'!E48</f>
        <v>111</v>
      </c>
      <c r="F50" s="87">
        <f>'MACRO DATA'!F48</f>
        <v>132</v>
      </c>
      <c r="G50" s="87">
        <f>'MACRO DATA'!G48</f>
        <v>152</v>
      </c>
      <c r="H50" s="87">
        <f>'MACRO DATA'!H48</f>
        <v>0</v>
      </c>
      <c r="I50" s="69">
        <f>'MACRO DATA'!I48</f>
        <v>0</v>
      </c>
      <c r="J50" s="69">
        <f>'MACRO DATA'!J48</f>
        <v>0</v>
      </c>
      <c r="K50" s="69">
        <f>'MACRO DATA'!K48</f>
        <v>0</v>
      </c>
      <c r="L50" s="69">
        <f>'MACRO DATA'!L48</f>
        <v>0</v>
      </c>
      <c r="M50" s="69">
        <f>'MACRO DATA'!M48</f>
        <v>0</v>
      </c>
      <c r="N50" s="69">
        <f>'MACRO DATA'!N48</f>
        <v>0</v>
      </c>
      <c r="O50" s="69">
        <f>'MACRO DATA'!O48</f>
        <v>0</v>
      </c>
      <c r="P50" s="69">
        <f>'MACRO DATA'!P48</f>
        <v>0</v>
      </c>
      <c r="Q50" s="69">
        <f>'MACRO DATA'!Q48</f>
        <v>0</v>
      </c>
    </row>
    <row r="51" spans="2:52">
      <c r="B51" s="4" t="s">
        <v>1841</v>
      </c>
      <c r="C51" s="62" t="s">
        <v>1502</v>
      </c>
      <c r="D51" s="68">
        <f>D52/D9</f>
        <v>1.7417267977108734E-2</v>
      </c>
      <c r="E51" s="68">
        <f>E52/E9</f>
        <v>1.6136049944193299E-2</v>
      </c>
      <c r="F51" s="68">
        <f>F52/F9</f>
        <v>1.0205086151369433E-2</v>
      </c>
      <c r="G51" s="68">
        <f>G52/G9</f>
        <v>5.3263792992908083E-3</v>
      </c>
      <c r="H51" s="68" t="e">
        <f t="shared" ref="H51:Q51" si="19">H52/H9</f>
        <v>#VALUE!</v>
      </c>
      <c r="I51" s="68" t="e">
        <f t="shared" si="19"/>
        <v>#VALUE!</v>
      </c>
      <c r="J51" s="68" t="e">
        <f t="shared" si="19"/>
        <v>#VALUE!</v>
      </c>
      <c r="K51" s="68" t="e">
        <f t="shared" si="19"/>
        <v>#VALUE!</v>
      </c>
      <c r="L51" s="68" t="e">
        <f t="shared" si="19"/>
        <v>#VALUE!</v>
      </c>
      <c r="M51" s="68" t="e">
        <f t="shared" si="19"/>
        <v>#VALUE!</v>
      </c>
      <c r="N51" s="68" t="e">
        <f t="shared" si="19"/>
        <v>#VALUE!</v>
      </c>
      <c r="O51" s="68" t="e">
        <f t="shared" si="19"/>
        <v>#VALUE!</v>
      </c>
      <c r="P51" s="68" t="e">
        <f t="shared" si="19"/>
        <v>#VALUE!</v>
      </c>
      <c r="Q51" s="68" t="e">
        <f t="shared" si="19"/>
        <v>#VALUE!</v>
      </c>
    </row>
    <row r="52" spans="2:52" ht="14.45" customHeight="1">
      <c r="B52" s="4"/>
      <c r="C52" s="62" t="s">
        <v>1833</v>
      </c>
      <c r="D52" s="69">
        <f>'MACRO DATA'!D49</f>
        <v>140</v>
      </c>
      <c r="E52" s="69">
        <f>'MACRO DATA'!E49</f>
        <v>169</v>
      </c>
      <c r="F52" s="69">
        <f>'MACRO DATA'!F49</f>
        <v>130</v>
      </c>
      <c r="G52" s="69">
        <f>'MACRO DATA'!G49</f>
        <v>80</v>
      </c>
      <c r="H52" s="69">
        <f>'MACRO DATA'!H49</f>
        <v>0</v>
      </c>
      <c r="I52" s="69">
        <f>'MACRO DATA'!I49</f>
        <v>0</v>
      </c>
      <c r="J52" s="69">
        <f>'MACRO DATA'!J49</f>
        <v>0</v>
      </c>
      <c r="K52" s="69">
        <f>'MACRO DATA'!K49</f>
        <v>0</v>
      </c>
      <c r="L52" s="69">
        <f>'MACRO DATA'!L49</f>
        <v>0</v>
      </c>
      <c r="M52" s="69">
        <f>'MACRO DATA'!M49</f>
        <v>0</v>
      </c>
      <c r="N52" s="69">
        <f>'MACRO DATA'!N49</f>
        <v>0</v>
      </c>
      <c r="O52" s="69">
        <f>'MACRO DATA'!O49</f>
        <v>0</v>
      </c>
      <c r="P52" s="69">
        <f>'MACRO DATA'!P49</f>
        <v>0</v>
      </c>
      <c r="Q52" s="69">
        <f>'MACRO DATA'!Q49</f>
        <v>0</v>
      </c>
    </row>
    <row r="53" spans="2:52" ht="19.899999999999999" customHeight="1">
      <c r="B53" s="92" t="s">
        <v>1468</v>
      </c>
      <c r="C53" s="62"/>
      <c r="D53" s="68" t="s">
        <v>1448</v>
      </c>
      <c r="E53" s="67" t="s">
        <v>1448</v>
      </c>
      <c r="F53" s="67" t="s">
        <v>1448</v>
      </c>
      <c r="G53" s="119" t="s">
        <v>1448</v>
      </c>
      <c r="H53" s="119" t="s">
        <v>1448</v>
      </c>
      <c r="I53" s="119" t="s">
        <v>1448</v>
      </c>
      <c r="J53" s="119" t="s">
        <v>1448</v>
      </c>
      <c r="K53" s="119" t="s">
        <v>1448</v>
      </c>
      <c r="L53" s="119" t="s">
        <v>1448</v>
      </c>
      <c r="M53" s="119" t="s">
        <v>1448</v>
      </c>
      <c r="N53" s="119" t="s">
        <v>1448</v>
      </c>
      <c r="O53" s="119" t="s">
        <v>1448</v>
      </c>
      <c r="P53" s="119" t="s">
        <v>1448</v>
      </c>
      <c r="Q53" s="119" t="s">
        <v>1448</v>
      </c>
    </row>
    <row r="54" spans="2:52">
      <c r="B54" s="85" t="s">
        <v>1469</v>
      </c>
      <c r="C54" s="89" t="s">
        <v>1502</v>
      </c>
      <c r="D54" s="84">
        <f>D55/D9</f>
        <v>0.12552873849216223</v>
      </c>
      <c r="E54" s="84">
        <f>E55/E9</f>
        <v>0.15744583643772039</v>
      </c>
      <c r="F54" s="84">
        <f>F55/F9</f>
        <v>0.15213428431810738</v>
      </c>
      <c r="G54" s="84">
        <f>G55/G9</f>
        <v>0.14714122814290859</v>
      </c>
      <c r="H54" s="84" t="e">
        <f t="shared" ref="H54:Q54" si="20">H55/H9</f>
        <v>#VALUE!</v>
      </c>
      <c r="I54" s="68" t="e">
        <f t="shared" si="20"/>
        <v>#VALUE!</v>
      </c>
      <c r="J54" s="68" t="e">
        <f t="shared" si="20"/>
        <v>#VALUE!</v>
      </c>
      <c r="K54" s="68" t="e">
        <f t="shared" si="20"/>
        <v>#VALUE!</v>
      </c>
      <c r="L54" s="68" t="e">
        <f t="shared" si="20"/>
        <v>#VALUE!</v>
      </c>
      <c r="M54" s="68" t="e">
        <f t="shared" si="20"/>
        <v>#VALUE!</v>
      </c>
      <c r="N54" s="68" t="e">
        <f t="shared" si="20"/>
        <v>#VALUE!</v>
      </c>
      <c r="O54" s="68" t="e">
        <f t="shared" si="20"/>
        <v>#VALUE!</v>
      </c>
      <c r="P54" s="68" t="e">
        <f t="shared" si="20"/>
        <v>#VALUE!</v>
      </c>
      <c r="Q54" s="68" t="e">
        <f t="shared" si="20"/>
        <v>#VALUE!</v>
      </c>
    </row>
    <row r="55" spans="2:52">
      <c r="B55" s="85"/>
      <c r="C55" s="89" t="s">
        <v>1833</v>
      </c>
      <c r="D55" s="87">
        <f>'MACRO DATA'!D51</f>
        <v>1009</v>
      </c>
      <c r="E55" s="87">
        <f>'MACRO DATA'!E51</f>
        <v>1649</v>
      </c>
      <c r="F55" s="87">
        <f>'MACRO DATA'!F51</f>
        <v>1938</v>
      </c>
      <c r="G55" s="87">
        <f>'MACRO DATA'!G51</f>
        <v>2210</v>
      </c>
      <c r="H55" s="87">
        <f>'MACRO DATA'!H51</f>
        <v>0</v>
      </c>
      <c r="I55" s="69">
        <f>'MACRO DATA'!I51</f>
        <v>0</v>
      </c>
      <c r="J55" s="69">
        <f>'MACRO DATA'!J51</f>
        <v>0</v>
      </c>
      <c r="K55" s="69">
        <f>'MACRO DATA'!K51</f>
        <v>0</v>
      </c>
      <c r="L55" s="69">
        <f>'MACRO DATA'!L51</f>
        <v>0</v>
      </c>
      <c r="M55" s="69">
        <f>'MACRO DATA'!M51</f>
        <v>0</v>
      </c>
      <c r="N55" s="69">
        <f>'MACRO DATA'!N51</f>
        <v>0</v>
      </c>
      <c r="O55" s="69">
        <f>'MACRO DATA'!O51</f>
        <v>0</v>
      </c>
      <c r="P55" s="69">
        <f>'MACRO DATA'!P51</f>
        <v>0</v>
      </c>
      <c r="Q55" s="69">
        <f>'MACRO DATA'!Q51</f>
        <v>0</v>
      </c>
    </row>
    <row r="56" spans="2:52">
      <c r="B56" s="4" t="s">
        <v>1938</v>
      </c>
      <c r="C56" s="62" t="s">
        <v>1502</v>
      </c>
      <c r="D56" s="68">
        <f>D57/D9</f>
        <v>9.7163473500870859E-2</v>
      </c>
      <c r="E56" s="68">
        <f>E57/E9</f>
        <v>0.1274652466005802</v>
      </c>
      <c r="F56" s="68">
        <f>F57/F9</f>
        <v>0.11798649604237121</v>
      </c>
      <c r="G56" s="68">
        <f>G57/G9</f>
        <v>0.1099897325303552</v>
      </c>
      <c r="H56" s="68" t="e">
        <f t="shared" ref="H56:Q56" si="21">H57/H9</f>
        <v>#VALUE!</v>
      </c>
      <c r="I56" s="68" t="e">
        <f t="shared" si="21"/>
        <v>#VALUE!</v>
      </c>
      <c r="J56" s="68" t="e">
        <f t="shared" si="21"/>
        <v>#VALUE!</v>
      </c>
      <c r="K56" s="68" t="e">
        <f t="shared" si="21"/>
        <v>#VALUE!</v>
      </c>
      <c r="L56" s="68" t="e">
        <f t="shared" si="21"/>
        <v>#VALUE!</v>
      </c>
      <c r="M56" s="68" t="e">
        <f t="shared" si="21"/>
        <v>#VALUE!</v>
      </c>
      <c r="N56" s="68" t="e">
        <f t="shared" si="21"/>
        <v>#VALUE!</v>
      </c>
      <c r="O56" s="68" t="e">
        <f t="shared" si="21"/>
        <v>#VALUE!</v>
      </c>
      <c r="P56" s="68" t="e">
        <f t="shared" si="21"/>
        <v>#VALUE!</v>
      </c>
      <c r="Q56" s="68" t="e">
        <f t="shared" si="21"/>
        <v>#VALUE!</v>
      </c>
    </row>
    <row r="57" spans="2:52">
      <c r="B57" s="32"/>
      <c r="C57" s="62" t="s">
        <v>1833</v>
      </c>
      <c r="D57" s="69">
        <f>'MACRO DATA'!D52</f>
        <v>781</v>
      </c>
      <c r="E57" s="69">
        <f>'MACRO DATA'!E52</f>
        <v>1335</v>
      </c>
      <c r="F57" s="69">
        <f>'MACRO DATA'!F52</f>
        <v>1503</v>
      </c>
      <c r="G57" s="69">
        <f>'MACRO DATA'!G52</f>
        <v>1652</v>
      </c>
      <c r="H57" s="69">
        <f>'MACRO DATA'!H52</f>
        <v>0</v>
      </c>
      <c r="I57" s="69">
        <f>'MACRO DATA'!I52</f>
        <v>0</v>
      </c>
      <c r="J57" s="69">
        <f>'MACRO DATA'!J52</f>
        <v>0</v>
      </c>
      <c r="K57" s="69">
        <f>'MACRO DATA'!K52</f>
        <v>0</v>
      </c>
      <c r="L57" s="69">
        <f>'MACRO DATA'!L52</f>
        <v>0</v>
      </c>
      <c r="M57" s="69">
        <f>'MACRO DATA'!M52</f>
        <v>0</v>
      </c>
      <c r="N57" s="69">
        <f>'MACRO DATA'!N52</f>
        <v>0</v>
      </c>
      <c r="O57" s="69">
        <f>'MACRO DATA'!O52</f>
        <v>0</v>
      </c>
      <c r="P57" s="69">
        <f>'MACRO DATA'!P52</f>
        <v>0</v>
      </c>
      <c r="Q57" s="69">
        <f>'MACRO DATA'!Q52</f>
        <v>0</v>
      </c>
    </row>
    <row r="58" spans="2:52">
      <c r="B58" s="85" t="s">
        <v>1470</v>
      </c>
      <c r="C58" s="89" t="s">
        <v>1502</v>
      </c>
      <c r="D58" s="84">
        <f>D59/D9</f>
        <v>5.1380940532470762E-2</v>
      </c>
      <c r="E58" s="84">
        <f>E59/E9</f>
        <v>1.6899886627942094E-2</v>
      </c>
      <c r="F58" s="84">
        <f>F59/F9</f>
        <v>1.5700132540568359E-2</v>
      </c>
      <c r="G58" s="84">
        <f>G59/G9</f>
        <v>9.9869611861702658E-3</v>
      </c>
      <c r="H58" s="84" t="e">
        <f t="shared" ref="H58:Q58" si="22">H59/H9</f>
        <v>#VALUE!</v>
      </c>
      <c r="I58" s="68" t="e">
        <f t="shared" si="22"/>
        <v>#VALUE!</v>
      </c>
      <c r="J58" s="68" t="e">
        <f t="shared" si="22"/>
        <v>#VALUE!</v>
      </c>
      <c r="K58" s="68" t="e">
        <f t="shared" si="22"/>
        <v>#VALUE!</v>
      </c>
      <c r="L58" s="68" t="e">
        <f t="shared" si="22"/>
        <v>#VALUE!</v>
      </c>
      <c r="M58" s="68" t="e">
        <f t="shared" si="22"/>
        <v>#VALUE!</v>
      </c>
      <c r="N58" s="68" t="e">
        <f t="shared" si="22"/>
        <v>#VALUE!</v>
      </c>
      <c r="O58" s="68" t="e">
        <f t="shared" si="22"/>
        <v>#VALUE!</v>
      </c>
      <c r="P58" s="68" t="e">
        <f t="shared" si="22"/>
        <v>#VALUE!</v>
      </c>
      <c r="Q58" s="68" t="e">
        <f t="shared" si="22"/>
        <v>#VALUE!</v>
      </c>
    </row>
    <row r="59" spans="2:52">
      <c r="B59" s="85"/>
      <c r="C59" s="89" t="s">
        <v>1833</v>
      </c>
      <c r="D59" s="87">
        <f>'MACRO DATA'!D53</f>
        <v>413</v>
      </c>
      <c r="E59" s="87">
        <f>'MACRO DATA'!E53</f>
        <v>177</v>
      </c>
      <c r="F59" s="87">
        <f>'MACRO DATA'!F53</f>
        <v>200</v>
      </c>
      <c r="G59" s="87">
        <f>'MACRO DATA'!G53</f>
        <v>150</v>
      </c>
      <c r="H59" s="87">
        <f>'MACRO DATA'!H53</f>
        <v>0</v>
      </c>
      <c r="I59" s="69">
        <f>'MACRO DATA'!I53</f>
        <v>0</v>
      </c>
      <c r="J59" s="69">
        <f>'MACRO DATA'!J53</f>
        <v>0</v>
      </c>
      <c r="K59" s="69">
        <f>'MACRO DATA'!K53</f>
        <v>0</v>
      </c>
      <c r="L59" s="69">
        <f>'MACRO DATA'!L53</f>
        <v>0</v>
      </c>
      <c r="M59" s="69">
        <f>'MACRO DATA'!M53</f>
        <v>0</v>
      </c>
      <c r="N59" s="69">
        <f>'MACRO DATA'!N53</f>
        <v>0</v>
      </c>
      <c r="O59" s="69">
        <f>'MACRO DATA'!O53</f>
        <v>0</v>
      </c>
      <c r="P59" s="69">
        <f>'MACRO DATA'!P53</f>
        <v>0</v>
      </c>
      <c r="Q59" s="69">
        <f>'MACRO DATA'!Q53</f>
        <v>0</v>
      </c>
    </row>
    <row r="60" spans="2:52">
      <c r="B60" s="4" t="s">
        <v>1938</v>
      </c>
      <c r="C60" s="62" t="s">
        <v>1502</v>
      </c>
      <c r="D60" s="150">
        <f>D61/D9</f>
        <v>0</v>
      </c>
      <c r="E60" s="150">
        <f>E61/E9</f>
        <v>0</v>
      </c>
      <c r="F60" s="150">
        <f>F61/F9</f>
        <v>0</v>
      </c>
      <c r="G60" s="150">
        <f>G61/G9</f>
        <v>0</v>
      </c>
      <c r="H60" s="150" t="e">
        <f t="shared" ref="H60:Q60" si="23">H61/H9</f>
        <v>#VALUE!</v>
      </c>
      <c r="I60" s="150" t="e">
        <f t="shared" si="23"/>
        <v>#VALUE!</v>
      </c>
      <c r="J60" s="150" t="e">
        <f t="shared" si="23"/>
        <v>#VALUE!</v>
      </c>
      <c r="K60" s="150" t="e">
        <f t="shared" si="23"/>
        <v>#VALUE!</v>
      </c>
      <c r="L60" s="150" t="e">
        <f t="shared" si="23"/>
        <v>#VALUE!</v>
      </c>
      <c r="M60" s="150" t="e">
        <f t="shared" si="23"/>
        <v>#VALUE!</v>
      </c>
      <c r="N60" s="150" t="e">
        <f t="shared" si="23"/>
        <v>#VALUE!</v>
      </c>
      <c r="O60" s="150" t="e">
        <f t="shared" si="23"/>
        <v>#VALUE!</v>
      </c>
      <c r="P60" s="150" t="e">
        <f t="shared" si="23"/>
        <v>#VALUE!</v>
      </c>
      <c r="Q60" s="150" t="e">
        <f t="shared" si="23"/>
        <v>#VALUE!</v>
      </c>
    </row>
    <row r="61" spans="2:52">
      <c r="B61" s="32"/>
      <c r="C61" s="62" t="s">
        <v>1833</v>
      </c>
      <c r="D61" s="69">
        <f>'MACRO DATA'!D54</f>
        <v>0</v>
      </c>
      <c r="E61" s="69">
        <f>'MACRO DATA'!E54</f>
        <v>0</v>
      </c>
      <c r="F61" s="69">
        <f>'MACRO DATA'!F54</f>
        <v>0</v>
      </c>
      <c r="G61" s="69">
        <f>'MACRO DATA'!G54</f>
        <v>0</v>
      </c>
      <c r="H61" s="69">
        <f>'MACRO DATA'!H54</f>
        <v>0</v>
      </c>
      <c r="I61" s="69">
        <f>'MACRO DATA'!I54</f>
        <v>0</v>
      </c>
      <c r="J61" s="69">
        <f>'MACRO DATA'!J54</f>
        <v>0</v>
      </c>
      <c r="K61" s="69">
        <f>'MACRO DATA'!K54</f>
        <v>0</v>
      </c>
      <c r="L61" s="69">
        <f>'MACRO DATA'!L54</f>
        <v>0</v>
      </c>
      <c r="M61" s="69">
        <f>'MACRO DATA'!M54</f>
        <v>0</v>
      </c>
      <c r="N61" s="69">
        <f>'MACRO DATA'!N54</f>
        <v>0</v>
      </c>
      <c r="O61" s="69">
        <f>'MACRO DATA'!O54</f>
        <v>0</v>
      </c>
      <c r="P61" s="69">
        <f>'MACRO DATA'!P54</f>
        <v>0</v>
      </c>
      <c r="Q61" s="69">
        <f>'MACRO DATA'!Q54</f>
        <v>0</v>
      </c>
    </row>
    <row r="62" spans="2:52" ht="19.899999999999999" customHeight="1">
      <c r="B62" s="88" t="s">
        <v>1509</v>
      </c>
      <c r="C62" s="89" t="s">
        <v>1502</v>
      </c>
      <c r="D62" s="84">
        <f>D63/D9</f>
        <v>-5.2376212988305547E-2</v>
      </c>
      <c r="E62" s="84">
        <f>E63/E9</f>
        <v>-5.6905832939285243E-2</v>
      </c>
      <c r="F62" s="84">
        <f>F63/F9</f>
        <v>-8.0423417648493575E-2</v>
      </c>
      <c r="G62" s="84">
        <f>G63/G9</f>
        <v>-5.3650630744150184E-2</v>
      </c>
      <c r="H62" s="84" t="e">
        <f t="shared" ref="H62:Q62" si="24">H63/H9</f>
        <v>#VALUE!</v>
      </c>
      <c r="I62" s="68" t="e">
        <f t="shared" si="24"/>
        <v>#VALUE!</v>
      </c>
      <c r="J62" s="68" t="e">
        <f t="shared" si="24"/>
        <v>#VALUE!</v>
      </c>
      <c r="K62" s="68" t="e">
        <f t="shared" si="24"/>
        <v>#VALUE!</v>
      </c>
      <c r="L62" s="68" t="e">
        <f t="shared" si="24"/>
        <v>#VALUE!</v>
      </c>
      <c r="M62" s="68" t="e">
        <f t="shared" si="24"/>
        <v>#VALUE!</v>
      </c>
      <c r="N62" s="68" t="e">
        <f t="shared" si="24"/>
        <v>#VALUE!</v>
      </c>
      <c r="O62" s="68" t="e">
        <f t="shared" si="24"/>
        <v>#VALUE!</v>
      </c>
      <c r="P62" s="68" t="e">
        <f t="shared" si="24"/>
        <v>#VALUE!</v>
      </c>
      <c r="Q62" s="68" t="e">
        <f t="shared" si="24"/>
        <v>#VALUE!</v>
      </c>
    </row>
    <row r="63" spans="2:52" ht="15">
      <c r="B63" s="88"/>
      <c r="C63" s="89" t="s">
        <v>1833</v>
      </c>
      <c r="D63" s="87">
        <f>IF($C$1=1,'MACRO DATA'!D22-D33,'MACRO DATA'!D22)</f>
        <v>-421</v>
      </c>
      <c r="E63" s="87">
        <f>IF($C$1=1,'MACRO DATA'!E22-E33,'MACRO DATA'!E22)</f>
        <v>-596</v>
      </c>
      <c r="F63" s="87">
        <f>IF($C$1=1,'MACRO DATA'!F22-F33,'MACRO DATA'!F22)</f>
        <v>-1024.4934867993436</v>
      </c>
      <c r="G63" s="87">
        <f>IF($C$1=1,'MACRO DATA'!G22-G33,'MACRO DATA'!G22)</f>
        <v>-805.81014200462369</v>
      </c>
      <c r="H63" s="87" t="e">
        <f>IF($C$1=1,'MACRO DATA'!H22-H33,'MACRO DATA'!H22)</f>
        <v>#VALUE!</v>
      </c>
      <c r="I63" s="87" t="e">
        <f>IF($C$1=1,'MACRO DATA'!I22-I33,'MACRO DATA'!I22)</f>
        <v>#VALUE!</v>
      </c>
      <c r="J63" s="87" t="e">
        <f>IF($C$1=1,'MACRO DATA'!J22-J33,'MACRO DATA'!J22)</f>
        <v>#VALUE!</v>
      </c>
      <c r="K63" s="87" t="e">
        <f>IF($C$1=1,'MACRO DATA'!K22-K33,'MACRO DATA'!K22)</f>
        <v>#VALUE!</v>
      </c>
      <c r="L63" s="87" t="e">
        <f>IF($C$1=1,'MACRO DATA'!L22-L33,'MACRO DATA'!L22)</f>
        <v>#VALUE!</v>
      </c>
      <c r="M63" s="87" t="e">
        <f>IF($C$1=1,'MACRO DATA'!M22-M33,'MACRO DATA'!M22)</f>
        <v>#VALUE!</v>
      </c>
      <c r="N63" s="87" t="e">
        <f>IF($C$1=1,'MACRO DATA'!N22-N33,'MACRO DATA'!N22)</f>
        <v>#VALUE!</v>
      </c>
      <c r="O63" s="87" t="e">
        <f>IF($C$1=1,'MACRO DATA'!O22-O33,'MACRO DATA'!O22)</f>
        <v>#VALUE!</v>
      </c>
      <c r="P63" s="87" t="e">
        <f>IF($C$1=1,'MACRO DATA'!P22-P33,'MACRO DATA'!P22)</f>
        <v>#VALUE!</v>
      </c>
      <c r="Q63" s="87" t="e">
        <f>IF($C$1=1,'MACRO DATA'!Q22-Q33,'MACRO DATA'!Q22)</f>
        <v>#VALUE!</v>
      </c>
      <c r="R63" s="87">
        <f>IF($C$1=1,'MACRO DATA'!R22-R33,'MACRO DATA'!R22)</f>
        <v>0</v>
      </c>
      <c r="S63" s="87">
        <f>IF($C$1=1,'MACRO DATA'!S22-S33,'MACRO DATA'!S22)</f>
        <v>0</v>
      </c>
      <c r="T63" s="87">
        <f>IF($C$1=1,'MACRO DATA'!T22-T33,'MACRO DATA'!T22)</f>
        <v>0</v>
      </c>
      <c r="U63" s="87">
        <f>IF($C$1=1,'MACRO DATA'!U22-U33,'MACRO DATA'!U22)</f>
        <v>0</v>
      </c>
      <c r="V63" s="87">
        <f>IF($C$1=1,'MACRO DATA'!V22-V33,'MACRO DATA'!V22)</f>
        <v>0</v>
      </c>
      <c r="W63" s="87">
        <f>IF($C$1=1,'MACRO DATA'!W22-W33,'MACRO DATA'!W22)</f>
        <v>0</v>
      </c>
      <c r="X63" s="87">
        <f>IF($C$1=1,'MACRO DATA'!X22-X33,'MACRO DATA'!X22)</f>
        <v>0</v>
      </c>
      <c r="Y63" s="87">
        <f>IF($C$1=1,'MACRO DATA'!Y22-Y33,'MACRO DATA'!Y22)</f>
        <v>0</v>
      </c>
      <c r="Z63" s="87">
        <f>IF($C$1=1,'MACRO DATA'!Z22-Z33,'MACRO DATA'!Z22)</f>
        <v>0</v>
      </c>
      <c r="AA63" s="87">
        <f>IF($C$1=1,'MACRO DATA'!AA22-AA33,'MACRO DATA'!AA22)</f>
        <v>0</v>
      </c>
      <c r="AB63" s="87">
        <f>IF($C$1=1,'MACRO DATA'!AB22-AB33,'MACRO DATA'!AB22)</f>
        <v>0</v>
      </c>
      <c r="AC63" s="87">
        <f>IF($C$1=1,'MACRO DATA'!AC22-AC33,'MACRO DATA'!AC22)</f>
        <v>0</v>
      </c>
      <c r="AD63" s="87">
        <f>IF($C$1=1,'MACRO DATA'!AD22-AD33,'MACRO DATA'!AD22)</f>
        <v>0</v>
      </c>
      <c r="AE63" s="87">
        <f>IF($C$1=1,'MACRO DATA'!AE22-AE33,'MACRO DATA'!AE22)</f>
        <v>0</v>
      </c>
      <c r="AF63" s="87">
        <f>IF($C$1=1,'MACRO DATA'!AF22-AF33,'MACRO DATA'!AF22)</f>
        <v>0</v>
      </c>
      <c r="AG63" s="87">
        <f>IF($C$1=1,'MACRO DATA'!AG22-AG33,'MACRO DATA'!AG22)</f>
        <v>0</v>
      </c>
      <c r="AH63" s="87">
        <f>IF($C$1=1,'MACRO DATA'!AH22-AH33,'MACRO DATA'!AH22)</f>
        <v>0</v>
      </c>
      <c r="AI63" s="87">
        <f>IF($C$1=1,'MACRO DATA'!AI22-AI33,'MACRO DATA'!AI22)</f>
        <v>0</v>
      </c>
      <c r="AJ63" s="87">
        <f>IF($C$1=1,'MACRO DATA'!AJ22-AJ33,'MACRO DATA'!AJ22)</f>
        <v>0</v>
      </c>
      <c r="AK63" s="87">
        <f>IF($C$1=1,'MACRO DATA'!AK22-AK33,'MACRO DATA'!AK22)</f>
        <v>0</v>
      </c>
      <c r="AL63" s="87">
        <f>IF($C$1=1,'MACRO DATA'!AL22-AL33,'MACRO DATA'!AL22)</f>
        <v>0</v>
      </c>
      <c r="AM63" s="87">
        <f>IF($C$1=1,'MACRO DATA'!AM22-AM33,'MACRO DATA'!AM22)</f>
        <v>0</v>
      </c>
      <c r="AN63" s="87">
        <f>IF($C$1=1,'MACRO DATA'!AN22-AN33,'MACRO DATA'!AN22)</f>
        <v>0</v>
      </c>
      <c r="AO63" s="87">
        <f>IF($C$1=1,'MACRO DATA'!AO22-AO33,'MACRO DATA'!AO22)</f>
        <v>0</v>
      </c>
      <c r="AP63" s="87">
        <f>IF($C$1=1,'MACRO DATA'!AP22-AP33,'MACRO DATA'!AP22)</f>
        <v>0</v>
      </c>
      <c r="AQ63" s="87">
        <f>IF($C$1=1,'MACRO DATA'!AQ22-AQ33,'MACRO DATA'!AQ22)</f>
        <v>0</v>
      </c>
      <c r="AR63" s="87">
        <f>IF($C$1=1,'MACRO DATA'!AR22-AR33,'MACRO DATA'!AR22)</f>
        <v>0</v>
      </c>
      <c r="AS63" s="87">
        <f>IF($C$1=1,'MACRO DATA'!AS22-AS33,'MACRO DATA'!AS22)</f>
        <v>0</v>
      </c>
      <c r="AT63" s="87">
        <f>IF($C$1=1,'MACRO DATA'!AT22-AT33,'MACRO DATA'!AT22)</f>
        <v>0</v>
      </c>
      <c r="AU63" s="87">
        <f>IF($C$1=1,'MACRO DATA'!AU22-AU33,'MACRO DATA'!AU22)</f>
        <v>0</v>
      </c>
      <c r="AV63" s="87">
        <f>IF($C$1=1,'MACRO DATA'!AV22-AV33,'MACRO DATA'!AV22)</f>
        <v>0</v>
      </c>
      <c r="AW63" s="87">
        <f>IF($C$1=1,'MACRO DATA'!AW22-AW33,'MACRO DATA'!AW22)</f>
        <v>0</v>
      </c>
      <c r="AX63" s="87">
        <f>IF($C$1=1,'MACRO DATA'!AX22-AX33,'MACRO DATA'!AX22)</f>
        <v>0</v>
      </c>
      <c r="AY63" s="87">
        <f>IF($C$1=1,'MACRO DATA'!AY22-AY33,'MACRO DATA'!AY22)</f>
        <v>0</v>
      </c>
      <c r="AZ63" s="87">
        <f>IF($C$1=1,'MACRO DATA'!AZ22-AZ33,'MACRO DATA'!AZ22)</f>
        <v>0</v>
      </c>
    </row>
    <row r="64" spans="2:52" ht="30" customHeight="1">
      <c r="B64" s="33" t="str">
        <f>'MACRO DATA'!B55</f>
        <v>Total financing</v>
      </c>
      <c r="C64" s="62" t="s">
        <v>1832</v>
      </c>
      <c r="D64" s="132">
        <f>IF($C$1=1,'MACRO DATA'!D55+D33,'MACRO DATA'!D55)</f>
        <v>421</v>
      </c>
      <c r="E64" s="132">
        <f>IF($C$1=1,'MACRO DATA'!E55+E33,'MACRO DATA'!E55)</f>
        <v>596</v>
      </c>
      <c r="F64" s="132">
        <f>IF($C$1=1,'MACRO DATA'!F55+F33,'MACRO DATA'!F55)</f>
        <v>1024.4934867993436</v>
      </c>
      <c r="G64" s="132">
        <f>IF($C$1=1,'MACRO DATA'!G55+G33,'MACRO DATA'!G55)</f>
        <v>805.81014200462369</v>
      </c>
      <c r="H64" s="132" t="e">
        <f>IF($C$1=1,'MACRO DATA'!H55+H33,'MACRO DATA'!H55)</f>
        <v>#VALUE!</v>
      </c>
      <c r="I64" s="132" t="e">
        <f>IF($C$1=1,'MACRO DATA'!I55+I33,'MACRO DATA'!I55)</f>
        <v>#VALUE!</v>
      </c>
      <c r="J64" s="132" t="e">
        <f>IF($C$1=1,'MACRO DATA'!J55+J33,'MACRO DATA'!J55)</f>
        <v>#VALUE!</v>
      </c>
      <c r="K64" s="132" t="e">
        <f>IF($C$1=1,'MACRO DATA'!K55+K33,'MACRO DATA'!K55)</f>
        <v>#VALUE!</v>
      </c>
      <c r="L64" s="132" t="e">
        <f>IF($C$1=1,'MACRO DATA'!L55+L33,'MACRO DATA'!L55)</f>
        <v>#VALUE!</v>
      </c>
      <c r="M64" s="132" t="e">
        <f>IF($C$1=1,'MACRO DATA'!M55+M33,'MACRO DATA'!M55)</f>
        <v>#VALUE!</v>
      </c>
      <c r="N64" s="132" t="e">
        <f>IF($C$1=1,'MACRO DATA'!N55+N33,'MACRO DATA'!N55)</f>
        <v>#VALUE!</v>
      </c>
      <c r="O64" s="132" t="e">
        <f>IF($C$1=1,'MACRO DATA'!O55+O33,'MACRO DATA'!O55)</f>
        <v>#VALUE!</v>
      </c>
      <c r="P64" s="132" t="e">
        <f>IF($C$1=1,'MACRO DATA'!P55+P33,'MACRO DATA'!P55)</f>
        <v>#VALUE!</v>
      </c>
      <c r="Q64" s="132" t="e">
        <f>IF($C$1=1,'MACRO DATA'!Q55+Q33,'MACRO DATA'!Q55)</f>
        <v>#VALUE!</v>
      </c>
    </row>
    <row r="65" spans="2:17" ht="15">
      <c r="B65" s="88" t="str">
        <f>'MACRO DATA'!B56</f>
        <v>Contingency</v>
      </c>
      <c r="C65" s="89" t="s">
        <v>1832</v>
      </c>
      <c r="D65" s="133">
        <f>'MACRO DATA'!D56</f>
        <v>82</v>
      </c>
      <c r="E65" s="133">
        <f>'MACRO DATA'!E56</f>
        <v>50</v>
      </c>
      <c r="F65" s="133">
        <f>'MACRO DATA'!F56</f>
        <v>62</v>
      </c>
      <c r="G65" s="133">
        <f>'MACRO DATA'!G56</f>
        <v>73</v>
      </c>
      <c r="H65" s="133">
        <f>'MACRO DATA'!H56</f>
        <v>0</v>
      </c>
      <c r="I65" s="135">
        <f>'MACRO DATA'!I56</f>
        <v>0</v>
      </c>
      <c r="J65" s="135">
        <f>'MACRO DATA'!J56</f>
        <v>0</v>
      </c>
      <c r="K65" s="135">
        <f>'MACRO DATA'!K56</f>
        <v>0</v>
      </c>
      <c r="L65" s="135">
        <f>'MACRO DATA'!L56</f>
        <v>0</v>
      </c>
      <c r="M65" s="135">
        <f>'MACRO DATA'!M56</f>
        <v>0</v>
      </c>
      <c r="N65" s="135">
        <f>'MACRO DATA'!N56</f>
        <v>0</v>
      </c>
      <c r="O65" s="135">
        <f>'MACRO DATA'!O56</f>
        <v>0</v>
      </c>
      <c r="P65" s="135">
        <f>'MACRO DATA'!P56</f>
        <v>0</v>
      </c>
      <c r="Q65" s="135">
        <f>'MACRO DATA'!Q56</f>
        <v>0</v>
      </c>
    </row>
    <row r="66" spans="2:17" ht="15">
      <c r="B66" s="33" t="str">
        <f>'MACRO DATA'!B57</f>
        <v xml:space="preserve">    of which : payments of domestic arreas</v>
      </c>
      <c r="C66" s="62" t="s">
        <v>1832</v>
      </c>
      <c r="D66" s="132">
        <f>'MACRO DATA'!D57</f>
        <v>0</v>
      </c>
      <c r="E66" s="132">
        <f>'MACRO DATA'!E57</f>
        <v>0</v>
      </c>
      <c r="F66" s="132">
        <f>'MACRO DATA'!F57</f>
        <v>0</v>
      </c>
      <c r="G66" s="132">
        <f>'MACRO DATA'!G57</f>
        <v>0</v>
      </c>
      <c r="H66" s="132">
        <f>'MACRO DATA'!H57</f>
        <v>0</v>
      </c>
      <c r="I66" s="135">
        <f>'MACRO DATA'!I57</f>
        <v>0</v>
      </c>
      <c r="J66" s="135">
        <f>'MACRO DATA'!J57</f>
        <v>0</v>
      </c>
      <c r="K66" s="135">
        <f>'MACRO DATA'!K57</f>
        <v>0</v>
      </c>
      <c r="L66" s="135">
        <f>'MACRO DATA'!L57</f>
        <v>0</v>
      </c>
      <c r="M66" s="135">
        <f>'MACRO DATA'!M57</f>
        <v>0</v>
      </c>
      <c r="N66" s="135">
        <f>'MACRO DATA'!N57</f>
        <v>0</v>
      </c>
      <c r="O66" s="135">
        <f>'MACRO DATA'!O57</f>
        <v>0</v>
      </c>
      <c r="P66" s="135">
        <f>'MACRO DATA'!P57</f>
        <v>0</v>
      </c>
      <c r="Q66" s="135">
        <f>'MACRO DATA'!Q57</f>
        <v>0</v>
      </c>
    </row>
    <row r="67" spans="2:17" ht="15">
      <c r="B67" s="88" t="str">
        <f>'MACRO DATA'!B58</f>
        <v xml:space="preserve">Change in balances/other </v>
      </c>
      <c r="C67" s="89" t="s">
        <v>1832</v>
      </c>
      <c r="D67" s="133">
        <f>'MACRO DATA'!D58</f>
        <v>-114</v>
      </c>
      <c r="E67" s="133">
        <f>'MACRO DATA'!E58</f>
        <v>0</v>
      </c>
      <c r="F67" s="133">
        <f>'MACRO DATA'!F58</f>
        <v>0</v>
      </c>
      <c r="G67" s="133">
        <f>'MACRO DATA'!G58</f>
        <v>0</v>
      </c>
      <c r="H67" s="133">
        <f>'MACRO DATA'!H58</f>
        <v>0</v>
      </c>
      <c r="I67" s="135">
        <f>'MACRO DATA'!I58</f>
        <v>0</v>
      </c>
      <c r="J67" s="135">
        <f>'MACRO DATA'!J58</f>
        <v>0</v>
      </c>
      <c r="K67" s="135">
        <f>'MACRO DATA'!K58</f>
        <v>0</v>
      </c>
      <c r="L67" s="135">
        <f>'MACRO DATA'!L58</f>
        <v>0</v>
      </c>
      <c r="M67" s="135">
        <f>'MACRO DATA'!M58</f>
        <v>0</v>
      </c>
      <c r="N67" s="135">
        <f>'MACRO DATA'!N58</f>
        <v>0</v>
      </c>
      <c r="O67" s="135">
        <f>'MACRO DATA'!O58</f>
        <v>0</v>
      </c>
      <c r="P67" s="135">
        <f>'MACRO DATA'!P58</f>
        <v>0</v>
      </c>
      <c r="Q67" s="135">
        <f>'MACRO DATA'!Q58</f>
        <v>0</v>
      </c>
    </row>
    <row r="68" spans="2:17" ht="15">
      <c r="B68" s="33" t="str">
        <f>'MACRO DATA'!B59</f>
        <v>Payment of domestic arrears</v>
      </c>
      <c r="C68" s="89" t="s">
        <v>1832</v>
      </c>
      <c r="D68" s="132">
        <f>'MACRO DATA'!D59</f>
        <v>-92</v>
      </c>
      <c r="E68" s="132">
        <f>'MACRO DATA'!E59</f>
        <v>0</v>
      </c>
      <c r="F68" s="132">
        <f>'MACRO DATA'!F59</f>
        <v>0</v>
      </c>
      <c r="G68" s="132">
        <f>'MACRO DATA'!G59</f>
        <v>0</v>
      </c>
      <c r="H68" s="132">
        <f>'MACRO DATA'!H59</f>
        <v>0</v>
      </c>
      <c r="I68" s="135">
        <f>'MACRO DATA'!I59</f>
        <v>0</v>
      </c>
      <c r="J68" s="135">
        <f>'MACRO DATA'!J59</f>
        <v>0</v>
      </c>
      <c r="K68" s="135">
        <f>'MACRO DATA'!K59</f>
        <v>0</v>
      </c>
      <c r="L68" s="135">
        <f>'MACRO DATA'!L59</f>
        <v>0</v>
      </c>
      <c r="M68" s="135">
        <f>'MACRO DATA'!M59</f>
        <v>0</v>
      </c>
      <c r="N68" s="135">
        <f>'MACRO DATA'!N59</f>
        <v>0</v>
      </c>
      <c r="O68" s="135">
        <f>'MACRO DATA'!O59</f>
        <v>0</v>
      </c>
      <c r="P68" s="135">
        <f>'MACRO DATA'!P59</f>
        <v>0</v>
      </c>
      <c r="Q68" s="135">
        <f>'MACRO DATA'!Q59</f>
        <v>0</v>
      </c>
    </row>
    <row r="69" spans="2:17" ht="15">
      <c r="B69" s="88" t="str">
        <f>'MACRO DATA'!B60</f>
        <v>Domestic financing</v>
      </c>
      <c r="C69" s="89" t="s">
        <v>1832</v>
      </c>
      <c r="D69" s="133">
        <f>'MACRO DATA'!D60</f>
        <v>177</v>
      </c>
      <c r="E69" s="133">
        <f>'MACRO DATA'!E60</f>
        <v>-75</v>
      </c>
      <c r="F69" s="133">
        <f>'MACRO DATA'!F60</f>
        <v>-171</v>
      </c>
      <c r="G69" s="133">
        <f>'MACRO DATA'!G60</f>
        <v>-92</v>
      </c>
      <c r="H69" s="133">
        <f>'MACRO DATA'!H60</f>
        <v>0</v>
      </c>
      <c r="I69" s="135">
        <f>'MACRO DATA'!I60</f>
        <v>0</v>
      </c>
      <c r="J69" s="135">
        <f>'MACRO DATA'!J60</f>
        <v>0</v>
      </c>
      <c r="K69" s="135">
        <f>'MACRO DATA'!K60</f>
        <v>0</v>
      </c>
      <c r="L69" s="135">
        <f>'MACRO DATA'!L60</f>
        <v>0</v>
      </c>
      <c r="M69" s="135">
        <f>'MACRO DATA'!M60</f>
        <v>0</v>
      </c>
      <c r="N69" s="135">
        <f>'MACRO DATA'!N60</f>
        <v>0</v>
      </c>
      <c r="O69" s="135">
        <f>'MACRO DATA'!O60</f>
        <v>0</v>
      </c>
      <c r="P69" s="135">
        <f>'MACRO DATA'!P60</f>
        <v>0</v>
      </c>
      <c r="Q69" s="135">
        <f>'MACRO DATA'!Q60</f>
        <v>0</v>
      </c>
    </row>
    <row r="70" spans="2:17" ht="15">
      <c r="B70" s="33" t="str">
        <f>'MACRO DATA'!B61</f>
        <v xml:space="preserve">      Bank</v>
      </c>
      <c r="C70" s="89" t="s">
        <v>1832</v>
      </c>
      <c r="D70" s="132">
        <f>'MACRO DATA'!D61</f>
        <v>139</v>
      </c>
      <c r="E70" s="132">
        <f>'MACRO DATA'!E61</f>
        <v>-100</v>
      </c>
      <c r="F70" s="132">
        <f>'MACRO DATA'!F61</f>
        <v>-171</v>
      </c>
      <c r="G70" s="132">
        <f>'MACRO DATA'!G61</f>
        <v>-92</v>
      </c>
      <c r="H70" s="132">
        <f>'MACRO DATA'!H61</f>
        <v>0</v>
      </c>
      <c r="I70" s="135">
        <f>'MACRO DATA'!I61</f>
        <v>0</v>
      </c>
      <c r="J70" s="135">
        <f>'MACRO DATA'!J61</f>
        <v>0</v>
      </c>
      <c r="K70" s="135">
        <f>'MACRO DATA'!K61</f>
        <v>0</v>
      </c>
      <c r="L70" s="135">
        <f>'MACRO DATA'!L61</f>
        <v>0</v>
      </c>
      <c r="M70" s="135">
        <f>'MACRO DATA'!M61</f>
        <v>0</v>
      </c>
      <c r="N70" s="135">
        <f>'MACRO DATA'!N61</f>
        <v>0</v>
      </c>
      <c r="O70" s="135">
        <f>'MACRO DATA'!O61</f>
        <v>0</v>
      </c>
      <c r="P70" s="135">
        <f>'MACRO DATA'!P61</f>
        <v>0</v>
      </c>
      <c r="Q70" s="135">
        <f>'MACRO DATA'!Q61</f>
        <v>0</v>
      </c>
    </row>
    <row r="71" spans="2:17" ht="15">
      <c r="B71" s="88" t="str">
        <f>'MACRO DATA'!B62</f>
        <v xml:space="preserve">      Nonbank and others per RMSM (accrual)</v>
      </c>
      <c r="C71" s="89" t="s">
        <v>1832</v>
      </c>
      <c r="D71" s="133">
        <f>'MACRO DATA'!D62</f>
        <v>38</v>
      </c>
      <c r="E71" s="133">
        <f>'MACRO DATA'!E62</f>
        <v>25</v>
      </c>
      <c r="F71" s="133">
        <f>'MACRO DATA'!F62</f>
        <v>0</v>
      </c>
      <c r="G71" s="133">
        <f>'MACRO DATA'!G62</f>
        <v>0</v>
      </c>
      <c r="H71" s="133">
        <f>'MACRO DATA'!H62</f>
        <v>0</v>
      </c>
      <c r="I71" s="135">
        <f>'MACRO DATA'!I62</f>
        <v>0</v>
      </c>
      <c r="J71" s="135">
        <f>'MACRO DATA'!J62</f>
        <v>0</v>
      </c>
      <c r="K71" s="135">
        <f>'MACRO DATA'!K62</f>
        <v>0</v>
      </c>
      <c r="L71" s="135">
        <f>'MACRO DATA'!L62</f>
        <v>0</v>
      </c>
      <c r="M71" s="135">
        <f>'MACRO DATA'!M62</f>
        <v>0</v>
      </c>
      <c r="N71" s="135">
        <f>'MACRO DATA'!N62</f>
        <v>0</v>
      </c>
      <c r="O71" s="135">
        <f>'MACRO DATA'!O62</f>
        <v>0</v>
      </c>
      <c r="P71" s="135">
        <f>'MACRO DATA'!P62</f>
        <v>0</v>
      </c>
      <c r="Q71" s="135">
        <f>'MACRO DATA'!Q62</f>
        <v>0</v>
      </c>
    </row>
    <row r="72" spans="2:17" ht="15">
      <c r="B72" s="33" t="str">
        <f>'MACRO DATA'!B63</f>
        <v>External financing</v>
      </c>
      <c r="C72" s="62" t="s">
        <v>1832</v>
      </c>
      <c r="D72" s="132">
        <f>'MACRO DATA'!D63</f>
        <v>531</v>
      </c>
      <c r="E72" s="132">
        <f>'MACRO DATA'!E63</f>
        <v>722</v>
      </c>
      <c r="F72" s="132">
        <f>'MACRO DATA'!F63</f>
        <v>-80</v>
      </c>
      <c r="G72" s="132">
        <f>'MACRO DATA'!G63</f>
        <v>3</v>
      </c>
      <c r="H72" s="132">
        <f>'MACRO DATA'!H63</f>
        <v>0</v>
      </c>
      <c r="I72" s="135">
        <f>'MACRO DATA'!I63</f>
        <v>0</v>
      </c>
      <c r="J72" s="135">
        <f>'MACRO DATA'!J63</f>
        <v>0</v>
      </c>
      <c r="K72" s="135">
        <f>'MACRO DATA'!K63</f>
        <v>0</v>
      </c>
      <c r="L72" s="135">
        <f>'MACRO DATA'!L63</f>
        <v>0</v>
      </c>
      <c r="M72" s="135">
        <f>'MACRO DATA'!M63</f>
        <v>0</v>
      </c>
      <c r="N72" s="135">
        <f>'MACRO DATA'!N63</f>
        <v>0</v>
      </c>
      <c r="O72" s="135">
        <f>'MACRO DATA'!O63</f>
        <v>0</v>
      </c>
      <c r="P72" s="135">
        <f>'MACRO DATA'!P63</f>
        <v>0</v>
      </c>
      <c r="Q72" s="135">
        <f>'MACRO DATA'!Q63</f>
        <v>0</v>
      </c>
    </row>
    <row r="73" spans="2:17" ht="15">
      <c r="B73" s="88" t="str">
        <f>'MACRO DATA'!B64</f>
        <v xml:space="preserve">      Program loans</v>
      </c>
      <c r="C73" s="89" t="s">
        <v>1832</v>
      </c>
      <c r="D73" s="133">
        <f>'MACRO DATA'!D64</f>
        <v>479</v>
      </c>
      <c r="E73" s="133">
        <f>'MACRO DATA'!E64</f>
        <v>447</v>
      </c>
      <c r="F73" s="133">
        <f>'MACRO DATA'!F64</f>
        <v>0</v>
      </c>
      <c r="G73" s="133">
        <f>'MACRO DATA'!G64</f>
        <v>0</v>
      </c>
      <c r="H73" s="133">
        <f>'MACRO DATA'!H64</f>
        <v>0</v>
      </c>
      <c r="I73" s="135">
        <f>'MACRO DATA'!I64</f>
        <v>0</v>
      </c>
      <c r="J73" s="135">
        <f>'MACRO DATA'!J64</f>
        <v>0</v>
      </c>
      <c r="K73" s="135">
        <f>'MACRO DATA'!K64</f>
        <v>0</v>
      </c>
      <c r="L73" s="135">
        <f>'MACRO DATA'!L64</f>
        <v>0</v>
      </c>
      <c r="M73" s="135">
        <f>'MACRO DATA'!M64</f>
        <v>0</v>
      </c>
      <c r="N73" s="135">
        <f>'MACRO DATA'!N64</f>
        <v>0</v>
      </c>
      <c r="O73" s="135">
        <f>'MACRO DATA'!O64</f>
        <v>0</v>
      </c>
      <c r="P73" s="135">
        <f>'MACRO DATA'!P64</f>
        <v>0</v>
      </c>
      <c r="Q73" s="135">
        <f>'MACRO DATA'!Q64</f>
        <v>0</v>
      </c>
    </row>
    <row r="74" spans="2:17" ht="15">
      <c r="B74" s="33" t="str">
        <f>'MACRO DATA'!B65</f>
        <v xml:space="preserve">      Project loans</v>
      </c>
      <c r="C74" s="62" t="s">
        <v>1832</v>
      </c>
      <c r="D74" s="132">
        <f>'MACRO DATA'!D65</f>
        <v>289</v>
      </c>
      <c r="E74" s="132">
        <f>'MACRO DATA'!E65</f>
        <v>513</v>
      </c>
      <c r="F74" s="132">
        <f>'MACRO DATA'!F65</f>
        <v>510</v>
      </c>
      <c r="G74" s="132">
        <f>'MACRO DATA'!G65</f>
        <v>574</v>
      </c>
      <c r="H74" s="132">
        <f>'MACRO DATA'!H65</f>
        <v>0</v>
      </c>
      <c r="I74" s="135">
        <f>'MACRO DATA'!I65</f>
        <v>0</v>
      </c>
      <c r="J74" s="135">
        <f>'MACRO DATA'!J65</f>
        <v>0</v>
      </c>
      <c r="K74" s="135">
        <f>'MACRO DATA'!K65</f>
        <v>0</v>
      </c>
      <c r="L74" s="135">
        <f>'MACRO DATA'!L65</f>
        <v>0</v>
      </c>
      <c r="M74" s="135">
        <f>'MACRO DATA'!M65</f>
        <v>0</v>
      </c>
      <c r="N74" s="135">
        <f>'MACRO DATA'!N65</f>
        <v>0</v>
      </c>
      <c r="O74" s="135">
        <f>'MACRO DATA'!O65</f>
        <v>0</v>
      </c>
      <c r="P74" s="135">
        <f>'MACRO DATA'!P65</f>
        <v>0</v>
      </c>
      <c r="Q74" s="135">
        <f>'MACRO DATA'!Q65</f>
        <v>0</v>
      </c>
    </row>
    <row r="75" spans="2:17" ht="15">
      <c r="B75" s="88" t="str">
        <f>'MACRO DATA'!B66</f>
        <v xml:space="preserve">      Amortization due</v>
      </c>
      <c r="C75" s="89" t="s">
        <v>1832</v>
      </c>
      <c r="D75" s="133">
        <f>'MACRO DATA'!D66</f>
        <v>-237</v>
      </c>
      <c r="E75" s="133">
        <f>'MACRO DATA'!E66</f>
        <v>-238</v>
      </c>
      <c r="F75" s="133">
        <f>'MACRO DATA'!F66</f>
        <v>-590</v>
      </c>
      <c r="G75" s="133">
        <f>'MACRO DATA'!G66</f>
        <v>-571</v>
      </c>
      <c r="H75" s="133">
        <f>'MACRO DATA'!H66</f>
        <v>0</v>
      </c>
      <c r="I75" s="135">
        <f>'MACRO DATA'!I66</f>
        <v>0</v>
      </c>
      <c r="J75" s="135">
        <f>'MACRO DATA'!J66</f>
        <v>0</v>
      </c>
      <c r="K75" s="135">
        <f>'MACRO DATA'!K66</f>
        <v>0</v>
      </c>
      <c r="L75" s="135">
        <f>'MACRO DATA'!L66</f>
        <v>0</v>
      </c>
      <c r="M75" s="135">
        <f>'MACRO DATA'!M66</f>
        <v>0</v>
      </c>
      <c r="N75" s="135">
        <f>'MACRO DATA'!N66</f>
        <v>0</v>
      </c>
      <c r="O75" s="135">
        <f>'MACRO DATA'!O66</f>
        <v>0</v>
      </c>
      <c r="P75" s="135">
        <f>'MACRO DATA'!P66</f>
        <v>0</v>
      </c>
      <c r="Q75" s="135">
        <f>'MACRO DATA'!Q66</f>
        <v>0</v>
      </c>
    </row>
    <row r="76" spans="2:17" ht="15">
      <c r="B76" s="33" t="str">
        <f>'MACRO DATA'!B67</f>
        <v>Other fiscal financing</v>
      </c>
      <c r="C76" s="62" t="s">
        <v>1832</v>
      </c>
      <c r="D76" s="132">
        <f>IF($C$1=1,'MACRO DATA'!D67+D33,'MACRO DATA'!D67)</f>
        <v>0</v>
      </c>
      <c r="E76" s="132">
        <f>IF($C$1=1,'MACRO DATA'!E67+E33,'MACRO DATA'!E67)</f>
        <v>0</v>
      </c>
      <c r="F76" s="132">
        <f>IF($C$1=1,'MACRO DATA'!F67+F33,'MACRO DATA'!F67)</f>
        <v>152.4934867993436</v>
      </c>
      <c r="G76" s="132">
        <f>IF($C$1=1,'MACRO DATA'!G67+G33,'MACRO DATA'!G67)</f>
        <v>11.810142004623671</v>
      </c>
      <c r="H76" s="132" t="e">
        <f>IF($C$1=1,'MACRO DATA'!H67+H33,'MACRO DATA'!H67)</f>
        <v>#VALUE!</v>
      </c>
      <c r="I76" s="132" t="e">
        <f>IF($C$1=1,'MACRO DATA'!I67+I33,'MACRO DATA'!I67)</f>
        <v>#VALUE!</v>
      </c>
      <c r="J76" s="132" t="e">
        <f>IF($C$1=1,'MACRO DATA'!J67+J33,'MACRO DATA'!J67)</f>
        <v>#VALUE!</v>
      </c>
      <c r="K76" s="132" t="e">
        <f>IF($C$1=1,'MACRO DATA'!K67+K33,'MACRO DATA'!K67)</f>
        <v>#VALUE!</v>
      </c>
      <c r="L76" s="132" t="e">
        <f>IF($C$1=1,'MACRO DATA'!L67+L33,'MACRO DATA'!L67)</f>
        <v>#VALUE!</v>
      </c>
      <c r="M76" s="132" t="e">
        <f>IF($C$1=1,'MACRO DATA'!M67+M33,'MACRO DATA'!M67)</f>
        <v>#VALUE!</v>
      </c>
      <c r="N76" s="132" t="e">
        <f>IF($C$1=1,'MACRO DATA'!N67+N33,'MACRO DATA'!N67)</f>
        <v>#VALUE!</v>
      </c>
      <c r="O76" s="132" t="e">
        <f>IF($C$1=1,'MACRO DATA'!O67+O33,'MACRO DATA'!O67)</f>
        <v>#VALUE!</v>
      </c>
      <c r="P76" s="132" t="e">
        <f>IF($C$1=1,'MACRO DATA'!P67+P33,'MACRO DATA'!P67)</f>
        <v>#VALUE!</v>
      </c>
      <c r="Q76" s="132" t="e">
        <f>IF($C$1=1,'MACRO DATA'!Q67+Q33,'MACRO DATA'!Q67)</f>
        <v>#VALUE!</v>
      </c>
    </row>
    <row r="77" spans="2:17" ht="15">
      <c r="B77" s="33" t="str">
        <f>'MACRO DATA'!B68</f>
        <v xml:space="preserve">       source 1</v>
      </c>
      <c r="C77" s="62" t="s">
        <v>1832</v>
      </c>
      <c r="D77" s="132">
        <f>IF($C$1=1,'MACRO DATA'!D68+D33,'MACRO DATA'!D68)</f>
        <v>0</v>
      </c>
      <c r="E77" s="132">
        <f>IF($C$1=1,'MACRO DATA'!E68+E33,'MACRO DATA'!E68)</f>
        <v>0</v>
      </c>
      <c r="F77" s="132">
        <f>IF($C$1=1,'MACRO DATA'!F68+F33,'MACRO DATA'!F68)</f>
        <v>152.4934867993436</v>
      </c>
      <c r="G77" s="132">
        <f>IF($C$1=1,'MACRO DATA'!G68+G33,'MACRO DATA'!G68)</f>
        <v>11.810142004623671</v>
      </c>
      <c r="H77" s="132" t="e">
        <f>IF($C$1=1,'MACRO DATA'!H68+H33,'MACRO DATA'!H68)</f>
        <v>#VALUE!</v>
      </c>
      <c r="I77" s="132" t="e">
        <f>IF($C$1=1,'MACRO DATA'!I68+I33,'MACRO DATA'!I68)</f>
        <v>#VALUE!</v>
      </c>
      <c r="J77" s="132" t="e">
        <f>IF($C$1=1,'MACRO DATA'!J68+J33,'MACRO DATA'!J68)</f>
        <v>#VALUE!</v>
      </c>
      <c r="K77" s="132" t="e">
        <f>IF($C$1=1,'MACRO DATA'!K68+K33,'MACRO DATA'!K68)</f>
        <v>#VALUE!</v>
      </c>
      <c r="L77" s="132" t="e">
        <f>IF($C$1=1,'MACRO DATA'!L68+L33,'MACRO DATA'!L68)</f>
        <v>#VALUE!</v>
      </c>
      <c r="M77" s="132" t="e">
        <f>IF($C$1=1,'MACRO DATA'!M68+M33,'MACRO DATA'!M68)</f>
        <v>#VALUE!</v>
      </c>
      <c r="N77" s="132" t="e">
        <f>IF($C$1=1,'MACRO DATA'!N68+N33,'MACRO DATA'!N68)</f>
        <v>#VALUE!</v>
      </c>
      <c r="O77" s="132" t="e">
        <f>IF($C$1=1,'MACRO DATA'!O68+O33,'MACRO DATA'!O68)</f>
        <v>#VALUE!</v>
      </c>
      <c r="P77" s="132" t="e">
        <f>IF($C$1=1,'MACRO DATA'!P68+P33,'MACRO DATA'!P68)</f>
        <v>#VALUE!</v>
      </c>
      <c r="Q77" s="132" t="e">
        <f>IF($C$1=1,'MACRO DATA'!Q68+Q33,'MACRO DATA'!Q68)</f>
        <v>#VALUE!</v>
      </c>
    </row>
    <row r="78" spans="2:17" ht="15">
      <c r="B78" s="88" t="str">
        <f>'MACRO DATA'!B69</f>
        <v xml:space="preserve">       source 2</v>
      </c>
      <c r="C78" s="89" t="s">
        <v>1832</v>
      </c>
      <c r="D78" s="133">
        <f>'MACRO DATA'!D69</f>
        <v>0</v>
      </c>
      <c r="E78" s="133">
        <f>'MACRO DATA'!E69</f>
        <v>0</v>
      </c>
      <c r="F78" s="133">
        <f>'MACRO DATA'!F69</f>
        <v>0</v>
      </c>
      <c r="G78" s="133">
        <f>'MACRO DATA'!G69</f>
        <v>0</v>
      </c>
      <c r="H78" s="133">
        <f>'MACRO DATA'!H69</f>
        <v>0</v>
      </c>
      <c r="I78" s="135">
        <f>'MACRO DATA'!I69</f>
        <v>0</v>
      </c>
      <c r="J78" s="135">
        <f>'MACRO DATA'!J69</f>
        <v>0</v>
      </c>
      <c r="K78" s="135">
        <f>'MACRO DATA'!K69</f>
        <v>0</v>
      </c>
      <c r="L78" s="135">
        <f>'MACRO DATA'!L69</f>
        <v>0</v>
      </c>
      <c r="M78" s="135">
        <f>'MACRO DATA'!M69</f>
        <v>0</v>
      </c>
      <c r="N78" s="135">
        <f>'MACRO DATA'!N69</f>
        <v>0</v>
      </c>
      <c r="O78" s="135">
        <f>'MACRO DATA'!O69</f>
        <v>0</v>
      </c>
      <c r="P78" s="135">
        <f>'MACRO DATA'!P69</f>
        <v>0</v>
      </c>
      <c r="Q78" s="135">
        <f>'MACRO DATA'!Q69</f>
        <v>0</v>
      </c>
    </row>
    <row r="79" spans="2:17" ht="15">
      <c r="B79" s="33" t="str">
        <f>'MACRO DATA'!B70</f>
        <v xml:space="preserve">       source 3</v>
      </c>
      <c r="C79" s="62" t="s">
        <v>1832</v>
      </c>
      <c r="D79" s="132">
        <f>'MACRO DATA'!D70</f>
        <v>0</v>
      </c>
      <c r="E79" s="132">
        <f>'MACRO DATA'!E70</f>
        <v>0</v>
      </c>
      <c r="F79" s="132">
        <f>'MACRO DATA'!F70</f>
        <v>0</v>
      </c>
      <c r="G79" s="132">
        <f>'MACRO DATA'!G70</f>
        <v>0</v>
      </c>
      <c r="H79" s="132">
        <f>'MACRO DATA'!H70</f>
        <v>0</v>
      </c>
      <c r="I79" s="135">
        <f>'MACRO DATA'!I70</f>
        <v>0</v>
      </c>
      <c r="J79" s="135">
        <f>'MACRO DATA'!J70</f>
        <v>0</v>
      </c>
      <c r="K79" s="135">
        <f>'MACRO DATA'!K70</f>
        <v>0</v>
      </c>
      <c r="L79" s="135">
        <f>'MACRO DATA'!L70</f>
        <v>0</v>
      </c>
      <c r="M79" s="135">
        <f>'MACRO DATA'!M70</f>
        <v>0</v>
      </c>
      <c r="N79" s="135">
        <f>'MACRO DATA'!N70</f>
        <v>0</v>
      </c>
      <c r="O79" s="135">
        <f>'MACRO DATA'!O70</f>
        <v>0</v>
      </c>
      <c r="P79" s="135">
        <f>'MACRO DATA'!P70</f>
        <v>0</v>
      </c>
      <c r="Q79" s="135">
        <f>'MACRO DATA'!Q70</f>
        <v>0</v>
      </c>
    </row>
    <row r="80" spans="2:17" ht="30" customHeight="1">
      <c r="B80" s="35" t="s">
        <v>1475</v>
      </c>
      <c r="C80" s="62"/>
      <c r="D80" s="70" t="s">
        <v>1448</v>
      </c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</row>
    <row r="81" spans="2:52" ht="15">
      <c r="B81" s="95" t="s">
        <v>1843</v>
      </c>
      <c r="C81" s="89" t="s">
        <v>2030</v>
      </c>
      <c r="D81" s="96">
        <f>'MACRO DATA'!D73</f>
        <v>3.1107999999999998</v>
      </c>
      <c r="E81" s="96">
        <f>$D81*E82</f>
        <v>3.8853892000000001</v>
      </c>
      <c r="F81" s="96">
        <f t="shared" ref="F81:Q81" si="25">$D81*F82</f>
        <v>4.5536761424000005</v>
      </c>
      <c r="G81" s="96">
        <f t="shared" si="25"/>
        <v>5.1593150693391996</v>
      </c>
      <c r="H81" s="96">
        <f t="shared" si="25"/>
        <v>5.1593150693391996</v>
      </c>
      <c r="I81" s="617">
        <f t="shared" si="25"/>
        <v>5.1593150693391996</v>
      </c>
      <c r="J81" s="617">
        <f t="shared" si="25"/>
        <v>5.1593150693391996</v>
      </c>
      <c r="K81" s="617">
        <f t="shared" si="25"/>
        <v>5.1593150693391996</v>
      </c>
      <c r="L81" s="617">
        <f t="shared" si="25"/>
        <v>5.1593150693391996</v>
      </c>
      <c r="M81" s="617">
        <f t="shared" si="25"/>
        <v>5.1593150693391996</v>
      </c>
      <c r="N81" s="617">
        <f t="shared" si="25"/>
        <v>5.1593150693391996</v>
      </c>
      <c r="O81" s="617">
        <f t="shared" si="25"/>
        <v>5.1593150693391996</v>
      </c>
      <c r="P81" s="617">
        <f t="shared" si="25"/>
        <v>5.1593150693391996</v>
      </c>
      <c r="Q81" s="617">
        <f t="shared" si="25"/>
        <v>5.1593150693391996</v>
      </c>
    </row>
    <row r="82" spans="2:52" ht="15">
      <c r="B82" s="95"/>
      <c r="C82" s="89" t="s">
        <v>1842</v>
      </c>
      <c r="D82" s="96">
        <v>1</v>
      </c>
      <c r="E82" s="97">
        <f>D82*(1+E5)</f>
        <v>1.2490000000000001</v>
      </c>
      <c r="F82" s="97">
        <f>E82*(1+F5)</f>
        <v>1.4638280000000001</v>
      </c>
      <c r="G82" s="97">
        <f>F82*(1+G5)</f>
        <v>1.6585171240000001</v>
      </c>
      <c r="H82" s="97">
        <f t="shared" ref="H82:Q82" si="26">G82*(1+H5)</f>
        <v>1.6585171240000001</v>
      </c>
      <c r="I82" s="618">
        <f t="shared" si="26"/>
        <v>1.6585171240000001</v>
      </c>
      <c r="J82" s="618">
        <f t="shared" si="26"/>
        <v>1.6585171240000001</v>
      </c>
      <c r="K82" s="618">
        <f t="shared" si="26"/>
        <v>1.6585171240000001</v>
      </c>
      <c r="L82" s="618">
        <f t="shared" si="26"/>
        <v>1.6585171240000001</v>
      </c>
      <c r="M82" s="618">
        <f t="shared" si="26"/>
        <v>1.6585171240000001</v>
      </c>
      <c r="N82" s="618">
        <f t="shared" si="26"/>
        <v>1.6585171240000001</v>
      </c>
      <c r="O82" s="618">
        <f t="shared" si="26"/>
        <v>1.6585171240000001</v>
      </c>
      <c r="P82" s="618">
        <f t="shared" si="26"/>
        <v>1.6585171240000001</v>
      </c>
      <c r="Q82" s="618">
        <f t="shared" si="26"/>
        <v>1.6585171240000001</v>
      </c>
    </row>
    <row r="83" spans="2:52" ht="20.100000000000001" customHeight="1">
      <c r="B83" s="79" t="s">
        <v>2059</v>
      </c>
      <c r="C83" s="62" t="s">
        <v>1498</v>
      </c>
      <c r="D83" s="68">
        <v>0</v>
      </c>
      <c r="E83" s="68">
        <f>IF($C$1=1,('MACRO DATA'!E75/'MACRO DATA'!D75-1)+'VAR-based TOT growth adjustment'!$G$25*'VAR-based TOT growth adjustment'!G21,'MACRO DATA'!E75/'MACRO DATA'!D75-1)</f>
        <v>0</v>
      </c>
      <c r="F83" s="68">
        <f>IF($C$1=1,('MACRO DATA'!F75/'MACRO DATA'!E75-1)+'VAR-based TOT growth adjustment'!$G$25*'VAR-based TOT growth adjustment'!H21,'MACRO DATA'!F75/'MACRO DATA'!E75-1)</f>
        <v>0</v>
      </c>
      <c r="G83" s="68">
        <f>IF($C$1=1,('MACRO DATA'!G75/'MACRO DATA'!F75-1)+'VAR-based TOT growth adjustment'!$G$25*'VAR-based TOT growth adjustment'!I21,'MACRO DATA'!G75/'MACRO DATA'!F75-1)</f>
        <v>0</v>
      </c>
      <c r="H83" s="68" t="e">
        <f>IF($C$1=1,('MACRO DATA'!H75/'MACRO DATA'!G75-1)+'VAR-based TOT growth adjustment'!$G$25*'VAR-based TOT growth adjustment'!J21,'MACRO DATA'!H75/'MACRO DATA'!G75-1)</f>
        <v>#VALUE!</v>
      </c>
      <c r="I83" s="68" t="e">
        <f>IF($C$1=1,('MACRO DATA'!I75/'MACRO DATA'!H75-1)+'VAR-based TOT growth adjustment'!$G$25*'VAR-based TOT growth adjustment'!K21,'MACRO DATA'!I75/'MACRO DATA'!H75-1)</f>
        <v>#DIV/0!</v>
      </c>
      <c r="J83" s="68" t="e">
        <f>IF($C$1=1,('MACRO DATA'!J75/'MACRO DATA'!I75-1)+'VAR-based TOT growth adjustment'!$G$25*'VAR-based TOT growth adjustment'!L21,'MACRO DATA'!J75/'MACRO DATA'!I75-1)</f>
        <v>#DIV/0!</v>
      </c>
      <c r="K83" s="68" t="e">
        <f>IF($C$1=1,('MACRO DATA'!K75/'MACRO DATA'!J75-1)+'VAR-based TOT growth adjustment'!$G$25*'VAR-based TOT growth adjustment'!M21,'MACRO DATA'!K75/'MACRO DATA'!J75-1)</f>
        <v>#DIV/0!</v>
      </c>
      <c r="L83" s="68" t="e">
        <f>IF($C$1=1,('MACRO DATA'!L75/'MACRO DATA'!K75-1)+'VAR-based TOT growth adjustment'!$G$25*'VAR-based TOT growth adjustment'!N21,'MACRO DATA'!L75/'MACRO DATA'!K75-1)</f>
        <v>#DIV/0!</v>
      </c>
      <c r="M83" s="68" t="e">
        <f>IF($C$1=1,('MACRO DATA'!M75/'MACRO DATA'!L75-1)+'VAR-based TOT growth adjustment'!$G$25*'VAR-based TOT growth adjustment'!O21,'MACRO DATA'!M75/'MACRO DATA'!L75-1)</f>
        <v>#DIV/0!</v>
      </c>
      <c r="N83" s="68" t="e">
        <f>IF($C$1=1,('MACRO DATA'!N75/'MACRO DATA'!M75-1)+'VAR-based TOT growth adjustment'!$G$25*'VAR-based TOT growth adjustment'!P21,'MACRO DATA'!N75/'MACRO DATA'!M75-1)</f>
        <v>#DIV/0!</v>
      </c>
      <c r="O83" s="68" t="e">
        <f>IF($C$1=1,('MACRO DATA'!O75/'MACRO DATA'!N75-1)+'VAR-based TOT growth adjustment'!$G$25*'VAR-based TOT growth adjustment'!Q21,'MACRO DATA'!O75/'MACRO DATA'!N75-1)</f>
        <v>#DIV/0!</v>
      </c>
      <c r="P83" s="68" t="e">
        <f>IF($C$1=1,('MACRO DATA'!P75/'MACRO DATA'!O75-1)+'VAR-based TOT growth adjustment'!$G$25*'VAR-based TOT growth adjustment'!R21,'MACRO DATA'!P75/'MACRO DATA'!O75-1)</f>
        <v>#DIV/0!</v>
      </c>
      <c r="Q83" s="68" t="e">
        <f>IF($C$1=1,('MACRO DATA'!Q75/'MACRO DATA'!P75-1)+'VAR-based TOT growth adjustment'!$G$25*'VAR-based TOT growth adjustment'!S21,'MACRO DATA'!Q75/'MACRO DATA'!P75-1)</f>
        <v>#DIV/0!</v>
      </c>
      <c r="R83" s="68" t="e">
        <f>IF($C$1=1,('MACRO DATA'!R75/'MACRO DATA'!Q75-1)+'VAR-based TOT growth adjustment'!$G$25*'VAR-based TOT growth adjustment'!T21,'MACRO DATA'!R75/'MACRO DATA'!Q75-1)</f>
        <v>#DIV/0!</v>
      </c>
      <c r="S83" s="68" t="e">
        <f>IF($C$1=1,('MACRO DATA'!S75/'MACRO DATA'!R75-1)+'VAR-based TOT growth adjustment'!$G$25*'VAR-based TOT growth adjustment'!U21,'MACRO DATA'!S75/'MACRO DATA'!R75-1)</f>
        <v>#DIV/0!</v>
      </c>
      <c r="T83" s="68" t="e">
        <f>IF($C$1=1,('MACRO DATA'!T75/'MACRO DATA'!S75-1)+'VAR-based TOT growth adjustment'!$G$25*'VAR-based TOT growth adjustment'!V21,'MACRO DATA'!T75/'MACRO DATA'!S75-1)</f>
        <v>#DIV/0!</v>
      </c>
      <c r="U83" s="68" t="e">
        <f>IF($C$1=1,('MACRO DATA'!U75/'MACRO DATA'!T75-1)+'VAR-based TOT growth adjustment'!$G$25*'VAR-based TOT growth adjustment'!W21,'MACRO DATA'!U75/'MACRO DATA'!T75-1)</f>
        <v>#DIV/0!</v>
      </c>
      <c r="V83" s="68" t="e">
        <f>IF($C$1=1,('MACRO DATA'!V75/'MACRO DATA'!U75-1)+'VAR-based TOT growth adjustment'!$G$25*'VAR-based TOT growth adjustment'!X21,'MACRO DATA'!V75/'MACRO DATA'!U75-1)</f>
        <v>#DIV/0!</v>
      </c>
      <c r="W83" s="68" t="e">
        <f>IF($C$1=1,('MACRO DATA'!W75/'MACRO DATA'!V75-1)+'VAR-based TOT growth adjustment'!$G$25*'VAR-based TOT growth adjustment'!Y21,'MACRO DATA'!W75/'MACRO DATA'!V75-1)</f>
        <v>#DIV/0!</v>
      </c>
      <c r="X83" s="68" t="e">
        <f>IF($C$1=1,('MACRO DATA'!X75/'MACRO DATA'!W75-1)+'VAR-based TOT growth adjustment'!$G$25*'VAR-based TOT growth adjustment'!Z21,'MACRO DATA'!X75/'MACRO DATA'!W75-1)</f>
        <v>#DIV/0!</v>
      </c>
      <c r="Y83" s="68" t="e">
        <f>IF($C$1=1,('MACRO DATA'!Y75/'MACRO DATA'!X75-1)+'VAR-based TOT growth adjustment'!$G$25*'VAR-based TOT growth adjustment'!AA21,'MACRO DATA'!Y75/'MACRO DATA'!X75-1)</f>
        <v>#DIV/0!</v>
      </c>
      <c r="Z83" s="68" t="e">
        <f>IF($C$1=1,('MACRO DATA'!Z75/'MACRO DATA'!Y75-1)+'VAR-based TOT growth adjustment'!$G$25*'VAR-based TOT growth adjustment'!AB21,'MACRO DATA'!Z75/'MACRO DATA'!Y75-1)</f>
        <v>#DIV/0!</v>
      </c>
      <c r="AA83" s="68" t="e">
        <f>IF($C$1=1,('MACRO DATA'!AA75/'MACRO DATA'!Z75-1)+'VAR-based TOT growth adjustment'!$G$25*'VAR-based TOT growth adjustment'!AC21,'MACRO DATA'!AA75/'MACRO DATA'!Z75-1)</f>
        <v>#DIV/0!</v>
      </c>
      <c r="AB83" s="68" t="e">
        <f>IF($C$1=1,('MACRO DATA'!AB75/'MACRO DATA'!AA75-1)+'VAR-based TOT growth adjustment'!$G$25*'VAR-based TOT growth adjustment'!AD21,'MACRO DATA'!AB75/'MACRO DATA'!AA75-1)</f>
        <v>#DIV/0!</v>
      </c>
      <c r="AC83" s="68" t="e">
        <f>IF($C$1=1,('MACRO DATA'!AC75/'MACRO DATA'!AB75-1)+'VAR-based TOT growth adjustment'!$G$25*'VAR-based TOT growth adjustment'!AE21,'MACRO DATA'!AC75/'MACRO DATA'!AB75-1)</f>
        <v>#DIV/0!</v>
      </c>
      <c r="AD83" s="68" t="e">
        <f>IF($C$1=1,('MACRO DATA'!AD75/'MACRO DATA'!AC75-1)+'VAR-based TOT growth adjustment'!$G$25*'VAR-based TOT growth adjustment'!AF21,'MACRO DATA'!AD75/'MACRO DATA'!AC75-1)</f>
        <v>#DIV/0!</v>
      </c>
      <c r="AE83" s="68" t="e">
        <f>IF($C$1=1,('MACRO DATA'!AE75/'MACRO DATA'!AD75-1)+'VAR-based TOT growth adjustment'!$G$25*'VAR-based TOT growth adjustment'!AG21,'MACRO DATA'!AE75/'MACRO DATA'!AD75-1)</f>
        <v>#DIV/0!</v>
      </c>
      <c r="AF83" s="68" t="e">
        <f>IF($C$1=1,('MACRO DATA'!AF75/'MACRO DATA'!AE75-1)+'VAR-based TOT growth adjustment'!$G$25*'VAR-based TOT growth adjustment'!AH21,'MACRO DATA'!AF75/'MACRO DATA'!AE75-1)</f>
        <v>#DIV/0!</v>
      </c>
      <c r="AG83" s="68" t="e">
        <f>IF($C$1=1,('MACRO DATA'!AG75/'MACRO DATA'!AF75-1)+'VAR-based TOT growth adjustment'!$G$25*'VAR-based TOT growth adjustment'!AI21,'MACRO DATA'!AG75/'MACRO DATA'!AF75-1)</f>
        <v>#DIV/0!</v>
      </c>
      <c r="AH83" s="68" t="e">
        <f>IF($C$1=1,('MACRO DATA'!AH75/'MACRO DATA'!AG75-1)+'VAR-based TOT growth adjustment'!$G$25*'VAR-based TOT growth adjustment'!AJ21,'MACRO DATA'!AH75/'MACRO DATA'!AG75-1)</f>
        <v>#DIV/0!</v>
      </c>
      <c r="AI83" s="68" t="e">
        <f>IF($C$1=1,('MACRO DATA'!AI75/'MACRO DATA'!AH75-1)+'VAR-based TOT growth adjustment'!$G$25*'VAR-based TOT growth adjustment'!AK21,'MACRO DATA'!AI75/'MACRO DATA'!AH75-1)</f>
        <v>#DIV/0!</v>
      </c>
      <c r="AJ83" s="68" t="e">
        <f>IF($C$1=1,('MACRO DATA'!AJ75/'MACRO DATA'!AI75-1)+'VAR-based TOT growth adjustment'!$G$25*'VAR-based TOT growth adjustment'!AL21,'MACRO DATA'!AJ75/'MACRO DATA'!AI75-1)</f>
        <v>#DIV/0!</v>
      </c>
      <c r="AK83" s="68" t="e">
        <f>IF($C$1=1,('MACRO DATA'!AK75/'MACRO DATA'!AJ75-1)+'VAR-based TOT growth adjustment'!$G$25*'VAR-based TOT growth adjustment'!AM21,'MACRO DATA'!AK75/'MACRO DATA'!AJ75-1)</f>
        <v>#DIV/0!</v>
      </c>
      <c r="AL83" s="68" t="e">
        <f>IF($C$1=1,('MACRO DATA'!AL75/'MACRO DATA'!AK75-1)+'VAR-based TOT growth adjustment'!$G$25*'VAR-based TOT growth adjustment'!AN21,'MACRO DATA'!AL75/'MACRO DATA'!AK75-1)</f>
        <v>#DIV/0!</v>
      </c>
      <c r="AM83" s="68" t="e">
        <f>IF($C$1=1,('MACRO DATA'!AM75/'MACRO DATA'!AL75-1)+'VAR-based TOT growth adjustment'!$G$25*'VAR-based TOT growth adjustment'!AO21,'MACRO DATA'!AM75/'MACRO DATA'!AL75-1)</f>
        <v>#DIV/0!</v>
      </c>
      <c r="AN83" s="68" t="e">
        <f>IF($C$1=1,('MACRO DATA'!AN75/'MACRO DATA'!AM75-1)+'VAR-based TOT growth adjustment'!$G$25*'VAR-based TOT growth adjustment'!AP21,'MACRO DATA'!AN75/'MACRO DATA'!AM75-1)</f>
        <v>#DIV/0!</v>
      </c>
      <c r="AO83" s="68" t="e">
        <f>IF($C$1=1,('MACRO DATA'!AO75/'MACRO DATA'!AN75-1)+'VAR-based TOT growth adjustment'!$G$25*'VAR-based TOT growth adjustment'!AQ21,'MACRO DATA'!AO75/'MACRO DATA'!AN75-1)</f>
        <v>#DIV/0!</v>
      </c>
      <c r="AP83" s="68" t="e">
        <f>IF($C$1=1,('MACRO DATA'!AP75/'MACRO DATA'!AO75-1)+'VAR-based TOT growth adjustment'!$G$25*'VAR-based TOT growth adjustment'!AR21,'MACRO DATA'!AP75/'MACRO DATA'!AO75-1)</f>
        <v>#DIV/0!</v>
      </c>
      <c r="AQ83" s="68" t="e">
        <f>IF($C$1=1,('MACRO DATA'!AQ75/'MACRO DATA'!AP75-1)+'VAR-based TOT growth adjustment'!$G$25*'VAR-based TOT growth adjustment'!AS21,'MACRO DATA'!AQ75/'MACRO DATA'!AP75-1)</f>
        <v>#DIV/0!</v>
      </c>
      <c r="AR83" s="68" t="e">
        <f>IF($C$1=1,('MACRO DATA'!AR75/'MACRO DATA'!AQ75-1)+'VAR-based TOT growth adjustment'!$G$25*'VAR-based TOT growth adjustment'!AT21,'MACRO DATA'!AR75/'MACRO DATA'!AQ75-1)</f>
        <v>#DIV/0!</v>
      </c>
      <c r="AS83" s="68" t="e">
        <f>IF($C$1=1,('MACRO DATA'!AS75/'MACRO DATA'!AR75-1)+'VAR-based TOT growth adjustment'!$G$25*'VAR-based TOT growth adjustment'!AU21,'MACRO DATA'!AS75/'MACRO DATA'!AR75-1)</f>
        <v>#DIV/0!</v>
      </c>
      <c r="AT83" s="68" t="e">
        <f>IF($C$1=1,('MACRO DATA'!AT75/'MACRO DATA'!AS75-1)+'VAR-based TOT growth adjustment'!$G$25*'VAR-based TOT growth adjustment'!AV21,'MACRO DATA'!AT75/'MACRO DATA'!AS75-1)</f>
        <v>#DIV/0!</v>
      </c>
      <c r="AU83" s="68" t="e">
        <f>IF($C$1=1,('MACRO DATA'!AU75/'MACRO DATA'!AT75-1)+'VAR-based TOT growth adjustment'!$G$25*'VAR-based TOT growth adjustment'!AW21,'MACRO DATA'!AU75/'MACRO DATA'!AT75-1)</f>
        <v>#DIV/0!</v>
      </c>
      <c r="AV83" s="68" t="e">
        <f>IF($C$1=1,('MACRO DATA'!AV75/'MACRO DATA'!AU75-1)+'VAR-based TOT growth adjustment'!$G$25*'VAR-based TOT growth adjustment'!AX21,'MACRO DATA'!AV75/'MACRO DATA'!AU75-1)</f>
        <v>#DIV/0!</v>
      </c>
      <c r="AW83" s="68" t="e">
        <f>IF($C$1=1,('MACRO DATA'!AW75/'MACRO DATA'!AV75-1)+'VAR-based TOT growth adjustment'!$G$25*'VAR-based TOT growth adjustment'!AY21,'MACRO DATA'!AW75/'MACRO DATA'!AV75-1)</f>
        <v>#DIV/0!</v>
      </c>
      <c r="AX83" s="68" t="e">
        <f>IF($C$1=1,('MACRO DATA'!AX75/'MACRO DATA'!AW75-1)+'VAR-based TOT growth adjustment'!$G$25*'VAR-based TOT growth adjustment'!AZ21,'MACRO DATA'!AX75/'MACRO DATA'!AW75-1)</f>
        <v>#DIV/0!</v>
      </c>
      <c r="AY83" s="68" t="e">
        <f>IF($C$1=1,('MACRO DATA'!AY75/'MACRO DATA'!AX75-1)+'VAR-based TOT growth adjustment'!$G$25*'VAR-based TOT growth adjustment'!BA21,'MACRO DATA'!AY75/'MACRO DATA'!AX75-1)</f>
        <v>#DIV/0!</v>
      </c>
      <c r="AZ83" s="68" t="e">
        <f>IF($C$1=1,('MACRO DATA'!AZ75/'MACRO DATA'!AY75-1)+'VAR-based TOT growth adjustment'!$G$25*'VAR-based TOT growth adjustment'!BB21,'MACRO DATA'!AZ75/'MACRO DATA'!AY75-1)</f>
        <v>#DIV/0!</v>
      </c>
    </row>
    <row r="84" spans="2:52" ht="19.899999999999999" customHeight="1">
      <c r="B84" s="98" t="s">
        <v>1477</v>
      </c>
      <c r="C84" s="89" t="s">
        <v>1498</v>
      </c>
      <c r="D84" s="84">
        <v>0.2</v>
      </c>
      <c r="E84" s="68">
        <f>IF($C$1=1,('MACRO DATA'!E76/'MACRO DATA'!D76-1)+'VAR-based TOT growth adjustment'!$G$26*'VAR-based TOT growth adjustment'!G21,'MACRO DATA'!E76/'MACRO DATA'!D76-1)</f>
        <v>7.999999999999996E-2</v>
      </c>
      <c r="F84" s="68">
        <f>IF($C$1=1,('MACRO DATA'!F76/'MACRO DATA'!E76-1)+'VAR-based TOT growth adjustment'!$G$26*'VAR-based TOT growth adjustment'!H21,'MACRO DATA'!F76/'MACRO DATA'!E76-1)</f>
        <v>-6.6784771432541329E-2</v>
      </c>
      <c r="G84" s="68">
        <f>IF($C$1=1,('MACRO DATA'!G76/'MACRO DATA'!F76-1)+'VAR-based TOT growth adjustment'!$G$26*'VAR-based TOT growth adjustment'!I21,'MACRO DATA'!G76/'MACRO DATA'!F76-1)</f>
        <v>8.3437543420869786E-3</v>
      </c>
      <c r="H84" s="68" t="e">
        <f>IF($C$1=1,('MACRO DATA'!H76/'MACRO DATA'!G76-1)+'VAR-based TOT growth adjustment'!$G$26*'VAR-based TOT growth adjustment'!J21,'MACRO DATA'!H76/'MACRO DATA'!G76-1)</f>
        <v>#VALUE!</v>
      </c>
      <c r="I84" s="68" t="e">
        <f>IF($C$1=1,('MACRO DATA'!I76/'MACRO DATA'!H76-1)+'VAR-based TOT growth adjustment'!$G$26*'VAR-based TOT growth adjustment'!K21,'MACRO DATA'!I76/'MACRO DATA'!H76-1)</f>
        <v>#DIV/0!</v>
      </c>
      <c r="J84" s="68" t="e">
        <f>IF($C$1=1,('MACRO DATA'!J76/'MACRO DATA'!I76-1)+'VAR-based TOT growth adjustment'!$G$26*'VAR-based TOT growth adjustment'!L21,'MACRO DATA'!J76/'MACRO DATA'!I76-1)</f>
        <v>#DIV/0!</v>
      </c>
      <c r="K84" s="68" t="e">
        <f>IF($C$1=1,('MACRO DATA'!K76/'MACRO DATA'!J76-1)+'VAR-based TOT growth adjustment'!$G$26*'VAR-based TOT growth adjustment'!M21,'MACRO DATA'!K76/'MACRO DATA'!J76-1)</f>
        <v>#DIV/0!</v>
      </c>
      <c r="L84" s="68" t="e">
        <f>IF($C$1=1,('MACRO DATA'!L76/'MACRO DATA'!K76-1)+'VAR-based TOT growth adjustment'!$G$26*'VAR-based TOT growth adjustment'!N21,'MACRO DATA'!L76/'MACRO DATA'!K76-1)</f>
        <v>#DIV/0!</v>
      </c>
      <c r="M84" s="68" t="e">
        <f>IF($C$1=1,('MACRO DATA'!M76/'MACRO DATA'!L76-1)+'VAR-based TOT growth adjustment'!$G$26*'VAR-based TOT growth adjustment'!O21,'MACRO DATA'!M76/'MACRO DATA'!L76-1)</f>
        <v>#DIV/0!</v>
      </c>
      <c r="N84" s="68" t="e">
        <f>IF($C$1=1,('MACRO DATA'!N76/'MACRO DATA'!M76-1)+'VAR-based TOT growth adjustment'!$G$26*'VAR-based TOT growth adjustment'!P21,'MACRO DATA'!N76/'MACRO DATA'!M76-1)</f>
        <v>#DIV/0!</v>
      </c>
      <c r="O84" s="68" t="e">
        <f>IF($C$1=1,('MACRO DATA'!O76/'MACRO DATA'!N76-1)+'VAR-based TOT growth adjustment'!$G$26*'VAR-based TOT growth adjustment'!Q21,'MACRO DATA'!O76/'MACRO DATA'!N76-1)</f>
        <v>#DIV/0!</v>
      </c>
      <c r="P84" s="68" t="e">
        <f>IF($C$1=1,('MACRO DATA'!P76/'MACRO DATA'!O76-1)+'VAR-based TOT growth adjustment'!$G$26*'VAR-based TOT growth adjustment'!R21,'MACRO DATA'!P76/'MACRO DATA'!O76-1)</f>
        <v>#DIV/0!</v>
      </c>
      <c r="Q84" s="68" t="e">
        <f>IF($C$1=1,('MACRO DATA'!Q76/'MACRO DATA'!P76-1)+'VAR-based TOT growth adjustment'!$G$26*'VAR-based TOT growth adjustment'!S21,'MACRO DATA'!Q76/'MACRO DATA'!P76-1)</f>
        <v>#DIV/0!</v>
      </c>
      <c r="R84" s="68" t="e">
        <f>IF($C$1=1,('MACRO DATA'!R76/'MACRO DATA'!Q76-1)+'VAR-based TOT growth adjustment'!$G$26*'VAR-based TOT growth adjustment'!T21,'MACRO DATA'!R76/'MACRO DATA'!Q76-1)</f>
        <v>#DIV/0!</v>
      </c>
      <c r="S84" s="68" t="e">
        <f>IF($C$1=1,('MACRO DATA'!S76/'MACRO DATA'!R76-1)+'VAR-based TOT growth adjustment'!$G$26*'VAR-based TOT growth adjustment'!U21,'MACRO DATA'!S76/'MACRO DATA'!R76-1)</f>
        <v>#DIV/0!</v>
      </c>
      <c r="T84" s="68" t="e">
        <f>IF($C$1=1,('MACRO DATA'!T76/'MACRO DATA'!S76-1)+'VAR-based TOT growth adjustment'!$G$26*'VAR-based TOT growth adjustment'!V21,'MACRO DATA'!T76/'MACRO DATA'!S76-1)</f>
        <v>#DIV/0!</v>
      </c>
      <c r="U84" s="68" t="e">
        <f>IF($C$1=1,('MACRO DATA'!U76/'MACRO DATA'!T76-1)+'VAR-based TOT growth adjustment'!$G$26*'VAR-based TOT growth adjustment'!W21,'MACRO DATA'!U76/'MACRO DATA'!T76-1)</f>
        <v>#DIV/0!</v>
      </c>
      <c r="V84" s="68" t="e">
        <f>IF($C$1=1,('MACRO DATA'!V76/'MACRO DATA'!U76-1)+'VAR-based TOT growth adjustment'!$G$26*'VAR-based TOT growth adjustment'!X21,'MACRO DATA'!V76/'MACRO DATA'!U76-1)</f>
        <v>#DIV/0!</v>
      </c>
      <c r="W84" s="68" t="e">
        <f>IF($C$1=1,('MACRO DATA'!W76/'MACRO DATA'!V76-1)+'VAR-based TOT growth adjustment'!$G$26*'VAR-based TOT growth adjustment'!Y21,'MACRO DATA'!W76/'MACRO DATA'!V76-1)</f>
        <v>#DIV/0!</v>
      </c>
      <c r="X84" s="68" t="e">
        <f>IF($C$1=1,('MACRO DATA'!X76/'MACRO DATA'!W76-1)+'VAR-based TOT growth adjustment'!$G$26*'VAR-based TOT growth adjustment'!Z21,'MACRO DATA'!X76/'MACRO DATA'!W76-1)</f>
        <v>#DIV/0!</v>
      </c>
      <c r="Y84" s="68" t="e">
        <f>IF($C$1=1,('MACRO DATA'!Y76/'MACRO DATA'!X76-1)+'VAR-based TOT growth adjustment'!$G$26*'VAR-based TOT growth adjustment'!AA21,'MACRO DATA'!Y76/'MACRO DATA'!X76-1)</f>
        <v>#DIV/0!</v>
      </c>
      <c r="Z84" s="68" t="e">
        <f>IF($C$1=1,('MACRO DATA'!Z76/'MACRO DATA'!Y76-1)+'VAR-based TOT growth adjustment'!$G$26*'VAR-based TOT growth adjustment'!AB21,'MACRO DATA'!Z76/'MACRO DATA'!Y76-1)</f>
        <v>#DIV/0!</v>
      </c>
      <c r="AA84" s="68" t="e">
        <f>IF($C$1=1,('MACRO DATA'!AA76/'MACRO DATA'!Z76-1)+'VAR-based TOT growth adjustment'!$G$26*'VAR-based TOT growth adjustment'!AC21,'MACRO DATA'!AA76/'MACRO DATA'!Z76-1)</f>
        <v>#DIV/0!</v>
      </c>
      <c r="AB84" s="68" t="e">
        <f>IF($C$1=1,('MACRO DATA'!AB76/'MACRO DATA'!AA76-1)+'VAR-based TOT growth adjustment'!$G$26*'VAR-based TOT growth adjustment'!AD21,'MACRO DATA'!AB76/'MACRO DATA'!AA76-1)</f>
        <v>#DIV/0!</v>
      </c>
      <c r="AC84" s="68" t="e">
        <f>IF($C$1=1,('MACRO DATA'!AC76/'MACRO DATA'!AB76-1)+'VAR-based TOT growth adjustment'!$G$26*'VAR-based TOT growth adjustment'!AE21,'MACRO DATA'!AC76/'MACRO DATA'!AB76-1)</f>
        <v>#DIV/0!</v>
      </c>
      <c r="AD84" s="68" t="e">
        <f>IF($C$1=1,('MACRO DATA'!AD76/'MACRO DATA'!AC76-1)+'VAR-based TOT growth adjustment'!$G$26*'VAR-based TOT growth adjustment'!AF21,'MACRO DATA'!AD76/'MACRO DATA'!AC76-1)</f>
        <v>#DIV/0!</v>
      </c>
      <c r="AE84" s="68" t="e">
        <f>IF($C$1=1,('MACRO DATA'!AE76/'MACRO DATA'!AD76-1)+'VAR-based TOT growth adjustment'!$G$26*'VAR-based TOT growth adjustment'!AG21,'MACRO DATA'!AE76/'MACRO DATA'!AD76-1)</f>
        <v>#DIV/0!</v>
      </c>
      <c r="AF84" s="68" t="e">
        <f>IF($C$1=1,('MACRO DATA'!AF76/'MACRO DATA'!AE76-1)+'VAR-based TOT growth adjustment'!$G$26*'VAR-based TOT growth adjustment'!AH21,'MACRO DATA'!AF76/'MACRO DATA'!AE76-1)</f>
        <v>#DIV/0!</v>
      </c>
      <c r="AG84" s="68" t="e">
        <f>IF($C$1=1,('MACRO DATA'!AG76/'MACRO DATA'!AF76-1)+'VAR-based TOT growth adjustment'!$G$26*'VAR-based TOT growth adjustment'!AI21,'MACRO DATA'!AG76/'MACRO DATA'!AF76-1)</f>
        <v>#DIV/0!</v>
      </c>
      <c r="AH84" s="68" t="e">
        <f>IF($C$1=1,('MACRO DATA'!AH76/'MACRO DATA'!AG76-1)+'VAR-based TOT growth adjustment'!$G$26*'VAR-based TOT growth adjustment'!AJ21,'MACRO DATA'!AH76/'MACRO DATA'!AG76-1)</f>
        <v>#DIV/0!</v>
      </c>
      <c r="AI84" s="68" t="e">
        <f>IF($C$1=1,('MACRO DATA'!AI76/'MACRO DATA'!AH76-1)+'VAR-based TOT growth adjustment'!$G$26*'VAR-based TOT growth adjustment'!AK21,'MACRO DATA'!AI76/'MACRO DATA'!AH76-1)</f>
        <v>#DIV/0!</v>
      </c>
      <c r="AJ84" s="68" t="e">
        <f>IF($C$1=1,('MACRO DATA'!AJ76/'MACRO DATA'!AI76-1)+'VAR-based TOT growth adjustment'!$G$26*'VAR-based TOT growth adjustment'!AL21,'MACRO DATA'!AJ76/'MACRO DATA'!AI76-1)</f>
        <v>#DIV/0!</v>
      </c>
      <c r="AK84" s="68" t="e">
        <f>IF($C$1=1,('MACRO DATA'!AK76/'MACRO DATA'!AJ76-1)+'VAR-based TOT growth adjustment'!$G$26*'VAR-based TOT growth adjustment'!AM21,'MACRO DATA'!AK76/'MACRO DATA'!AJ76-1)</f>
        <v>#DIV/0!</v>
      </c>
      <c r="AL84" s="68" t="e">
        <f>IF($C$1=1,('MACRO DATA'!AL76/'MACRO DATA'!AK76-1)+'VAR-based TOT growth adjustment'!$G$26*'VAR-based TOT growth adjustment'!AN21,'MACRO DATA'!AL76/'MACRO DATA'!AK76-1)</f>
        <v>#DIV/0!</v>
      </c>
      <c r="AM84" s="68" t="e">
        <f>IF($C$1=1,('MACRO DATA'!AM76/'MACRO DATA'!AL76-1)+'VAR-based TOT growth adjustment'!$G$26*'VAR-based TOT growth adjustment'!AO21,'MACRO DATA'!AM76/'MACRO DATA'!AL76-1)</f>
        <v>#DIV/0!</v>
      </c>
      <c r="AN84" s="68" t="e">
        <f>IF($C$1=1,('MACRO DATA'!AN76/'MACRO DATA'!AM76-1)+'VAR-based TOT growth adjustment'!$G$26*'VAR-based TOT growth adjustment'!AP21,'MACRO DATA'!AN76/'MACRO DATA'!AM76-1)</f>
        <v>#DIV/0!</v>
      </c>
      <c r="AO84" s="68" t="e">
        <f>IF($C$1=1,('MACRO DATA'!AO76/'MACRO DATA'!AN76-1)+'VAR-based TOT growth adjustment'!$G$26*'VAR-based TOT growth adjustment'!AQ21,'MACRO DATA'!AO76/'MACRO DATA'!AN76-1)</f>
        <v>#DIV/0!</v>
      </c>
      <c r="AP84" s="68" t="e">
        <f>IF($C$1=1,('MACRO DATA'!AP76/'MACRO DATA'!AO76-1)+'VAR-based TOT growth adjustment'!$G$26*'VAR-based TOT growth adjustment'!AR21,'MACRO DATA'!AP76/'MACRO DATA'!AO76-1)</f>
        <v>#DIV/0!</v>
      </c>
      <c r="AQ84" s="68" t="e">
        <f>IF($C$1=1,('MACRO DATA'!AQ76/'MACRO DATA'!AP76-1)+'VAR-based TOT growth adjustment'!$G$26*'VAR-based TOT growth adjustment'!AS21,'MACRO DATA'!AQ76/'MACRO DATA'!AP76-1)</f>
        <v>#DIV/0!</v>
      </c>
      <c r="AR84" s="68" t="e">
        <f>IF($C$1=1,('MACRO DATA'!AR76/'MACRO DATA'!AQ76-1)+'VAR-based TOT growth adjustment'!$G$26*'VAR-based TOT growth adjustment'!AT21,'MACRO DATA'!AR76/'MACRO DATA'!AQ76-1)</f>
        <v>#DIV/0!</v>
      </c>
      <c r="AS84" s="68" t="e">
        <f>IF($C$1=1,('MACRO DATA'!AS76/'MACRO DATA'!AR76-1)+'VAR-based TOT growth adjustment'!$G$26*'VAR-based TOT growth adjustment'!AU21,'MACRO DATA'!AS76/'MACRO DATA'!AR76-1)</f>
        <v>#DIV/0!</v>
      </c>
      <c r="AT84" s="68" t="e">
        <f>IF($C$1=1,('MACRO DATA'!AT76/'MACRO DATA'!AS76-1)+'VAR-based TOT growth adjustment'!$G$26*'VAR-based TOT growth adjustment'!AV21,'MACRO DATA'!AT76/'MACRO DATA'!AS76-1)</f>
        <v>#DIV/0!</v>
      </c>
      <c r="AU84" s="68" t="e">
        <f>IF($C$1=1,('MACRO DATA'!AU76/'MACRO DATA'!AT76-1)+'VAR-based TOT growth adjustment'!$G$26*'VAR-based TOT growth adjustment'!AW21,'MACRO DATA'!AU76/'MACRO DATA'!AT76-1)</f>
        <v>#DIV/0!</v>
      </c>
      <c r="AV84" s="68" t="e">
        <f>IF($C$1=1,('MACRO DATA'!AV76/'MACRO DATA'!AU76-1)+'VAR-based TOT growth adjustment'!$G$26*'VAR-based TOT growth adjustment'!AX21,'MACRO DATA'!AV76/'MACRO DATA'!AU76-1)</f>
        <v>#DIV/0!</v>
      </c>
      <c r="AW84" s="68" t="e">
        <f>IF($C$1=1,('MACRO DATA'!AW76/'MACRO DATA'!AV76-1)+'VAR-based TOT growth adjustment'!$G$26*'VAR-based TOT growth adjustment'!AY21,'MACRO DATA'!AW76/'MACRO DATA'!AV76-1)</f>
        <v>#DIV/0!</v>
      </c>
      <c r="AX84" s="68" t="e">
        <f>IF($C$1=1,('MACRO DATA'!AX76/'MACRO DATA'!AW76-1)+'VAR-based TOT growth adjustment'!$G$26*'VAR-based TOT growth adjustment'!AZ21,'MACRO DATA'!AX76/'MACRO DATA'!AW76-1)</f>
        <v>#DIV/0!</v>
      </c>
      <c r="AY84" s="68" t="e">
        <f>IF($C$1=1,('MACRO DATA'!AY76/'MACRO DATA'!AX76-1)+'VAR-based TOT growth adjustment'!$G$26*'VAR-based TOT growth adjustment'!BA21,'MACRO DATA'!AY76/'MACRO DATA'!AX76-1)</f>
        <v>#DIV/0!</v>
      </c>
      <c r="AZ84" s="68" t="e">
        <f>IF($C$1=1,('MACRO DATA'!AZ76/'MACRO DATA'!AY76-1)+'VAR-based TOT growth adjustment'!$G$26*'VAR-based TOT growth adjustment'!BB21,'MACRO DATA'!AZ76/'MACRO DATA'!AY76-1)</f>
        <v>#DIV/0!</v>
      </c>
    </row>
    <row r="85" spans="2:52" ht="19.899999999999999" customHeight="1">
      <c r="B85" s="98"/>
      <c r="C85" s="89"/>
      <c r="D85" s="84"/>
      <c r="I85" s="68" t="e">
        <f>'MACRO DATA'!I76/'MACRO DATA'!H76-1</f>
        <v>#DIV/0!</v>
      </c>
      <c r="J85" s="68" t="e">
        <f>'MACRO DATA'!J76/'MACRO DATA'!I76-1</f>
        <v>#DIV/0!</v>
      </c>
      <c r="K85" s="68" t="e">
        <f>'MACRO DATA'!K76/'MACRO DATA'!J76-1</f>
        <v>#DIV/0!</v>
      </c>
      <c r="L85" s="68" t="e">
        <f>'MACRO DATA'!L76/'MACRO DATA'!K76-1</f>
        <v>#DIV/0!</v>
      </c>
      <c r="M85" s="68" t="e">
        <f>'MACRO DATA'!M76/'MACRO DATA'!L76-1</f>
        <v>#DIV/0!</v>
      </c>
      <c r="N85" s="68" t="e">
        <f>'MACRO DATA'!N76/'MACRO DATA'!M76-1</f>
        <v>#DIV/0!</v>
      </c>
      <c r="O85" s="68" t="e">
        <f>'MACRO DATA'!O76/'MACRO DATA'!N76-1</f>
        <v>#DIV/0!</v>
      </c>
      <c r="P85" s="68"/>
      <c r="Q85" s="68"/>
    </row>
    <row r="86" spans="2:52" ht="19.899999999999999" customHeight="1">
      <c r="B86" s="33" t="s">
        <v>1481</v>
      </c>
      <c r="C86" s="62" t="s">
        <v>1502</v>
      </c>
      <c r="D86" s="68">
        <f t="shared" ref="D86:G87" si="27">D88+D90</f>
        <v>-5.5729684000995261E-2</v>
      </c>
      <c r="E86" s="68">
        <f t="shared" si="27"/>
        <v>-4.7113869475421968E-2</v>
      </c>
      <c r="F86" s="68">
        <f t="shared" si="27"/>
        <v>-4.1823591604764863E-2</v>
      </c>
      <c r="G86" s="68">
        <f t="shared" si="27"/>
        <v>-6.9731690046512862E-2</v>
      </c>
      <c r="H86" s="68" t="e">
        <f t="shared" ref="H86:Q86" si="28">H88+H90</f>
        <v>#VALUE!</v>
      </c>
      <c r="I86" s="68" t="e">
        <f t="shared" si="28"/>
        <v>#VALUE!</v>
      </c>
      <c r="J86" s="68" t="e">
        <f t="shared" si="28"/>
        <v>#VALUE!</v>
      </c>
      <c r="K86" s="68" t="e">
        <f t="shared" si="28"/>
        <v>#VALUE!</v>
      </c>
      <c r="L86" s="68" t="e">
        <f t="shared" si="28"/>
        <v>#VALUE!</v>
      </c>
      <c r="M86" s="68" t="e">
        <f t="shared" si="28"/>
        <v>#VALUE!</v>
      </c>
      <c r="N86" s="68" t="e">
        <f t="shared" si="28"/>
        <v>#VALUE!</v>
      </c>
      <c r="O86" s="68" t="e">
        <f t="shared" si="28"/>
        <v>#VALUE!</v>
      </c>
      <c r="P86" s="68" t="e">
        <f t="shared" si="28"/>
        <v>#VALUE!</v>
      </c>
      <c r="Q86" s="68" t="e">
        <f t="shared" si="28"/>
        <v>#VALUE!</v>
      </c>
    </row>
    <row r="87" spans="2:52" ht="12.75" customHeight="1">
      <c r="B87" s="33"/>
      <c r="C87" s="62" t="s">
        <v>1920</v>
      </c>
      <c r="D87" s="69">
        <f t="shared" si="27"/>
        <v>-144</v>
      </c>
      <c r="E87" s="69">
        <f t="shared" si="27"/>
        <v>-127</v>
      </c>
      <c r="F87" s="69">
        <f t="shared" si="27"/>
        <v>-117</v>
      </c>
      <c r="G87" s="69">
        <f t="shared" si="27"/>
        <v>-203</v>
      </c>
      <c r="H87" s="69">
        <f t="shared" ref="H87:Q87" si="29">H89+H91</f>
        <v>0</v>
      </c>
      <c r="I87" s="69">
        <f t="shared" si="29"/>
        <v>0</v>
      </c>
      <c r="J87" s="69">
        <f t="shared" si="29"/>
        <v>0</v>
      </c>
      <c r="K87" s="69">
        <f t="shared" si="29"/>
        <v>0</v>
      </c>
      <c r="L87" s="69">
        <f t="shared" si="29"/>
        <v>0</v>
      </c>
      <c r="M87" s="69">
        <f t="shared" si="29"/>
        <v>0</v>
      </c>
      <c r="N87" s="69">
        <f t="shared" si="29"/>
        <v>0</v>
      </c>
      <c r="O87" s="69">
        <f t="shared" si="29"/>
        <v>0</v>
      </c>
      <c r="P87" s="69">
        <f t="shared" si="29"/>
        <v>0</v>
      </c>
      <c r="Q87" s="69">
        <f t="shared" si="29"/>
        <v>0</v>
      </c>
    </row>
    <row r="88" spans="2:52" ht="12.75" customHeight="1">
      <c r="B88" s="88" t="s">
        <v>1922</v>
      </c>
      <c r="C88" s="89" t="s">
        <v>1502</v>
      </c>
      <c r="D88" s="84">
        <f>D89*D$81/D$9</f>
        <v>-6.3082906195571026E-2</v>
      </c>
      <c r="E88" s="84">
        <f>E89*E81/E9</f>
        <v>-5.8614105331627336E-2</v>
      </c>
      <c r="F88" s="84">
        <f>F89*F81/F9</f>
        <v>-5.3977455831790554E-2</v>
      </c>
      <c r="G88" s="84">
        <f>G89*G81/G9</f>
        <v>-4.6029785547944457E-2</v>
      </c>
      <c r="H88" s="84" t="e">
        <f t="shared" ref="H88:Q88" si="30">H89*H81/H9</f>
        <v>#VALUE!</v>
      </c>
      <c r="I88" s="68" t="e">
        <f t="shared" si="30"/>
        <v>#VALUE!</v>
      </c>
      <c r="J88" s="68" t="e">
        <f t="shared" si="30"/>
        <v>#VALUE!</v>
      </c>
      <c r="K88" s="68" t="e">
        <f t="shared" si="30"/>
        <v>#VALUE!</v>
      </c>
      <c r="L88" s="68" t="e">
        <f t="shared" si="30"/>
        <v>#VALUE!</v>
      </c>
      <c r="M88" s="68" t="e">
        <f t="shared" si="30"/>
        <v>#VALUE!</v>
      </c>
      <c r="N88" s="68" t="e">
        <f t="shared" si="30"/>
        <v>#VALUE!</v>
      </c>
      <c r="O88" s="68" t="e">
        <f t="shared" si="30"/>
        <v>#VALUE!</v>
      </c>
      <c r="P88" s="68" t="e">
        <f t="shared" si="30"/>
        <v>#VALUE!</v>
      </c>
      <c r="Q88" s="68" t="e">
        <f t="shared" si="30"/>
        <v>#VALUE!</v>
      </c>
    </row>
    <row r="89" spans="2:52" ht="15">
      <c r="B89" s="88"/>
      <c r="C89" s="89" t="s">
        <v>1920</v>
      </c>
      <c r="D89" s="87">
        <f>'MACRO DATA'!D81</f>
        <v>-163</v>
      </c>
      <c r="E89" s="87">
        <f>'MACRO DATA'!E81</f>
        <v>-158</v>
      </c>
      <c r="F89" s="87">
        <f>'MACRO DATA'!F81</f>
        <v>-151</v>
      </c>
      <c r="G89" s="87">
        <f>'MACRO DATA'!G81</f>
        <v>-134</v>
      </c>
      <c r="H89" s="87">
        <f>'MACRO DATA'!H81</f>
        <v>0</v>
      </c>
      <c r="I89" s="69">
        <f>'MACRO DATA'!I81</f>
        <v>0</v>
      </c>
      <c r="J89" s="69">
        <f>'MACRO DATA'!J81</f>
        <v>0</v>
      </c>
      <c r="K89" s="69">
        <f>'MACRO DATA'!K81</f>
        <v>0</v>
      </c>
      <c r="L89" s="69">
        <f>'MACRO DATA'!L81</f>
        <v>0</v>
      </c>
      <c r="M89" s="69">
        <f>'MACRO DATA'!M81</f>
        <v>0</v>
      </c>
      <c r="N89" s="69">
        <f>'MACRO DATA'!N81</f>
        <v>0</v>
      </c>
      <c r="O89" s="69">
        <f>'MACRO DATA'!O81</f>
        <v>0</v>
      </c>
      <c r="P89" s="69">
        <f>'MACRO DATA'!P81</f>
        <v>0</v>
      </c>
      <c r="Q89" s="69">
        <f>'MACRO DATA'!Q81</f>
        <v>0</v>
      </c>
    </row>
    <row r="90" spans="2:52">
      <c r="B90" s="32" t="s">
        <v>1921</v>
      </c>
      <c r="C90" s="62" t="s">
        <v>1502</v>
      </c>
      <c r="D90" s="68">
        <f t="shared" ref="D90:Q90" si="31">D91*D$81/D$9</f>
        <v>7.3532221945757648E-3</v>
      </c>
      <c r="E90" s="68">
        <f t="shared" si="31"/>
        <v>1.1500235856205365E-2</v>
      </c>
      <c r="F90" s="68">
        <f t="shared" si="31"/>
        <v>1.2153864227025689E-2</v>
      </c>
      <c r="G90" s="68">
        <f t="shared" si="31"/>
        <v>-2.3701904498568412E-2</v>
      </c>
      <c r="H90" s="68" t="e">
        <f t="shared" si="31"/>
        <v>#VALUE!</v>
      </c>
      <c r="I90" s="68" t="e">
        <f t="shared" si="31"/>
        <v>#VALUE!</v>
      </c>
      <c r="J90" s="68" t="e">
        <f t="shared" si="31"/>
        <v>#VALUE!</v>
      </c>
      <c r="K90" s="68" t="e">
        <f t="shared" si="31"/>
        <v>#VALUE!</v>
      </c>
      <c r="L90" s="68" t="e">
        <f t="shared" si="31"/>
        <v>#VALUE!</v>
      </c>
      <c r="M90" s="68" t="e">
        <f t="shared" si="31"/>
        <v>#VALUE!</v>
      </c>
      <c r="N90" s="68" t="e">
        <f t="shared" si="31"/>
        <v>#VALUE!</v>
      </c>
      <c r="O90" s="68" t="e">
        <f t="shared" si="31"/>
        <v>#VALUE!</v>
      </c>
      <c r="P90" s="68" t="e">
        <f t="shared" si="31"/>
        <v>#VALUE!</v>
      </c>
      <c r="Q90" s="68" t="e">
        <f t="shared" si="31"/>
        <v>#VALUE!</v>
      </c>
    </row>
    <row r="91" spans="2:52">
      <c r="B91" s="32"/>
      <c r="C91" s="62" t="s">
        <v>1920</v>
      </c>
      <c r="D91" s="46">
        <f>'MACRO DATA'!D82</f>
        <v>19</v>
      </c>
      <c r="E91" s="46">
        <f>'MACRO DATA'!E82</f>
        <v>31</v>
      </c>
      <c r="F91" s="46">
        <f>'MACRO DATA'!F82</f>
        <v>34</v>
      </c>
      <c r="G91" s="46">
        <f>'MACRO DATA'!G82</f>
        <v>-69</v>
      </c>
      <c r="H91" s="46">
        <f>'MACRO DATA'!H82</f>
        <v>0</v>
      </c>
      <c r="I91" s="69">
        <f>'MACRO DATA'!I82</f>
        <v>0</v>
      </c>
      <c r="J91" s="69">
        <f>'MACRO DATA'!J82</f>
        <v>0</v>
      </c>
      <c r="K91" s="69">
        <f>'MACRO DATA'!K82</f>
        <v>0</v>
      </c>
      <c r="L91" s="69">
        <f>'MACRO DATA'!L82</f>
        <v>0</v>
      </c>
      <c r="M91" s="69">
        <f>'MACRO DATA'!M82</f>
        <v>0</v>
      </c>
      <c r="N91" s="69">
        <f>'MACRO DATA'!N82</f>
        <v>0</v>
      </c>
      <c r="O91" s="69">
        <f>'MACRO DATA'!O82</f>
        <v>0</v>
      </c>
      <c r="P91" s="69">
        <f>'MACRO DATA'!P82</f>
        <v>0</v>
      </c>
      <c r="Q91" s="69">
        <f>'MACRO DATA'!Q82</f>
        <v>0</v>
      </c>
    </row>
    <row r="92" spans="2:52" ht="15">
      <c r="B92" s="88" t="s">
        <v>1483</v>
      </c>
      <c r="C92" s="89"/>
      <c r="D92" s="87" t="s">
        <v>1448</v>
      </c>
      <c r="E92" s="84"/>
      <c r="F92" s="82"/>
      <c r="G92" s="120"/>
      <c r="H92" s="120"/>
      <c r="I92" s="119"/>
      <c r="J92" s="119"/>
      <c r="K92" s="119"/>
      <c r="L92" s="119"/>
      <c r="M92" s="119"/>
      <c r="N92" s="119"/>
      <c r="O92" s="119"/>
      <c r="P92" s="119"/>
      <c r="Q92" s="119"/>
    </row>
    <row r="93" spans="2:52">
      <c r="B93" s="32" t="s">
        <v>1484</v>
      </c>
      <c r="C93" s="62" t="s">
        <v>1502</v>
      </c>
      <c r="D93" s="72">
        <f>D94*D81/D9</f>
        <v>1.2316496640955462E-2</v>
      </c>
      <c r="E93" s="72">
        <f>E94*E81/E9</f>
        <v>3.6645126056358564E-2</v>
      </c>
      <c r="F93" s="72">
        <f>F94*F81/F9</f>
        <v>0</v>
      </c>
      <c r="G93" s="72">
        <f>G94*G81/G9</f>
        <v>0</v>
      </c>
      <c r="H93" s="72" t="e">
        <f t="shared" ref="H93:Q93" si="32">H94*H81/H9</f>
        <v>#VALUE!</v>
      </c>
      <c r="I93" s="68" t="e">
        <f t="shared" si="32"/>
        <v>#VALUE!</v>
      </c>
      <c r="J93" s="68" t="e">
        <f t="shared" si="32"/>
        <v>#VALUE!</v>
      </c>
      <c r="K93" s="68" t="e">
        <f t="shared" si="32"/>
        <v>#VALUE!</v>
      </c>
      <c r="L93" s="68" t="e">
        <f t="shared" si="32"/>
        <v>#VALUE!</v>
      </c>
      <c r="M93" s="68" t="e">
        <f t="shared" si="32"/>
        <v>#VALUE!</v>
      </c>
      <c r="N93" s="68" t="e">
        <f t="shared" si="32"/>
        <v>#VALUE!</v>
      </c>
      <c r="O93" s="68" t="e">
        <f t="shared" si="32"/>
        <v>#VALUE!</v>
      </c>
      <c r="P93" s="68" t="e">
        <f t="shared" si="32"/>
        <v>#VALUE!</v>
      </c>
      <c r="Q93" s="68" t="e">
        <f t="shared" si="32"/>
        <v>#VALUE!</v>
      </c>
    </row>
    <row r="94" spans="2:52">
      <c r="B94" s="32"/>
      <c r="C94" s="62" t="s">
        <v>1920</v>
      </c>
      <c r="D94" s="46">
        <f>'MACRO DATA'!D84</f>
        <v>31.824611032531827</v>
      </c>
      <c r="E94" s="46">
        <f>'MACRO DATA'!E84</f>
        <v>98.780487804878064</v>
      </c>
      <c r="F94" s="46">
        <f>'MACRO DATA'!F84</f>
        <v>0</v>
      </c>
      <c r="G94" s="46">
        <f>'MACRO DATA'!G84</f>
        <v>0</v>
      </c>
      <c r="H94" s="46">
        <f>'MACRO DATA'!H84</f>
        <v>0</v>
      </c>
      <c r="I94" s="69">
        <f>'MACRO DATA'!I84</f>
        <v>0</v>
      </c>
      <c r="J94" s="69">
        <f>'MACRO DATA'!J84</f>
        <v>0</v>
      </c>
      <c r="K94" s="69">
        <f>'MACRO DATA'!K84</f>
        <v>0</v>
      </c>
      <c r="L94" s="69">
        <f>'MACRO DATA'!L84</f>
        <v>0</v>
      </c>
      <c r="M94" s="69">
        <f>'MACRO DATA'!M84</f>
        <v>0</v>
      </c>
      <c r="N94" s="69">
        <f>'MACRO DATA'!N84</f>
        <v>0</v>
      </c>
      <c r="O94" s="69">
        <f>'MACRO DATA'!O84</f>
        <v>0</v>
      </c>
      <c r="P94" s="69">
        <f>'MACRO DATA'!P84</f>
        <v>0</v>
      </c>
      <c r="Q94" s="69">
        <f>'MACRO DATA'!Q84</f>
        <v>0</v>
      </c>
    </row>
    <row r="95" spans="2:52">
      <c r="B95" s="85" t="s">
        <v>1485</v>
      </c>
      <c r="C95" s="89" t="s">
        <v>1502</v>
      </c>
      <c r="D95" s="84">
        <f>D96*D81/D9</f>
        <v>-1.928270714107987E-2</v>
      </c>
      <c r="E95" s="84">
        <f>E96*E81/E9</f>
        <v>-4.4064633060362027E-2</v>
      </c>
      <c r="F95" s="84">
        <f>F96*F81/F9</f>
        <v>-8.2217316829879643E-3</v>
      </c>
      <c r="G95" s="84">
        <f>G96*G81/G9</f>
        <v>-1.0648681731240882E-2</v>
      </c>
      <c r="H95" s="84" t="e">
        <f t="shared" ref="H95:Q95" si="33">H96*H81/H9</f>
        <v>#VALUE!</v>
      </c>
      <c r="I95" s="68" t="e">
        <f t="shared" si="33"/>
        <v>#VALUE!</v>
      </c>
      <c r="J95" s="68" t="e">
        <f t="shared" si="33"/>
        <v>#VALUE!</v>
      </c>
      <c r="K95" s="68" t="e">
        <f t="shared" si="33"/>
        <v>#VALUE!</v>
      </c>
      <c r="L95" s="68" t="e">
        <f t="shared" si="33"/>
        <v>#VALUE!</v>
      </c>
      <c r="M95" s="68" t="e">
        <f t="shared" si="33"/>
        <v>#VALUE!</v>
      </c>
      <c r="N95" s="68" t="e">
        <f t="shared" si="33"/>
        <v>#VALUE!</v>
      </c>
      <c r="O95" s="68" t="e">
        <f t="shared" si="33"/>
        <v>#VALUE!</v>
      </c>
      <c r="P95" s="68" t="e">
        <f t="shared" si="33"/>
        <v>#VALUE!</v>
      </c>
      <c r="Q95" s="68" t="e">
        <f t="shared" si="33"/>
        <v>#VALUE!</v>
      </c>
    </row>
    <row r="96" spans="2:52">
      <c r="B96" s="85"/>
      <c r="C96" s="89" t="s">
        <v>1920</v>
      </c>
      <c r="D96" s="87">
        <f>'MACRO DATA'!D85</f>
        <v>-49.824611032531827</v>
      </c>
      <c r="E96" s="87">
        <f>'MACRO DATA'!E85</f>
        <v>-118.78048780487806</v>
      </c>
      <c r="F96" s="87">
        <f>'MACRO DATA'!F85</f>
        <v>-23</v>
      </c>
      <c r="G96" s="87">
        <f>'MACRO DATA'!G85</f>
        <v>-31</v>
      </c>
      <c r="H96" s="87">
        <f>'MACRO DATA'!H85</f>
        <v>0</v>
      </c>
      <c r="I96" s="69">
        <f>'MACRO DATA'!I85</f>
        <v>0</v>
      </c>
      <c r="J96" s="69">
        <f>'MACRO DATA'!J85</f>
        <v>0</v>
      </c>
      <c r="K96" s="69">
        <f>'MACRO DATA'!K85</f>
        <v>0</v>
      </c>
      <c r="L96" s="69">
        <f>'MACRO DATA'!L85</f>
        <v>0</v>
      </c>
      <c r="M96" s="69">
        <f>'MACRO DATA'!M85</f>
        <v>0</v>
      </c>
      <c r="N96" s="69">
        <f>'MACRO DATA'!N85</f>
        <v>0</v>
      </c>
      <c r="O96" s="69">
        <f>'MACRO DATA'!O85</f>
        <v>0</v>
      </c>
      <c r="P96" s="69">
        <f>'MACRO DATA'!P85</f>
        <v>0</v>
      </c>
      <c r="Q96" s="69">
        <f>'MACRO DATA'!Q85</f>
        <v>0</v>
      </c>
    </row>
    <row r="97" spans="2:17" ht="19.899999999999999" customHeight="1">
      <c r="B97" s="33" t="s">
        <v>1486</v>
      </c>
      <c r="C97" s="62" t="s">
        <v>1502</v>
      </c>
      <c r="D97" s="68">
        <f>D98*D81/D9</f>
        <v>-0.23414207514307039</v>
      </c>
      <c r="E97" s="68">
        <f>E98*E81/E9</f>
        <v>-0.24484373113211419</v>
      </c>
      <c r="F97" s="68">
        <f>F98*F81/F9</f>
        <v>-0.21912702268137488</v>
      </c>
      <c r="G97" s="68">
        <f>G98*G81/G9</f>
        <v>-0.23392749222500131</v>
      </c>
      <c r="H97" s="68" t="e">
        <f t="shared" ref="H97:Q97" si="34">H98*H81/H9</f>
        <v>#VALUE!</v>
      </c>
      <c r="I97" s="68" t="e">
        <f t="shared" si="34"/>
        <v>#VALUE!</v>
      </c>
      <c r="J97" s="68" t="e">
        <f t="shared" si="34"/>
        <v>#VALUE!</v>
      </c>
      <c r="K97" s="68" t="e">
        <f t="shared" si="34"/>
        <v>#VALUE!</v>
      </c>
      <c r="L97" s="68" t="e">
        <f t="shared" si="34"/>
        <v>#VALUE!</v>
      </c>
      <c r="M97" s="68" t="e">
        <f t="shared" si="34"/>
        <v>#VALUE!</v>
      </c>
      <c r="N97" s="68" t="e">
        <f t="shared" si="34"/>
        <v>#VALUE!</v>
      </c>
      <c r="O97" s="68" t="e">
        <f t="shared" si="34"/>
        <v>#VALUE!</v>
      </c>
      <c r="P97" s="68" t="e">
        <f t="shared" si="34"/>
        <v>#VALUE!</v>
      </c>
      <c r="Q97" s="68" t="e">
        <f t="shared" si="34"/>
        <v>#VALUE!</v>
      </c>
    </row>
    <row r="98" spans="2:17" ht="15">
      <c r="B98" s="33" t="s">
        <v>1916</v>
      </c>
      <c r="C98" s="62" t="s">
        <v>1920</v>
      </c>
      <c r="D98" s="69">
        <f>'MACRO DATA'!D86</f>
        <v>-605</v>
      </c>
      <c r="E98" s="69">
        <f>'MACRO DATA'!E86</f>
        <v>-660</v>
      </c>
      <c r="F98" s="69">
        <f>'MACRO DATA'!F86</f>
        <v>-613</v>
      </c>
      <c r="G98" s="69">
        <f>'MACRO DATA'!G86</f>
        <v>-681</v>
      </c>
      <c r="H98" s="69">
        <f>'MACRO DATA'!H86</f>
        <v>0</v>
      </c>
      <c r="I98" s="69">
        <f>'MACRO DATA'!I86</f>
        <v>0</v>
      </c>
      <c r="J98" s="69">
        <f>'MACRO DATA'!J86</f>
        <v>0</v>
      </c>
      <c r="K98" s="69">
        <f>'MACRO DATA'!K86</f>
        <v>0</v>
      </c>
      <c r="L98" s="69">
        <f>'MACRO DATA'!L86</f>
        <v>0</v>
      </c>
      <c r="M98" s="69">
        <f>'MACRO DATA'!M86</f>
        <v>0</v>
      </c>
      <c r="N98" s="69">
        <f>'MACRO DATA'!N86</f>
        <v>0</v>
      </c>
      <c r="O98" s="69">
        <f>'MACRO DATA'!O86</f>
        <v>0</v>
      </c>
      <c r="P98" s="69">
        <f>'MACRO DATA'!P86</f>
        <v>0</v>
      </c>
      <c r="Q98" s="69">
        <f>'MACRO DATA'!Q86</f>
        <v>0</v>
      </c>
    </row>
    <row r="99" spans="2:17" ht="30" customHeight="1">
      <c r="B99" s="88" t="str">
        <f>'MACRO DATA'!B88</f>
        <v>Capital account</v>
      </c>
      <c r="C99" s="89" t="s">
        <v>1448</v>
      </c>
      <c r="D99" s="133">
        <f>'MACRO DATA'!D88</f>
        <v>153</v>
      </c>
      <c r="E99" s="133">
        <f>'MACRO DATA'!E88</f>
        <v>200.73170731707319</v>
      </c>
      <c r="F99" s="133">
        <f>'MACRO DATA'!F88</f>
        <v>204.99383477188655</v>
      </c>
      <c r="G99" s="133">
        <f>'MACRO DATA'!G88</f>
        <v>210.06770439158095</v>
      </c>
      <c r="H99" s="133">
        <f>'MACRO DATA'!H88</f>
        <v>0</v>
      </c>
      <c r="I99" s="135">
        <f>'MACRO DATA'!I88</f>
        <v>0</v>
      </c>
      <c r="J99" s="135">
        <f>'MACRO DATA'!J88</f>
        <v>0</v>
      </c>
      <c r="K99" s="135">
        <f>'MACRO DATA'!K88</f>
        <v>0</v>
      </c>
      <c r="L99" s="135">
        <f>'MACRO DATA'!L88</f>
        <v>0</v>
      </c>
      <c r="M99" s="135">
        <f>'MACRO DATA'!M88</f>
        <v>0</v>
      </c>
      <c r="N99" s="135">
        <f>'MACRO DATA'!N88</f>
        <v>0</v>
      </c>
      <c r="O99" s="135">
        <f>'MACRO DATA'!O88</f>
        <v>0</v>
      </c>
      <c r="P99" s="135">
        <f>'MACRO DATA'!P88</f>
        <v>0</v>
      </c>
      <c r="Q99" s="135">
        <f>'MACRO DATA'!Q88</f>
        <v>0</v>
      </c>
    </row>
    <row r="100" spans="2:17" ht="15">
      <c r="B100" s="93" t="str">
        <f>'MACRO DATA'!B89</f>
        <v xml:space="preserve">       Of which official capital grants etc.</v>
      </c>
      <c r="D100" s="135">
        <f>'MACRO DATA'!D89</f>
        <v>153.01530153015304</v>
      </c>
      <c r="E100" s="135">
        <f>'MACRO DATA'!E89</f>
        <v>200.73170731707319</v>
      </c>
      <c r="F100" s="135">
        <f>'MACRO DATA'!F89</f>
        <v>204.99383477188655</v>
      </c>
      <c r="G100" s="135">
        <f>'MACRO DATA'!G89</f>
        <v>210.06770439158095</v>
      </c>
      <c r="H100" s="135">
        <f>'MACRO DATA'!H89</f>
        <v>0</v>
      </c>
      <c r="I100" s="135">
        <f>'MACRO DATA'!I89</f>
        <v>0</v>
      </c>
      <c r="J100" s="135">
        <f>'MACRO DATA'!J89</f>
        <v>0</v>
      </c>
      <c r="K100" s="135">
        <f>'MACRO DATA'!K89</f>
        <v>0</v>
      </c>
      <c r="L100" s="135">
        <f>'MACRO DATA'!L89</f>
        <v>0</v>
      </c>
      <c r="M100" s="135">
        <f>'MACRO DATA'!M89</f>
        <v>0</v>
      </c>
      <c r="N100" s="135">
        <f>'MACRO DATA'!N89</f>
        <v>0</v>
      </c>
      <c r="O100" s="135">
        <f>'MACRO DATA'!O89</f>
        <v>0</v>
      </c>
      <c r="P100" s="135">
        <f>'MACRO DATA'!P89</f>
        <v>0</v>
      </c>
      <c r="Q100" s="135">
        <f>'MACRO DATA'!Q89</f>
        <v>0</v>
      </c>
    </row>
    <row r="101" spans="2:17" ht="15">
      <c r="B101" s="88" t="str">
        <f>'MACRO DATA'!B90</f>
        <v>LT financial account</v>
      </c>
      <c r="C101" s="134"/>
      <c r="D101" s="133">
        <f>'MACRO DATA'!D90</f>
        <v>-40</v>
      </c>
      <c r="E101" s="133">
        <f>'MACRO DATA'!E90</f>
        <v>9</v>
      </c>
      <c r="F101" s="133">
        <f>'MACRO DATA'!F90</f>
        <v>22</v>
      </c>
      <c r="G101" s="133">
        <f>'MACRO DATA'!G90</f>
        <v>35</v>
      </c>
      <c r="H101" s="133">
        <f>'MACRO DATA'!H90</f>
        <v>0</v>
      </c>
      <c r="I101" s="135">
        <f>'MACRO DATA'!I90</f>
        <v>0</v>
      </c>
      <c r="J101" s="135">
        <f>'MACRO DATA'!J90</f>
        <v>0</v>
      </c>
      <c r="K101" s="135">
        <f>'MACRO DATA'!K90</f>
        <v>0</v>
      </c>
      <c r="L101" s="135">
        <f>'MACRO DATA'!L90</f>
        <v>0</v>
      </c>
      <c r="M101" s="135">
        <f>'MACRO DATA'!M90</f>
        <v>0</v>
      </c>
      <c r="N101" s="135">
        <f>'MACRO DATA'!N90</f>
        <v>0</v>
      </c>
      <c r="O101" s="135">
        <f>'MACRO DATA'!O90</f>
        <v>0</v>
      </c>
      <c r="P101" s="135">
        <f>'MACRO DATA'!P90</f>
        <v>0</v>
      </c>
      <c r="Q101" s="135">
        <f>'MACRO DATA'!Q90</f>
        <v>0</v>
      </c>
    </row>
    <row r="102" spans="2:17" ht="15">
      <c r="B102" s="93" t="str">
        <f>'MACRO DATA'!B91</f>
        <v>Net loan disburshment</v>
      </c>
      <c r="C102" s="62"/>
      <c r="D102" s="135">
        <f>'MACRO DATA'!D91</f>
        <v>-140</v>
      </c>
      <c r="E102" s="135">
        <f>'MACRO DATA'!E91</f>
        <v>-107</v>
      </c>
      <c r="F102" s="135">
        <f>'MACRO DATA'!F91</f>
        <v>-109</v>
      </c>
      <c r="G102" s="135">
        <f>'MACRO DATA'!G91</f>
        <v>-104</v>
      </c>
      <c r="H102" s="135">
        <f>'MACRO DATA'!H91</f>
        <v>0</v>
      </c>
      <c r="I102" s="135">
        <f>'MACRO DATA'!I91</f>
        <v>0</v>
      </c>
      <c r="J102" s="135">
        <f>'MACRO DATA'!J91</f>
        <v>0</v>
      </c>
      <c r="K102" s="135">
        <f>'MACRO DATA'!K91</f>
        <v>0</v>
      </c>
      <c r="L102" s="135">
        <f>'MACRO DATA'!L91</f>
        <v>0</v>
      </c>
      <c r="M102" s="135">
        <f>'MACRO DATA'!M91</f>
        <v>0</v>
      </c>
      <c r="N102" s="135">
        <f>'MACRO DATA'!N91</f>
        <v>0</v>
      </c>
      <c r="O102" s="135">
        <f>'MACRO DATA'!O91</f>
        <v>0</v>
      </c>
      <c r="P102" s="135">
        <f>'MACRO DATA'!P91</f>
        <v>0</v>
      </c>
      <c r="Q102" s="135">
        <f>'MACRO DATA'!Q91</f>
        <v>0</v>
      </c>
    </row>
    <row r="103" spans="2:17" ht="15">
      <c r="B103" s="93" t="str">
        <f>'MACRO DATA'!B92</f>
        <v xml:space="preserve">            Project loans</v>
      </c>
      <c r="C103" s="62"/>
      <c r="D103" s="135">
        <f>'MACRO DATA'!D92</f>
        <v>93</v>
      </c>
      <c r="E103" s="135">
        <f>'MACRO DATA'!E92</f>
        <v>125</v>
      </c>
      <c r="F103" s="135">
        <f>'MACRO DATA'!F92</f>
        <v>126</v>
      </c>
      <c r="G103" s="135">
        <f>'MACRO DATA'!G92</f>
        <v>128</v>
      </c>
      <c r="H103" s="135">
        <f>'MACRO DATA'!H92</f>
        <v>0</v>
      </c>
      <c r="I103" s="135">
        <f>'MACRO DATA'!I92</f>
        <v>0</v>
      </c>
      <c r="J103" s="135">
        <f>'MACRO DATA'!J92</f>
        <v>0</v>
      </c>
      <c r="K103" s="135">
        <f>'MACRO DATA'!K92</f>
        <v>0</v>
      </c>
      <c r="L103" s="135">
        <f>'MACRO DATA'!L92</f>
        <v>0</v>
      </c>
      <c r="M103" s="135">
        <f>'MACRO DATA'!M92</f>
        <v>0</v>
      </c>
      <c r="N103" s="135">
        <f>'MACRO DATA'!N92</f>
        <v>0</v>
      </c>
      <c r="O103" s="135">
        <f>'MACRO DATA'!O92</f>
        <v>0</v>
      </c>
      <c r="P103" s="135">
        <f>'MACRO DATA'!P92</f>
        <v>0</v>
      </c>
      <c r="Q103" s="135">
        <f>'MACRO DATA'!Q92</f>
        <v>0</v>
      </c>
    </row>
    <row r="104" spans="2:17" ht="15">
      <c r="B104" s="93" t="str">
        <f>'MACRO DATA'!B93</f>
        <v xml:space="preserve">            Amortization (incl. Program loans, excl. IMF)</v>
      </c>
      <c r="C104" s="62"/>
      <c r="D104" s="135">
        <f>'MACRO DATA'!D93</f>
        <v>-233</v>
      </c>
      <c r="E104" s="135">
        <f>'MACRO DATA'!E93</f>
        <v>-232</v>
      </c>
      <c r="F104" s="135">
        <f>'MACRO DATA'!F93</f>
        <v>-235</v>
      </c>
      <c r="G104" s="135">
        <f>'MACRO DATA'!G93</f>
        <v>-232</v>
      </c>
      <c r="H104" s="135">
        <f>'MACRO DATA'!H93</f>
        <v>0</v>
      </c>
      <c r="I104" s="135">
        <f>'MACRO DATA'!I93</f>
        <v>0</v>
      </c>
      <c r="J104" s="135">
        <f>'MACRO DATA'!J93</f>
        <v>0</v>
      </c>
      <c r="K104" s="135">
        <f>'MACRO DATA'!K93</f>
        <v>0</v>
      </c>
      <c r="L104" s="135">
        <f>'MACRO DATA'!L93</f>
        <v>0</v>
      </c>
      <c r="M104" s="135">
        <f>'MACRO DATA'!M93</f>
        <v>0</v>
      </c>
      <c r="N104" s="135">
        <f>'MACRO DATA'!N93</f>
        <v>0</v>
      </c>
      <c r="O104" s="135">
        <f>'MACRO DATA'!O93</f>
        <v>0</v>
      </c>
      <c r="P104" s="135">
        <f>'MACRO DATA'!P93</f>
        <v>0</v>
      </c>
      <c r="Q104" s="135">
        <f>'MACRO DATA'!Q93</f>
        <v>0</v>
      </c>
    </row>
    <row r="105" spans="2:17" ht="15">
      <c r="B105" s="88" t="str">
        <f>'MACRO DATA'!B94</f>
        <v>Change in net foreign assets of com.  banks</v>
      </c>
      <c r="C105" s="89"/>
      <c r="D105" s="133">
        <f>'MACRO DATA'!D94</f>
        <v>-26</v>
      </c>
      <c r="E105" s="133">
        <f>'MACRO DATA'!E94</f>
        <v>-24</v>
      </c>
      <c r="F105" s="133">
        <f>'MACRO DATA'!F94</f>
        <v>-19</v>
      </c>
      <c r="G105" s="133">
        <f>'MACRO DATA'!G94</f>
        <v>-21</v>
      </c>
      <c r="H105" s="133">
        <f>'MACRO DATA'!H94</f>
        <v>0</v>
      </c>
      <c r="I105" s="135">
        <f>'MACRO DATA'!I94</f>
        <v>0</v>
      </c>
      <c r="J105" s="135">
        <f>'MACRO DATA'!J94</f>
        <v>0</v>
      </c>
      <c r="K105" s="135">
        <f>'MACRO DATA'!K94</f>
        <v>0</v>
      </c>
      <c r="L105" s="135">
        <f>'MACRO DATA'!L94</f>
        <v>0</v>
      </c>
      <c r="M105" s="135">
        <f>'MACRO DATA'!M94</f>
        <v>0</v>
      </c>
      <c r="N105" s="135">
        <f>'MACRO DATA'!N94</f>
        <v>0</v>
      </c>
      <c r="O105" s="135">
        <f>'MACRO DATA'!O94</f>
        <v>0</v>
      </c>
      <c r="P105" s="135">
        <f>'MACRO DATA'!P94</f>
        <v>0</v>
      </c>
      <c r="Q105" s="135">
        <f>'MACRO DATA'!Q94</f>
        <v>0</v>
      </c>
    </row>
    <row r="106" spans="2:17" ht="15">
      <c r="B106" s="93" t="str">
        <f>'MACRO DATA'!B95</f>
        <v>Private foreign direct &amp; portf. investment</v>
      </c>
      <c r="C106" s="62"/>
      <c r="D106" s="135">
        <f>'MACRO DATA'!D95</f>
        <v>126</v>
      </c>
      <c r="E106" s="135">
        <f>'MACRO DATA'!E95</f>
        <v>140</v>
      </c>
      <c r="F106" s="135">
        <f>'MACRO DATA'!F95</f>
        <v>150</v>
      </c>
      <c r="G106" s="135">
        <f>'MACRO DATA'!G95</f>
        <v>160</v>
      </c>
      <c r="H106" s="135">
        <f>'MACRO DATA'!H95</f>
        <v>0</v>
      </c>
      <c r="I106" s="135">
        <f>'MACRO DATA'!I95</f>
        <v>0</v>
      </c>
      <c r="J106" s="135">
        <f>'MACRO DATA'!J95</f>
        <v>0</v>
      </c>
      <c r="K106" s="135">
        <f>'MACRO DATA'!K95</f>
        <v>0</v>
      </c>
      <c r="L106" s="135">
        <f>'MACRO DATA'!L95</f>
        <v>0</v>
      </c>
      <c r="M106" s="135">
        <f>'MACRO DATA'!M95</f>
        <v>0</v>
      </c>
      <c r="N106" s="135">
        <f>'MACRO DATA'!N95</f>
        <v>0</v>
      </c>
      <c r="O106" s="135">
        <f>'MACRO DATA'!O95</f>
        <v>0</v>
      </c>
      <c r="P106" s="135">
        <f>'MACRO DATA'!P95</f>
        <v>0</v>
      </c>
      <c r="Q106" s="135">
        <f>'MACRO DATA'!Q95</f>
        <v>0</v>
      </c>
    </row>
    <row r="107" spans="2:17" ht="15">
      <c r="B107" s="88" t="str">
        <f>'MACRO DATA'!B96</f>
        <v>ST capital/ errors &amp; omissions</v>
      </c>
      <c r="C107" s="89"/>
      <c r="D107" s="133">
        <f>'MACRO DATA'!D96</f>
        <v>152</v>
      </c>
      <c r="E107" s="133">
        <f>'MACRO DATA'!E96</f>
        <v>36.299999999999997</v>
      </c>
      <c r="F107" s="133">
        <f>'MACRO DATA'!F96</f>
        <v>-22</v>
      </c>
      <c r="G107" s="133">
        <f>'MACRO DATA'!G96</f>
        <v>38.9</v>
      </c>
      <c r="H107" s="133">
        <f>'MACRO DATA'!H96</f>
        <v>0</v>
      </c>
      <c r="I107" s="135">
        <f>'MACRO DATA'!I96</f>
        <v>0</v>
      </c>
      <c r="J107" s="135">
        <f>'MACRO DATA'!J96</f>
        <v>0</v>
      </c>
      <c r="K107" s="135">
        <f>'MACRO DATA'!K96</f>
        <v>0</v>
      </c>
      <c r="L107" s="135">
        <f>'MACRO DATA'!L96</f>
        <v>0</v>
      </c>
      <c r="M107" s="135">
        <f>'MACRO DATA'!M96</f>
        <v>0</v>
      </c>
      <c r="N107" s="135">
        <f>'MACRO DATA'!N96</f>
        <v>0</v>
      </c>
      <c r="O107" s="135">
        <f>'MACRO DATA'!O96</f>
        <v>0</v>
      </c>
      <c r="P107" s="135">
        <f>'MACRO DATA'!P96</f>
        <v>0</v>
      </c>
      <c r="Q107" s="135">
        <f>'MACRO DATA'!Q96</f>
        <v>0</v>
      </c>
    </row>
    <row r="108" spans="2:17" ht="15">
      <c r="B108" s="93" t="str">
        <f>'MACRO DATA'!B97</f>
        <v>Overall balance</v>
      </c>
      <c r="C108" s="62"/>
      <c r="D108" s="135">
        <f>'MACRO DATA'!D97</f>
        <v>-340</v>
      </c>
      <c r="E108" s="135">
        <f>'MACRO DATA'!E97</f>
        <v>-413.9682926829268</v>
      </c>
      <c r="F108" s="135">
        <f>'MACRO DATA'!F97</f>
        <v>-408.00616522811345</v>
      </c>
      <c r="G108" s="135">
        <f>'MACRO DATA'!G97</f>
        <v>-397.03229560841908</v>
      </c>
      <c r="H108" s="135">
        <f>'MACRO DATA'!H97</f>
        <v>0</v>
      </c>
      <c r="I108" s="135">
        <f>'MACRO DATA'!I97</f>
        <v>0</v>
      </c>
      <c r="J108" s="135">
        <f>'MACRO DATA'!J97</f>
        <v>0</v>
      </c>
      <c r="K108" s="135">
        <f>'MACRO DATA'!K97</f>
        <v>0</v>
      </c>
      <c r="L108" s="135">
        <f>'MACRO DATA'!L97</f>
        <v>0</v>
      </c>
      <c r="M108" s="135">
        <f>'MACRO DATA'!M97</f>
        <v>0</v>
      </c>
      <c r="N108" s="135">
        <f>'MACRO DATA'!N97</f>
        <v>0</v>
      </c>
      <c r="O108" s="135">
        <f>'MACRO DATA'!O97</f>
        <v>0</v>
      </c>
      <c r="P108" s="135">
        <f>'MACRO DATA'!P97</f>
        <v>0</v>
      </c>
      <c r="Q108" s="135">
        <f>'MACRO DATA'!Q97</f>
        <v>0</v>
      </c>
    </row>
    <row r="109" spans="2:17" ht="15">
      <c r="B109" s="88" t="str">
        <f>'MACRO DATA'!B98</f>
        <v>Financing</v>
      </c>
      <c r="C109" s="89"/>
      <c r="D109" s="133">
        <f>'MACRO DATA'!D98</f>
        <v>340</v>
      </c>
      <c r="E109" s="133">
        <f>'MACRO DATA'!E98</f>
        <v>414</v>
      </c>
      <c r="F109" s="133">
        <f>'MACRO DATA'!F98</f>
        <v>221</v>
      </c>
      <c r="G109" s="133">
        <f>'MACRO DATA'!G98</f>
        <v>121</v>
      </c>
      <c r="H109" s="133">
        <f>'MACRO DATA'!H98</f>
        <v>0</v>
      </c>
      <c r="I109" s="135">
        <f>'MACRO DATA'!I98</f>
        <v>0</v>
      </c>
      <c r="J109" s="135">
        <f>'MACRO DATA'!J98</f>
        <v>0</v>
      </c>
      <c r="K109" s="135">
        <f>'MACRO DATA'!K98</f>
        <v>0</v>
      </c>
      <c r="L109" s="135">
        <f>'MACRO DATA'!L98</f>
        <v>0</v>
      </c>
      <c r="M109" s="135">
        <f>'MACRO DATA'!M98</f>
        <v>0</v>
      </c>
      <c r="N109" s="135">
        <f>'MACRO DATA'!N98</f>
        <v>0</v>
      </c>
      <c r="O109" s="135">
        <f>'MACRO DATA'!O98</f>
        <v>0</v>
      </c>
      <c r="P109" s="135">
        <f>'MACRO DATA'!P98</f>
        <v>0</v>
      </c>
      <c r="Q109" s="135">
        <f>'MACRO DATA'!Q98</f>
        <v>0</v>
      </c>
    </row>
    <row r="110" spans="2:17" ht="15">
      <c r="B110" s="93" t="str">
        <f>'MACRO DATA'!B100</f>
        <v>Debt relief (non-HIPC)</v>
      </c>
      <c r="C110" s="62"/>
      <c r="D110" s="135">
        <f>'MACRO DATA'!D100</f>
        <v>217</v>
      </c>
      <c r="E110" s="135">
        <f>'MACRO DATA'!E100</f>
        <v>170</v>
      </c>
      <c r="F110" s="135">
        <f>'MACRO DATA'!F100</f>
        <v>170</v>
      </c>
      <c r="G110" s="135">
        <f>'MACRO DATA'!G100</f>
        <v>154</v>
      </c>
      <c r="H110" s="135">
        <f>'MACRO DATA'!H100</f>
        <v>0</v>
      </c>
      <c r="I110" s="135">
        <f>'MACRO DATA'!I100</f>
        <v>0</v>
      </c>
      <c r="J110" s="135">
        <f>'MACRO DATA'!J100</f>
        <v>0</v>
      </c>
      <c r="K110" s="135">
        <f>'MACRO DATA'!K100</f>
        <v>0</v>
      </c>
      <c r="L110" s="135">
        <f>'MACRO DATA'!L100</f>
        <v>0</v>
      </c>
      <c r="M110" s="135">
        <f>'MACRO DATA'!M100</f>
        <v>0</v>
      </c>
      <c r="N110" s="135">
        <f>'MACRO DATA'!N100</f>
        <v>0</v>
      </c>
      <c r="O110" s="135">
        <f>'MACRO DATA'!O100</f>
        <v>0</v>
      </c>
      <c r="P110" s="135">
        <f>'MACRO DATA'!P100</f>
        <v>0</v>
      </c>
      <c r="Q110" s="135">
        <f>'MACRO DATA'!Q100</f>
        <v>0</v>
      </c>
    </row>
    <row r="111" spans="2:17" ht="15">
      <c r="B111" s="88" t="str">
        <f>'MACRO DATA'!B101</f>
        <v>Debt relief (HIPC)</v>
      </c>
      <c r="C111" s="89"/>
      <c r="D111" s="133">
        <f>'MACRO DATA'!D101</f>
        <v>0</v>
      </c>
      <c r="E111" s="133">
        <f>'MACRO DATA'!E101</f>
        <v>267</v>
      </c>
      <c r="F111" s="133">
        <f>'MACRO DATA'!F101</f>
        <v>270</v>
      </c>
      <c r="G111" s="133">
        <f>'MACRO DATA'!G101</f>
        <v>272</v>
      </c>
      <c r="H111" s="133">
        <f>'MACRO DATA'!H101</f>
        <v>0</v>
      </c>
      <c r="I111" s="135">
        <f>'MACRO DATA'!I101</f>
        <v>0</v>
      </c>
      <c r="J111" s="135">
        <f>'MACRO DATA'!J101</f>
        <v>0</v>
      </c>
      <c r="K111" s="135">
        <f>'MACRO DATA'!K101</f>
        <v>0</v>
      </c>
      <c r="L111" s="135">
        <f>'MACRO DATA'!L101</f>
        <v>0</v>
      </c>
      <c r="M111" s="135">
        <f>'MACRO DATA'!M101</f>
        <v>0</v>
      </c>
      <c r="N111" s="135">
        <f>'MACRO DATA'!N101</f>
        <v>0</v>
      </c>
      <c r="O111" s="135">
        <f>'MACRO DATA'!O101</f>
        <v>0</v>
      </c>
      <c r="P111" s="135">
        <f>'MACRO DATA'!P101</f>
        <v>0</v>
      </c>
      <c r="Q111" s="135">
        <f>'MACRO DATA'!Q101</f>
        <v>0</v>
      </c>
    </row>
    <row r="112" spans="2:17" ht="15">
      <c r="B112" s="93" t="str">
        <f>'MACRO DATA'!B102</f>
        <v>Net changes in arrears (+inc)</v>
      </c>
      <c r="C112" s="62"/>
      <c r="D112" s="135">
        <f>'MACRO DATA'!D102</f>
        <v>-10</v>
      </c>
      <c r="E112" s="135">
        <f>'MACRO DATA'!E102</f>
        <v>0</v>
      </c>
      <c r="F112" s="135">
        <f>'MACRO DATA'!F102</f>
        <v>0</v>
      </c>
      <c r="G112" s="135">
        <f>'MACRO DATA'!G102</f>
        <v>0</v>
      </c>
      <c r="H112" s="135">
        <f>'MACRO DATA'!H102</f>
        <v>0</v>
      </c>
      <c r="I112" s="135">
        <f>'MACRO DATA'!I102</f>
        <v>0</v>
      </c>
      <c r="J112" s="135">
        <f>'MACRO DATA'!J102</f>
        <v>0</v>
      </c>
      <c r="K112" s="135">
        <f>'MACRO DATA'!K102</f>
        <v>0</v>
      </c>
      <c r="L112" s="135">
        <f>'MACRO DATA'!L102</f>
        <v>0</v>
      </c>
      <c r="M112" s="135">
        <f>'MACRO DATA'!M102</f>
        <v>0</v>
      </c>
      <c r="N112" s="135">
        <f>'MACRO DATA'!N102</f>
        <v>0</v>
      </c>
      <c r="O112" s="135">
        <f>'MACRO DATA'!O102</f>
        <v>0</v>
      </c>
      <c r="P112" s="135">
        <f>'MACRO DATA'!P102</f>
        <v>0</v>
      </c>
      <c r="Q112" s="135">
        <f>'MACRO DATA'!Q102</f>
        <v>0</v>
      </c>
    </row>
    <row r="113" spans="2:17" ht="15">
      <c r="B113" s="93" t="str">
        <f>'MACRO DATA'!B103</f>
        <v>Change in net int'l reserves (-inc)</v>
      </c>
      <c r="C113" s="62"/>
      <c r="D113" s="135">
        <f>'MACRO DATA'!D103</f>
        <v>-53</v>
      </c>
      <c r="E113" s="135">
        <f>'MACRO DATA'!E103</f>
        <v>-231</v>
      </c>
      <c r="F113" s="135">
        <f>'MACRO DATA'!F103</f>
        <v>-219</v>
      </c>
      <c r="G113" s="135">
        <f>'MACRO DATA'!G103</f>
        <v>-305</v>
      </c>
      <c r="H113" s="135">
        <f>'MACRO DATA'!H103</f>
        <v>0</v>
      </c>
      <c r="I113" s="135">
        <f>'MACRO DATA'!I103</f>
        <v>0</v>
      </c>
      <c r="J113" s="135">
        <f>'MACRO DATA'!J103</f>
        <v>0</v>
      </c>
      <c r="K113" s="135">
        <f>'MACRO DATA'!K103</f>
        <v>0</v>
      </c>
      <c r="L113" s="135">
        <f>'MACRO DATA'!L103</f>
        <v>0</v>
      </c>
      <c r="M113" s="135">
        <f>'MACRO DATA'!M103</f>
        <v>0</v>
      </c>
      <c r="N113" s="135">
        <f>'MACRO DATA'!N103</f>
        <v>0</v>
      </c>
      <c r="O113" s="135">
        <f>'MACRO DATA'!O103</f>
        <v>0</v>
      </c>
      <c r="P113" s="135">
        <f>'MACRO DATA'!P103</f>
        <v>0</v>
      </c>
      <c r="Q113" s="135">
        <f>'MACRO DATA'!Q103</f>
        <v>0</v>
      </c>
    </row>
    <row r="114" spans="2:17" ht="15">
      <c r="B114" s="93" t="str">
        <f>'MACRO DATA'!B104</f>
        <v xml:space="preserve">       Change in gross reserves</v>
      </c>
      <c r="C114" s="62"/>
      <c r="D114" s="135">
        <f>'MACRO DATA'!D104</f>
        <v>-68</v>
      </c>
      <c r="E114" s="135">
        <f>'MACRO DATA'!E104</f>
        <v>-135</v>
      </c>
      <c r="F114" s="135">
        <f>'MACRO DATA'!F104</f>
        <v>-124</v>
      </c>
      <c r="G114" s="135">
        <f>'MACRO DATA'!G104</f>
        <v>-111</v>
      </c>
      <c r="H114" s="135">
        <f>'MACRO DATA'!H104</f>
        <v>0</v>
      </c>
      <c r="I114" s="135">
        <f>'MACRO DATA'!I104</f>
        <v>0</v>
      </c>
      <c r="J114" s="135">
        <f>'MACRO DATA'!J104</f>
        <v>0</v>
      </c>
      <c r="K114" s="135">
        <f>'MACRO DATA'!K104</f>
        <v>0</v>
      </c>
      <c r="L114" s="135">
        <f>'MACRO DATA'!L104</f>
        <v>0</v>
      </c>
      <c r="M114" s="135">
        <f>'MACRO DATA'!M104</f>
        <v>0</v>
      </c>
      <c r="N114" s="135">
        <f>'MACRO DATA'!N104</f>
        <v>0</v>
      </c>
      <c r="O114" s="135">
        <f>'MACRO DATA'!O104</f>
        <v>0</v>
      </c>
      <c r="P114" s="135">
        <f>'MACRO DATA'!P104</f>
        <v>0</v>
      </c>
      <c r="Q114" s="135">
        <f>'MACRO DATA'!Q104</f>
        <v>0</v>
      </c>
    </row>
    <row r="115" spans="2:17" ht="15">
      <c r="B115" s="88" t="str">
        <f>'MACRO DATA'!B105</f>
        <v xml:space="preserve">       Other net liabilities</v>
      </c>
      <c r="C115" s="89"/>
      <c r="D115" s="133">
        <f>'MACRO DATA'!D105</f>
        <v>-5</v>
      </c>
      <c r="E115" s="133">
        <f>'MACRO DATA'!E105</f>
        <v>-9</v>
      </c>
      <c r="F115" s="133">
        <f>'MACRO DATA'!F105</f>
        <v>-7</v>
      </c>
      <c r="G115" s="133">
        <f>'MACRO DATA'!G105</f>
        <v>-7</v>
      </c>
      <c r="H115" s="133">
        <f>'MACRO DATA'!H105</f>
        <v>0</v>
      </c>
      <c r="I115" s="135">
        <f>'MACRO DATA'!I105</f>
        <v>0</v>
      </c>
      <c r="J115" s="135">
        <f>'MACRO DATA'!J105</f>
        <v>0</v>
      </c>
      <c r="K115" s="135">
        <f>'MACRO DATA'!K105</f>
        <v>0</v>
      </c>
      <c r="L115" s="135">
        <f>'MACRO DATA'!L105</f>
        <v>0</v>
      </c>
      <c r="M115" s="135">
        <f>'MACRO DATA'!M105</f>
        <v>0</v>
      </c>
      <c r="N115" s="135">
        <f>'MACRO DATA'!N105</f>
        <v>0</v>
      </c>
      <c r="O115" s="135">
        <f>'MACRO DATA'!O105</f>
        <v>0</v>
      </c>
      <c r="P115" s="135">
        <f>'MACRO DATA'!P105</f>
        <v>0</v>
      </c>
      <c r="Q115" s="135">
        <f>'MACRO DATA'!Q105</f>
        <v>0</v>
      </c>
    </row>
    <row r="116" spans="2:17" ht="15">
      <c r="B116" s="93" t="str">
        <f>'MACRO DATA'!B106</f>
        <v xml:space="preserve">       IMF credit (net)</v>
      </c>
      <c r="C116" s="62"/>
      <c r="D116" s="135">
        <f>'MACRO DATA'!D106</f>
        <v>20</v>
      </c>
      <c r="E116" s="135">
        <f>'MACRO DATA'!E106</f>
        <v>-87</v>
      </c>
      <c r="F116" s="135">
        <f>'MACRO DATA'!F106</f>
        <v>-88</v>
      </c>
      <c r="G116" s="135">
        <f>'MACRO DATA'!G106</f>
        <v>-187</v>
      </c>
      <c r="H116" s="135">
        <f>'MACRO DATA'!H106</f>
        <v>0</v>
      </c>
      <c r="I116" s="135">
        <f>'MACRO DATA'!I106</f>
        <v>0</v>
      </c>
      <c r="J116" s="135">
        <f>'MACRO DATA'!J106</f>
        <v>0</v>
      </c>
      <c r="K116" s="135">
        <f>'MACRO DATA'!K106</f>
        <v>0</v>
      </c>
      <c r="L116" s="135">
        <f>'MACRO DATA'!L106</f>
        <v>0</v>
      </c>
      <c r="M116" s="135">
        <f>'MACRO DATA'!M106</f>
        <v>0</v>
      </c>
      <c r="N116" s="135">
        <f>'MACRO DATA'!N106</f>
        <v>0</v>
      </c>
      <c r="O116" s="135">
        <f>'MACRO DATA'!O106</f>
        <v>0</v>
      </c>
      <c r="P116" s="135">
        <f>'MACRO DATA'!P106</f>
        <v>0</v>
      </c>
      <c r="Q116" s="135">
        <f>'MACRO DATA'!Q106</f>
        <v>0</v>
      </c>
    </row>
    <row r="117" spans="2:17" ht="15">
      <c r="B117" s="88" t="str">
        <f>'MACRO DATA'!B107</f>
        <v>BOP support grants</v>
      </c>
      <c r="C117" s="89"/>
      <c r="D117" s="133">
        <f>'MACRO DATA'!D107</f>
        <v>32</v>
      </c>
      <c r="E117" s="133">
        <f>'MACRO DATA'!E107</f>
        <v>99</v>
      </c>
      <c r="F117" s="133">
        <f>'MACRO DATA'!F107</f>
        <v>0</v>
      </c>
      <c r="G117" s="133">
        <f>'MACRO DATA'!G107</f>
        <v>0</v>
      </c>
      <c r="H117" s="133">
        <f>'MACRO DATA'!H107</f>
        <v>0</v>
      </c>
      <c r="I117" s="135">
        <f>'MACRO DATA'!I107</f>
        <v>0</v>
      </c>
      <c r="J117" s="135">
        <f>'MACRO DATA'!J107</f>
        <v>0</v>
      </c>
      <c r="K117" s="135">
        <f>'MACRO DATA'!K107</f>
        <v>0</v>
      </c>
      <c r="L117" s="135">
        <f>'MACRO DATA'!L107</f>
        <v>0</v>
      </c>
      <c r="M117" s="135">
        <f>'MACRO DATA'!M107</f>
        <v>0</v>
      </c>
      <c r="N117" s="135">
        <f>'MACRO DATA'!N107</f>
        <v>0</v>
      </c>
      <c r="O117" s="135">
        <f>'MACRO DATA'!O107</f>
        <v>0</v>
      </c>
      <c r="P117" s="135">
        <f>'MACRO DATA'!P107</f>
        <v>0</v>
      </c>
      <c r="Q117" s="135">
        <f>'MACRO DATA'!Q107</f>
        <v>0</v>
      </c>
    </row>
    <row r="118" spans="2:17" ht="15">
      <c r="B118" s="88" t="str">
        <f>'MACRO DATA'!B108</f>
        <v>BOP support loans</v>
      </c>
      <c r="C118" s="89"/>
      <c r="D118" s="133">
        <f>'MACRO DATA'!D108</f>
        <v>154</v>
      </c>
      <c r="E118" s="133">
        <f>'MACRO DATA'!E108</f>
        <v>109</v>
      </c>
      <c r="F118" s="133">
        <f>'MACRO DATA'!F108</f>
        <v>0</v>
      </c>
      <c r="G118" s="133">
        <f>'MACRO DATA'!G108</f>
        <v>0</v>
      </c>
      <c r="H118" s="133">
        <f>'MACRO DATA'!H108</f>
        <v>0</v>
      </c>
      <c r="I118" s="135">
        <f>'MACRO DATA'!I108</f>
        <v>0</v>
      </c>
      <c r="J118" s="135">
        <f>'MACRO DATA'!J108</f>
        <v>0</v>
      </c>
      <c r="K118" s="135">
        <f>'MACRO DATA'!K108</f>
        <v>0</v>
      </c>
      <c r="L118" s="135">
        <f>'MACRO DATA'!L108</f>
        <v>0</v>
      </c>
      <c r="M118" s="135">
        <f>'MACRO DATA'!M108</f>
        <v>0</v>
      </c>
      <c r="N118" s="135">
        <f>'MACRO DATA'!N108</f>
        <v>0</v>
      </c>
      <c r="O118" s="135">
        <f>'MACRO DATA'!O108</f>
        <v>0</v>
      </c>
      <c r="P118" s="135">
        <f>'MACRO DATA'!P108</f>
        <v>0</v>
      </c>
      <c r="Q118" s="135">
        <f>'MACRO DATA'!Q108</f>
        <v>0</v>
      </c>
    </row>
    <row r="119" spans="2:17" ht="15">
      <c r="B119" s="88" t="str">
        <f>'MACRO DATA'!B109</f>
        <v xml:space="preserve">        Multilateral</v>
      </c>
      <c r="C119" s="89"/>
      <c r="D119" s="133">
        <f>'MACRO DATA'!D109</f>
        <v>154</v>
      </c>
      <c r="E119" s="133">
        <f>'MACRO DATA'!E109</f>
        <v>109</v>
      </c>
      <c r="F119" s="133">
        <f>'MACRO DATA'!F109</f>
        <v>0</v>
      </c>
      <c r="G119" s="133">
        <f>'MACRO DATA'!G109</f>
        <v>0</v>
      </c>
      <c r="H119" s="133">
        <f>'MACRO DATA'!H109</f>
        <v>0</v>
      </c>
      <c r="I119" s="135">
        <f>'MACRO DATA'!I109</f>
        <v>0</v>
      </c>
      <c r="J119" s="135">
        <f>'MACRO DATA'!J109</f>
        <v>0</v>
      </c>
      <c r="K119" s="135">
        <f>'MACRO DATA'!K109</f>
        <v>0</v>
      </c>
      <c r="L119" s="135">
        <f>'MACRO DATA'!L109</f>
        <v>0</v>
      </c>
      <c r="M119" s="135">
        <f>'MACRO DATA'!M109</f>
        <v>0</v>
      </c>
      <c r="N119" s="135">
        <f>'MACRO DATA'!N109</f>
        <v>0</v>
      </c>
      <c r="O119" s="135">
        <f>'MACRO DATA'!O109</f>
        <v>0</v>
      </c>
      <c r="P119" s="135">
        <f>'MACRO DATA'!P109</f>
        <v>0</v>
      </c>
      <c r="Q119" s="135">
        <f>'MACRO DATA'!Q109</f>
        <v>0</v>
      </c>
    </row>
    <row r="120" spans="2:17" ht="15">
      <c r="B120" s="93" t="str">
        <f>'MACRO DATA'!B110</f>
        <v xml:space="preserve">        Bilateral</v>
      </c>
      <c r="C120" s="62"/>
      <c r="D120" s="135">
        <f>'MACRO DATA'!D110</f>
        <v>0</v>
      </c>
      <c r="E120" s="135">
        <f>'MACRO DATA'!E110</f>
        <v>0</v>
      </c>
      <c r="F120" s="135">
        <f>'MACRO DATA'!F110</f>
        <v>0</v>
      </c>
      <c r="G120" s="135">
        <f>'MACRO DATA'!G110</f>
        <v>0</v>
      </c>
      <c r="H120" s="135">
        <f>'MACRO DATA'!H110</f>
        <v>0</v>
      </c>
      <c r="I120" s="135">
        <f>'MACRO DATA'!I110</f>
        <v>0</v>
      </c>
      <c r="J120" s="135">
        <f>'MACRO DATA'!J110</f>
        <v>0</v>
      </c>
      <c r="K120" s="135">
        <f>'MACRO DATA'!K110</f>
        <v>0</v>
      </c>
      <c r="L120" s="135">
        <f>'MACRO DATA'!L110</f>
        <v>0</v>
      </c>
      <c r="M120" s="135">
        <f>'MACRO DATA'!M110</f>
        <v>0</v>
      </c>
      <c r="N120" s="135">
        <f>'MACRO DATA'!N110</f>
        <v>0</v>
      </c>
      <c r="O120" s="135">
        <f>'MACRO DATA'!O110</f>
        <v>0</v>
      </c>
      <c r="P120" s="135">
        <f>'MACRO DATA'!P110</f>
        <v>0</v>
      </c>
      <c r="Q120" s="135">
        <f>'MACRO DATA'!Q110</f>
        <v>0</v>
      </c>
    </row>
    <row r="121" spans="2:17" ht="15">
      <c r="B121" s="93" t="str">
        <f>'MACRO DATA'!B111</f>
        <v>Other BOP financing</v>
      </c>
      <c r="C121" s="62"/>
      <c r="D121" s="135">
        <f>'MACRO DATA'!D111</f>
        <v>0</v>
      </c>
      <c r="E121" s="135">
        <f>'MACRO DATA'!E111</f>
        <v>0</v>
      </c>
      <c r="F121" s="135">
        <f>'MACRO DATA'!F111</f>
        <v>0</v>
      </c>
      <c r="G121" s="135">
        <f>'MACRO DATA'!G111</f>
        <v>0</v>
      </c>
      <c r="H121" s="135">
        <f>'MACRO DATA'!H111</f>
        <v>0</v>
      </c>
      <c r="I121" s="135">
        <f>'MACRO DATA'!I111</f>
        <v>0</v>
      </c>
      <c r="J121" s="135">
        <f>'MACRO DATA'!J111</f>
        <v>0</v>
      </c>
      <c r="K121" s="135">
        <f>'MACRO DATA'!K111</f>
        <v>0</v>
      </c>
      <c r="L121" s="135">
        <f>'MACRO DATA'!L111</f>
        <v>0</v>
      </c>
      <c r="M121" s="135">
        <f>'MACRO DATA'!M111</f>
        <v>0</v>
      </c>
      <c r="N121" s="135">
        <f>'MACRO DATA'!N111</f>
        <v>0</v>
      </c>
      <c r="O121" s="135">
        <f>'MACRO DATA'!O111</f>
        <v>0</v>
      </c>
      <c r="P121" s="135">
        <f>'MACRO DATA'!P111</f>
        <v>0</v>
      </c>
      <c r="Q121" s="135">
        <f>'MACRO DATA'!Q111</f>
        <v>0</v>
      </c>
    </row>
    <row r="122" spans="2:17" ht="15">
      <c r="B122" s="88" t="str">
        <f>'MACRO DATA'!B112</f>
        <v xml:space="preserve">        Source 1</v>
      </c>
      <c r="C122" s="89"/>
      <c r="D122" s="133">
        <f>'MACRO DATA'!D112</f>
        <v>0</v>
      </c>
      <c r="E122" s="133">
        <f>'MACRO DATA'!E112</f>
        <v>0</v>
      </c>
      <c r="F122" s="133">
        <f>'MACRO DATA'!F112</f>
        <v>0</v>
      </c>
      <c r="G122" s="133">
        <f>'MACRO DATA'!G112</f>
        <v>0</v>
      </c>
      <c r="H122" s="133">
        <f>'MACRO DATA'!H112</f>
        <v>0</v>
      </c>
      <c r="I122" s="135">
        <f>'MACRO DATA'!I112</f>
        <v>0</v>
      </c>
      <c r="J122" s="135">
        <f>'MACRO DATA'!J112</f>
        <v>0</v>
      </c>
      <c r="K122" s="135">
        <f>'MACRO DATA'!K112</f>
        <v>0</v>
      </c>
      <c r="L122" s="135">
        <f>'MACRO DATA'!L112</f>
        <v>0</v>
      </c>
      <c r="M122" s="135">
        <f>'MACRO DATA'!M112</f>
        <v>0</v>
      </c>
      <c r="N122" s="135">
        <f>'MACRO DATA'!N112</f>
        <v>0</v>
      </c>
      <c r="O122" s="135">
        <f>'MACRO DATA'!O112</f>
        <v>0</v>
      </c>
      <c r="P122" s="135">
        <f>'MACRO DATA'!P112</f>
        <v>0</v>
      </c>
      <c r="Q122" s="135">
        <f>'MACRO DATA'!Q112</f>
        <v>0</v>
      </c>
    </row>
    <row r="123" spans="2:17" ht="15">
      <c r="B123" s="93" t="str">
        <f>'MACRO DATA'!B113</f>
        <v xml:space="preserve">        Source 2</v>
      </c>
      <c r="C123" s="62"/>
      <c r="D123" s="135">
        <f>'MACRO DATA'!D113</f>
        <v>0</v>
      </c>
      <c r="E123" s="135">
        <f>'MACRO DATA'!E113</f>
        <v>0</v>
      </c>
      <c r="F123" s="135">
        <f>'MACRO DATA'!F113</f>
        <v>0</v>
      </c>
      <c r="G123" s="135">
        <f>'MACRO DATA'!G113</f>
        <v>0</v>
      </c>
      <c r="H123" s="135">
        <f>'MACRO DATA'!H113</f>
        <v>0</v>
      </c>
      <c r="I123" s="135">
        <f>'MACRO DATA'!I113</f>
        <v>0</v>
      </c>
      <c r="J123" s="135">
        <f>'MACRO DATA'!J113</f>
        <v>0</v>
      </c>
      <c r="K123" s="135">
        <f>'MACRO DATA'!K113</f>
        <v>0</v>
      </c>
      <c r="L123" s="135">
        <f>'MACRO DATA'!L113</f>
        <v>0</v>
      </c>
      <c r="M123" s="135">
        <f>'MACRO DATA'!M113</f>
        <v>0</v>
      </c>
      <c r="N123" s="135">
        <f>'MACRO DATA'!N113</f>
        <v>0</v>
      </c>
      <c r="O123" s="135">
        <f>'MACRO DATA'!O113</f>
        <v>0</v>
      </c>
      <c r="P123" s="135">
        <f>'MACRO DATA'!P113</f>
        <v>0</v>
      </c>
      <c r="Q123" s="135">
        <f>'MACRO DATA'!Q113</f>
        <v>0</v>
      </c>
    </row>
    <row r="124" spans="2:17" ht="15">
      <c r="B124" s="88" t="str">
        <f>'MACRO DATA'!B114</f>
        <v>Financing gap</v>
      </c>
      <c r="C124" s="89"/>
      <c r="D124" s="133">
        <f>'MACRO DATA'!D114</f>
        <v>0</v>
      </c>
      <c r="E124" s="133">
        <f>'MACRO DATA'!E114</f>
        <v>3.1707317073198737E-2</v>
      </c>
      <c r="F124" s="133">
        <f>'MACRO DATA'!F114</f>
        <v>-187.00616522811345</v>
      </c>
      <c r="G124" s="133">
        <f>'MACRO DATA'!G114</f>
        <v>-276.03229560841908</v>
      </c>
      <c r="H124" s="133">
        <f>'MACRO DATA'!H114</f>
        <v>0</v>
      </c>
      <c r="I124" s="135">
        <f>'MACRO DATA'!I114</f>
        <v>0</v>
      </c>
      <c r="J124" s="135">
        <f>'MACRO DATA'!J114</f>
        <v>0</v>
      </c>
      <c r="K124" s="135">
        <f>'MACRO DATA'!K114</f>
        <v>0</v>
      </c>
      <c r="L124" s="135">
        <f>'MACRO DATA'!L114</f>
        <v>0</v>
      </c>
      <c r="M124" s="135">
        <f>'MACRO DATA'!M114</f>
        <v>0</v>
      </c>
      <c r="N124" s="135">
        <f>'MACRO DATA'!N114</f>
        <v>0</v>
      </c>
      <c r="O124" s="135">
        <f>'MACRO DATA'!O114</f>
        <v>0</v>
      </c>
      <c r="P124" s="135">
        <f>'MACRO DATA'!P114</f>
        <v>0</v>
      </c>
      <c r="Q124" s="135">
        <f>'MACRO DATA'!Q114</f>
        <v>0</v>
      </c>
    </row>
    <row r="125" spans="2:17" ht="19.899999999999999" customHeight="1">
      <c r="B125" s="93" t="s">
        <v>1471</v>
      </c>
      <c r="C125" s="62" t="s">
        <v>1845</v>
      </c>
      <c r="D125" s="135">
        <f>'MACRO DATA'!D97</f>
        <v>-340</v>
      </c>
      <c r="E125" s="135">
        <f>'MACRO DATA'!E97</f>
        <v>-413.9682926829268</v>
      </c>
      <c r="F125" s="135">
        <f>'MACRO DATA'!F97</f>
        <v>-408.00616522811345</v>
      </c>
      <c r="G125" s="135">
        <f>'MACRO DATA'!G97</f>
        <v>-397.03229560841908</v>
      </c>
      <c r="H125" s="135">
        <f>'MACRO DATA'!H97</f>
        <v>0</v>
      </c>
      <c r="I125" s="135">
        <f>'MACRO DATA'!I97</f>
        <v>0</v>
      </c>
      <c r="J125" s="135">
        <f>'MACRO DATA'!J97</f>
        <v>0</v>
      </c>
      <c r="K125" s="135">
        <f>'MACRO DATA'!K97</f>
        <v>0</v>
      </c>
      <c r="L125" s="135">
        <f>'MACRO DATA'!L97</f>
        <v>0</v>
      </c>
      <c r="M125" s="135">
        <f>'MACRO DATA'!M97</f>
        <v>0</v>
      </c>
      <c r="N125" s="135">
        <f>'MACRO DATA'!N97</f>
        <v>0</v>
      </c>
      <c r="O125" s="135">
        <f>'MACRO DATA'!O97</f>
        <v>0</v>
      </c>
      <c r="P125" s="135">
        <f>'MACRO DATA'!P97</f>
        <v>0</v>
      </c>
      <c r="Q125" s="135">
        <f>'MACRO DATA'!Q97</f>
        <v>0</v>
      </c>
    </row>
    <row r="126" spans="2:17" ht="19.899999999999999" customHeight="1">
      <c r="B126" s="93"/>
      <c r="C126" s="62" t="s">
        <v>1844</v>
      </c>
      <c r="D126" s="136">
        <f>D125*$D$81/D81</f>
        <v>-340.00000000000006</v>
      </c>
      <c r="E126" s="136">
        <f>E125*$D$81/E81</f>
        <v>-331.43978597512148</v>
      </c>
      <c r="F126" s="136">
        <f>F125*$D$81/F81</f>
        <v>-278.72548224799181</v>
      </c>
      <c r="G126" s="136">
        <f>G125*$D$81/G81</f>
        <v>-239.38992842646047</v>
      </c>
      <c r="H126" s="136">
        <f t="shared" ref="H126:Q126" si="35">H125*$D$81/H81</f>
        <v>0</v>
      </c>
      <c r="I126" s="136">
        <f t="shared" si="35"/>
        <v>0</v>
      </c>
      <c r="J126" s="136">
        <f t="shared" si="35"/>
        <v>0</v>
      </c>
      <c r="K126" s="136">
        <f t="shared" si="35"/>
        <v>0</v>
      </c>
      <c r="L126" s="136">
        <f t="shared" si="35"/>
        <v>0</v>
      </c>
      <c r="M126" s="136">
        <f t="shared" si="35"/>
        <v>0</v>
      </c>
      <c r="N126" s="136">
        <f t="shared" si="35"/>
        <v>0</v>
      </c>
      <c r="O126" s="136">
        <f t="shared" si="35"/>
        <v>0</v>
      </c>
      <c r="P126" s="136">
        <f t="shared" si="35"/>
        <v>0</v>
      </c>
      <c r="Q126" s="136">
        <f t="shared" si="35"/>
        <v>0</v>
      </c>
    </row>
    <row r="127" spans="2:17" ht="15">
      <c r="B127" s="88" t="s">
        <v>1858</v>
      </c>
      <c r="C127" s="89"/>
      <c r="D127" s="100">
        <v>4</v>
      </c>
      <c r="E127" s="100">
        <v>4</v>
      </c>
      <c r="F127" s="100">
        <v>4</v>
      </c>
      <c r="G127" s="137">
        <v>4</v>
      </c>
      <c r="H127" s="137">
        <v>5</v>
      </c>
      <c r="I127" s="619">
        <v>6</v>
      </c>
      <c r="J127" s="619">
        <v>7</v>
      </c>
      <c r="K127" s="619">
        <v>8</v>
      </c>
      <c r="L127" s="619">
        <v>9</v>
      </c>
      <c r="M127" s="619">
        <v>10</v>
      </c>
      <c r="N127" s="619">
        <v>11</v>
      </c>
      <c r="O127" s="619">
        <v>12</v>
      </c>
      <c r="P127" s="619">
        <v>13</v>
      </c>
      <c r="Q127" s="619">
        <v>14</v>
      </c>
    </row>
    <row r="128" spans="2:17" ht="19.899999999999999" customHeight="1">
      <c r="B128" s="93" t="s">
        <v>1839</v>
      </c>
      <c r="C128" s="62"/>
      <c r="D128" s="74">
        <f>'MACRO DATA'!D115</f>
        <v>6831</v>
      </c>
      <c r="E128" s="74">
        <f>'MACRO DATA'!E115</f>
        <v>7036</v>
      </c>
      <c r="F128" s="74">
        <f>'MACRO DATA'!F115</f>
        <v>7064</v>
      </c>
      <c r="G128" s="74">
        <f>'MACRO DATA'!G115</f>
        <v>7064</v>
      </c>
      <c r="H128" s="74">
        <f>'MACRO DATA'!H115</f>
        <v>0</v>
      </c>
      <c r="I128" s="74">
        <f>'MACRO DATA'!I115</f>
        <v>0</v>
      </c>
      <c r="J128" s="74">
        <f>'MACRO DATA'!J115</f>
        <v>0</v>
      </c>
      <c r="K128" s="74">
        <f>'MACRO DATA'!K115</f>
        <v>0</v>
      </c>
      <c r="L128" s="74">
        <f>'MACRO DATA'!L115</f>
        <v>0</v>
      </c>
      <c r="M128" s="74">
        <f>'MACRO DATA'!M115</f>
        <v>0</v>
      </c>
      <c r="N128" s="74">
        <f>'MACRO DATA'!N115</f>
        <v>0</v>
      </c>
      <c r="O128" s="74">
        <f>'MACRO DATA'!O115</f>
        <v>0</v>
      </c>
      <c r="P128" s="74">
        <f>'MACRO DATA'!P115</f>
        <v>0</v>
      </c>
      <c r="Q128" s="74">
        <f>'MACRO DATA'!Q115</f>
        <v>0</v>
      </c>
    </row>
    <row r="129" spans="2:17" ht="19.899999999999999" customHeight="1">
      <c r="B129" s="143" t="s">
        <v>1493</v>
      </c>
      <c r="C129" s="89"/>
      <c r="D129" s="144">
        <f t="shared" ref="D129:Q129" si="36">sy0</f>
        <v>-9.4751130437463804E-2</v>
      </c>
      <c r="E129" s="144">
        <f t="shared" si="36"/>
        <v>-9.4751130437463804E-2</v>
      </c>
      <c r="F129" s="144">
        <f t="shared" si="36"/>
        <v>-9.4751130437463804E-2</v>
      </c>
      <c r="G129" s="145">
        <f t="shared" si="36"/>
        <v>-9.4751130437463804E-2</v>
      </c>
      <c r="H129" s="145">
        <f t="shared" si="36"/>
        <v>-9.4751130437463804E-2</v>
      </c>
      <c r="I129" s="620">
        <f t="shared" si="36"/>
        <v>-9.4751130437463804E-2</v>
      </c>
      <c r="J129" s="620">
        <f t="shared" si="36"/>
        <v>-9.4751130437463804E-2</v>
      </c>
      <c r="K129" s="620">
        <f t="shared" si="36"/>
        <v>-9.4751130437463804E-2</v>
      </c>
      <c r="L129" s="620">
        <f t="shared" si="36"/>
        <v>-9.4751130437463804E-2</v>
      </c>
      <c r="M129" s="620">
        <f t="shared" si="36"/>
        <v>-9.4751130437463804E-2</v>
      </c>
      <c r="N129" s="620">
        <f t="shared" si="36"/>
        <v>-9.4751130437463804E-2</v>
      </c>
      <c r="O129" s="620">
        <f t="shared" si="36"/>
        <v>-9.4751130437463804E-2</v>
      </c>
      <c r="P129" s="620">
        <f t="shared" si="36"/>
        <v>-9.4751130437463804E-2</v>
      </c>
      <c r="Q129" s="620">
        <f t="shared" si="36"/>
        <v>-9.4751130437463804E-2</v>
      </c>
    </row>
    <row r="130" spans="2:17" ht="30" customHeight="1">
      <c r="B130" t="s">
        <v>1448</v>
      </c>
      <c r="C130" s="62"/>
      <c r="D130" s="74"/>
      <c r="E130" s="66"/>
      <c r="F130" s="66"/>
      <c r="G130" s="130"/>
      <c r="H130" s="66"/>
      <c r="I130" s="66"/>
      <c r="J130" s="66"/>
    </row>
    <row r="131" spans="2:17">
      <c r="D131" s="65"/>
      <c r="E131" s="65"/>
      <c r="F131" s="65"/>
      <c r="G131" s="118"/>
      <c r="H131" s="65"/>
      <c r="I131" s="66"/>
      <c r="J131" s="66"/>
    </row>
    <row r="132" spans="2:17" ht="13.15" customHeight="1">
      <c r="D132" s="65"/>
      <c r="E132" s="65"/>
      <c r="F132" s="65"/>
      <c r="G132" s="118"/>
      <c r="H132" s="65"/>
      <c r="I132" s="66"/>
      <c r="J132" s="66"/>
    </row>
    <row r="133" spans="2:17" ht="20.100000000000001" customHeight="1">
      <c r="D133" s="65"/>
      <c r="E133" s="65"/>
      <c r="F133" s="65"/>
      <c r="G133" s="118"/>
      <c r="H133" s="65"/>
      <c r="I133" s="66"/>
      <c r="J133" s="66"/>
    </row>
    <row r="134" spans="2:17">
      <c r="D134" s="65"/>
      <c r="E134" s="65"/>
      <c r="F134" s="65"/>
      <c r="G134" s="118"/>
      <c r="H134" s="65"/>
      <c r="I134" s="66"/>
      <c r="J134" s="66"/>
    </row>
    <row r="135" spans="2:17">
      <c r="D135" s="65"/>
      <c r="E135" s="65"/>
      <c r="F135" s="65"/>
      <c r="G135" s="118"/>
      <c r="H135" s="65"/>
      <c r="I135" s="66"/>
      <c r="J135" s="66"/>
    </row>
    <row r="136" spans="2:17">
      <c r="D136" s="65"/>
      <c r="E136" s="65"/>
      <c r="F136" s="65"/>
      <c r="G136" s="118"/>
      <c r="H136" s="65"/>
      <c r="I136" s="66"/>
      <c r="J136" s="66"/>
    </row>
    <row r="137" spans="2:17">
      <c r="D137" s="65"/>
      <c r="E137" s="65"/>
      <c r="F137" s="65"/>
      <c r="G137" s="118"/>
      <c r="H137" s="65"/>
      <c r="I137" s="66"/>
      <c r="J137" s="66"/>
    </row>
    <row r="138" spans="2:17">
      <c r="D138" s="65"/>
      <c r="E138" s="65"/>
      <c r="F138" s="65"/>
      <c r="G138" s="118"/>
      <c r="H138" s="65"/>
      <c r="I138" s="66"/>
      <c r="J138" s="66"/>
    </row>
    <row r="139" spans="2:17">
      <c r="D139" s="65"/>
      <c r="E139" s="65"/>
      <c r="F139" s="65"/>
      <c r="G139" s="118"/>
      <c r="H139" s="65"/>
      <c r="I139" s="66"/>
      <c r="J139" s="66"/>
    </row>
    <row r="140" spans="2:17">
      <c r="D140" s="65"/>
      <c r="E140" s="65"/>
      <c r="F140" s="65"/>
      <c r="G140" s="118"/>
      <c r="H140" s="65"/>
      <c r="I140" s="66"/>
      <c r="J140" s="66"/>
    </row>
    <row r="141" spans="2:17">
      <c r="D141" s="65"/>
      <c r="E141" s="65"/>
      <c r="F141" s="65"/>
      <c r="G141" s="118"/>
      <c r="H141" s="65"/>
      <c r="I141" s="66"/>
      <c r="J141" s="66"/>
    </row>
    <row r="142" spans="2:17">
      <c r="D142" s="65"/>
      <c r="E142" s="65"/>
      <c r="F142" s="65"/>
      <c r="G142" s="118"/>
      <c r="H142" s="65"/>
      <c r="I142" s="66"/>
      <c r="J142" s="66"/>
    </row>
    <row r="143" spans="2:17">
      <c r="D143" s="65"/>
      <c r="E143" s="65"/>
      <c r="F143" s="65"/>
      <c r="G143" s="118"/>
      <c r="H143" s="65"/>
      <c r="I143" s="66"/>
      <c r="J143" s="66"/>
    </row>
    <row r="144" spans="2:17">
      <c r="D144" s="65"/>
      <c r="E144" s="65"/>
      <c r="F144" s="65"/>
      <c r="G144" s="118"/>
      <c r="H144" s="65"/>
      <c r="I144" s="66"/>
      <c r="J144" s="66"/>
    </row>
    <row r="145" spans="4:10">
      <c r="D145" s="65"/>
      <c r="E145" s="65"/>
      <c r="F145" s="65"/>
      <c r="G145" s="118"/>
      <c r="H145" s="65"/>
      <c r="I145" s="66"/>
      <c r="J145" s="66"/>
    </row>
    <row r="146" spans="4:10">
      <c r="D146" s="65"/>
      <c r="E146" s="65"/>
      <c r="F146" s="65"/>
      <c r="G146" s="118"/>
      <c r="H146" s="65"/>
      <c r="I146" s="66"/>
      <c r="J146" s="66"/>
    </row>
    <row r="147" spans="4:10">
      <c r="D147" s="65"/>
      <c r="E147" s="65"/>
      <c r="F147" s="65"/>
      <c r="G147" s="118"/>
      <c r="H147" s="65"/>
      <c r="I147" s="66"/>
      <c r="J147" s="66"/>
    </row>
    <row r="148" spans="4:10">
      <c r="D148" s="65"/>
      <c r="E148" s="65"/>
      <c r="F148" s="65"/>
      <c r="G148" s="118"/>
      <c r="H148" s="65"/>
      <c r="I148" s="66"/>
      <c r="J148" s="66"/>
    </row>
    <row r="149" spans="4:10">
      <c r="D149" s="65"/>
      <c r="E149" s="65"/>
      <c r="F149" s="65"/>
      <c r="G149" s="118"/>
      <c r="H149" s="65"/>
      <c r="I149" s="66"/>
      <c r="J149" s="66"/>
    </row>
    <row r="150" spans="4:10">
      <c r="D150" s="65"/>
      <c r="E150" s="65"/>
      <c r="F150" s="65"/>
      <c r="G150" s="118"/>
      <c r="H150" s="65"/>
      <c r="I150" s="66"/>
      <c r="J150" s="66"/>
    </row>
  </sheetData>
  <printOptions headings="1" gridLines="1"/>
  <pageMargins left="0.35" right="0.34" top="0.98" bottom="1" header="0.5" footer="0.5"/>
  <pageSetup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"/>
  <dimension ref="A1:V161"/>
  <sheetViews>
    <sheetView zoomScale="75" zoomScaleNormal="12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ColWidth="8.85546875" defaultRowHeight="13.15" customHeight="1"/>
  <cols>
    <col min="1" max="1" width="5.140625" style="200" customWidth="1"/>
    <col min="2" max="2" width="29.140625" style="189" customWidth="1"/>
    <col min="3" max="3" width="7.28515625" style="188" customWidth="1"/>
    <col min="4" max="4" width="8.28515625" style="207" customWidth="1"/>
    <col min="5" max="5" width="8.42578125" style="189" customWidth="1"/>
    <col min="6" max="7" width="10.7109375" style="202" customWidth="1"/>
    <col min="8" max="8" width="10.7109375" style="190" customWidth="1"/>
    <col min="9" max="11" width="10.7109375" style="188" customWidth="1"/>
    <col min="12" max="12" width="10.7109375" style="186" customWidth="1"/>
    <col min="13" max="14" width="10.7109375" style="189" customWidth="1"/>
    <col min="15" max="15" width="8.85546875" style="190"/>
    <col min="16" max="18" width="8.85546875" style="189"/>
    <col min="19" max="20" width="8.85546875" style="191"/>
    <col min="21" max="16384" width="8.85546875" style="200"/>
  </cols>
  <sheetData>
    <row r="1" spans="1:22" ht="24.95" customHeight="1" thickBot="1">
      <c r="A1" s="192"/>
      <c r="B1" s="193" t="str">
        <f>"PRSP Macro/1-2-3 Model for " &amp; 'MACRO DATA'!D2 &amp;", " &amp; 'MACRO DATA'!D7</f>
        <v>PRSP Macro/1-2-3 Model for ZAMBIA, 2000</v>
      </c>
      <c r="C1" s="194"/>
      <c r="D1" s="195"/>
      <c r="E1" s="196"/>
      <c r="F1" s="197"/>
      <c r="G1" s="197"/>
      <c r="H1" s="198">
        <f>I1-1</f>
        <v>1999</v>
      </c>
      <c r="I1" s="199">
        <f>SCENARIO!D2</f>
        <v>2000</v>
      </c>
      <c r="J1" s="199">
        <f>SCENARIO!E2</f>
        <v>2001</v>
      </c>
      <c r="K1" s="199">
        <f>SCENARIO!F2</f>
        <v>2002</v>
      </c>
      <c r="L1" s="199">
        <f>SCENARIO!G2</f>
        <v>2003</v>
      </c>
      <c r="M1" s="199">
        <f>SCENARIO!H2</f>
        <v>0</v>
      </c>
      <c r="N1" s="199">
        <f>SCENARIO!I2</f>
        <v>0</v>
      </c>
      <c r="O1" s="199">
        <f>SCENARIO!J2</f>
        <v>0</v>
      </c>
      <c r="P1" s="199">
        <f>SCENARIO!K2</f>
        <v>0</v>
      </c>
      <c r="Q1" s="199">
        <f>SCENARIO!L2</f>
        <v>0</v>
      </c>
      <c r="R1" s="199">
        <f>SCENARIO!M2</f>
        <v>0</v>
      </c>
      <c r="S1" s="199">
        <f>SCENARIO!N2</f>
        <v>0</v>
      </c>
      <c r="T1" s="199">
        <f>SCENARIO!O2</f>
        <v>0</v>
      </c>
      <c r="U1" s="199">
        <f>SCENARIO!P2</f>
        <v>0</v>
      </c>
      <c r="V1" s="199">
        <f>SCENARIO!Q2</f>
        <v>0</v>
      </c>
    </row>
    <row r="2" spans="1:22" ht="23.45" customHeight="1" thickBot="1">
      <c r="B2" s="201"/>
      <c r="C2" s="945">
        <f>'MACRO DATA'!F3</f>
        <v>36993</v>
      </c>
      <c r="D2" s="945"/>
      <c r="G2" s="203" t="s">
        <v>1448</v>
      </c>
      <c r="H2" s="204"/>
      <c r="I2" s="948" t="s">
        <v>2061</v>
      </c>
      <c r="J2" s="949"/>
      <c r="P2" s="190"/>
      <c r="Q2" s="190"/>
      <c r="R2" s="190"/>
      <c r="S2" s="190"/>
      <c r="T2" s="190"/>
      <c r="U2" s="190"/>
      <c r="V2" s="190"/>
    </row>
    <row r="3" spans="1:22" ht="29.45" customHeight="1" thickBot="1">
      <c r="B3" s="205" t="s">
        <v>1510</v>
      </c>
      <c r="C3" s="206"/>
      <c r="F3" s="208" t="s">
        <v>2003</v>
      </c>
      <c r="G3" s="209"/>
      <c r="I3" s="359" t="s">
        <v>2060</v>
      </c>
      <c r="J3" s="356" t="s">
        <v>2360</v>
      </c>
      <c r="P3" s="190"/>
      <c r="Q3" s="190"/>
      <c r="R3" s="190"/>
      <c r="S3" s="190"/>
      <c r="T3" s="190"/>
      <c r="U3" s="190"/>
      <c r="V3" s="190"/>
    </row>
    <row r="4" spans="1:22" ht="13.15" customHeight="1" thickBot="1">
      <c r="B4" s="189" t="s">
        <v>1511</v>
      </c>
      <c r="C4" s="188" t="s">
        <v>1512</v>
      </c>
      <c r="D4" s="185">
        <v>2003</v>
      </c>
      <c r="F4" s="202" t="s">
        <v>1448</v>
      </c>
      <c r="I4" s="358" t="s">
        <v>2109</v>
      </c>
      <c r="J4" s="357" t="s">
        <v>2360</v>
      </c>
      <c r="P4" s="190"/>
      <c r="Q4" s="190"/>
      <c r="R4" s="190"/>
      <c r="S4" s="190"/>
      <c r="T4" s="190"/>
      <c r="U4" s="190"/>
      <c r="V4" s="190"/>
    </row>
    <row r="5" spans="1:22" ht="13.15" customHeight="1">
      <c r="B5" s="189" t="s">
        <v>1513</v>
      </c>
      <c r="C5" s="188" t="s">
        <v>1514</v>
      </c>
      <c r="D5" s="210">
        <f>'MACRO DATA'!D117</f>
        <v>0.6</v>
      </c>
      <c r="E5" s="211"/>
      <c r="P5" s="190"/>
      <c r="Q5" s="190"/>
      <c r="R5" s="190"/>
      <c r="S5" s="190"/>
      <c r="T5" s="190"/>
      <c r="U5" s="190"/>
      <c r="V5" s="190"/>
    </row>
    <row r="6" spans="1:22" ht="13.15" customHeight="1">
      <c r="B6" s="189" t="s">
        <v>1515</v>
      </c>
      <c r="C6" s="188" t="s">
        <v>1516</v>
      </c>
      <c r="D6" s="210">
        <f>'MACRO DATA'!D118</f>
        <v>0.6</v>
      </c>
      <c r="E6" s="211"/>
      <c r="F6" s="599" t="s">
        <v>2433</v>
      </c>
      <c r="P6" s="190"/>
      <c r="Q6" s="190"/>
      <c r="R6" s="190"/>
      <c r="S6" s="190"/>
      <c r="T6" s="190"/>
      <c r="U6" s="190"/>
      <c r="V6" s="190"/>
    </row>
    <row r="7" spans="1:22" ht="13.15" customHeight="1">
      <c r="D7" s="212"/>
      <c r="E7" s="211"/>
      <c r="F7" s="599" t="s">
        <v>292</v>
      </c>
      <c r="P7" s="190"/>
      <c r="Q7" s="190"/>
      <c r="R7" s="190"/>
      <c r="S7" s="190"/>
      <c r="T7" s="190"/>
      <c r="U7" s="190"/>
      <c r="V7" s="190"/>
    </row>
    <row r="8" spans="1:22" ht="24.95" customHeight="1">
      <c r="B8" s="205" t="s">
        <v>1517</v>
      </c>
      <c r="C8" s="206"/>
      <c r="D8" s="213" t="s">
        <v>1518</v>
      </c>
      <c r="E8" s="214"/>
      <c r="F8" s="215" t="s">
        <v>1519</v>
      </c>
      <c r="G8" s="213" t="s">
        <v>1520</v>
      </c>
      <c r="H8" s="216" t="s">
        <v>1927</v>
      </c>
      <c r="I8" s="217"/>
      <c r="J8" s="217"/>
      <c r="K8" s="706"/>
      <c r="L8" s="217"/>
      <c r="M8" s="217"/>
      <c r="N8" s="217"/>
      <c r="P8" s="190"/>
      <c r="Q8" s="190"/>
      <c r="R8" s="190"/>
      <c r="S8" s="190"/>
      <c r="T8" s="190"/>
      <c r="U8" s="190"/>
      <c r="V8" s="190"/>
    </row>
    <row r="9" spans="1:22" ht="24.95" customHeight="1">
      <c r="A9" s="218"/>
      <c r="B9" s="219" t="s">
        <v>1497</v>
      </c>
      <c r="F9" s="212">
        <f>INDEX($I9:$V9,A9,MATCH($D$4,I$1:V$1,0))</f>
        <v>0</v>
      </c>
      <c r="H9" s="186" t="s">
        <v>1930</v>
      </c>
      <c r="I9" s="188" t="s">
        <v>1448</v>
      </c>
      <c r="P9" s="190"/>
      <c r="Q9" s="190"/>
      <c r="R9" s="190"/>
      <c r="S9" s="190"/>
      <c r="T9" s="190"/>
      <c r="U9" s="190"/>
      <c r="V9" s="190"/>
    </row>
    <row r="10" spans="1:22" ht="13.15" customHeight="1">
      <c r="B10" s="189" t="s">
        <v>1521</v>
      </c>
      <c r="C10" s="188" t="s">
        <v>1522</v>
      </c>
      <c r="D10" s="207">
        <f>I10</f>
        <v>9.0549999999999997</v>
      </c>
      <c r="E10" s="188" t="s">
        <v>1523</v>
      </c>
      <c r="F10" s="212">
        <v>16.567945432086873</v>
      </c>
      <c r="G10" s="207">
        <f>GDP/GDP0</f>
        <v>1.8297013177346078</v>
      </c>
      <c r="H10" s="207">
        <f>(Cn0+G0+Z0)*Pt0 - wm0*Er0*M0 + we0*Er0*E0</f>
        <v>9.0549999999999997</v>
      </c>
      <c r="I10" s="207">
        <f>'MACRO DATA'!$D13/scale*'1-2-3'!I11*'1-2-3'!I12</f>
        <v>9.0549999999999997</v>
      </c>
      <c r="J10" s="207">
        <f>'MACRO DATA'!$D13/scale*'1-2-3'!J11*'1-2-3'!J12</f>
        <v>11.798585063175413</v>
      </c>
      <c r="K10" s="207">
        <f>'MACRO DATA'!$D13/scale*'1-2-3'!K11*'1-2-3'!K12</f>
        <v>14.350503195270681</v>
      </c>
      <c r="L10" s="207">
        <f>'MACRO DATA'!$D13/scale*'1-2-3'!L11*'1-2-3'!L12</f>
        <v>16.919921735171815</v>
      </c>
      <c r="M10" s="207" t="e">
        <f>'MACRO DATA'!$D13/scale*'1-2-3'!M11*'1-2-3'!M12</f>
        <v>#VALUE!</v>
      </c>
      <c r="N10" s="207" t="e">
        <f>'MACRO DATA'!$D13/scale*'1-2-3'!N11*'1-2-3'!N12</f>
        <v>#VALUE!</v>
      </c>
      <c r="O10" s="207" t="e">
        <f>'MACRO DATA'!$D13/scale*'1-2-3'!O11*'1-2-3'!O12</f>
        <v>#VALUE!</v>
      </c>
      <c r="P10" s="207" t="e">
        <f>'MACRO DATA'!$D13/scale*'1-2-3'!P11*'1-2-3'!P12</f>
        <v>#VALUE!</v>
      </c>
      <c r="Q10" s="207" t="e">
        <f>'MACRO DATA'!$D13/scale*'1-2-3'!Q11*'1-2-3'!Q12</f>
        <v>#VALUE!</v>
      </c>
      <c r="R10" s="207" t="e">
        <f>'MACRO DATA'!$D13/scale*'1-2-3'!R11*'1-2-3'!R12</f>
        <v>#VALUE!</v>
      </c>
      <c r="S10" s="207" t="e">
        <f>'MACRO DATA'!$D13/scale*'1-2-3'!S11*'1-2-3'!S12</f>
        <v>#VALUE!</v>
      </c>
      <c r="T10" s="207" t="e">
        <f>'MACRO DATA'!$D13/scale*'1-2-3'!T11*'1-2-3'!T12</f>
        <v>#VALUE!</v>
      </c>
      <c r="U10" s="207" t="e">
        <f>'MACRO DATA'!$D13/scale*'1-2-3'!U11*'1-2-3'!U12</f>
        <v>#VALUE!</v>
      </c>
      <c r="V10" s="207" t="e">
        <f>'MACRO DATA'!$D13/scale*'1-2-3'!V11*'1-2-3'!V12</f>
        <v>#VALUE!</v>
      </c>
    </row>
    <row r="11" spans="1:22" ht="13.15" customHeight="1">
      <c r="B11" s="189" t="s">
        <v>1524</v>
      </c>
      <c r="C11" s="188" t="s">
        <v>1525</v>
      </c>
      <c r="D11" s="207">
        <f>I11</f>
        <v>1</v>
      </c>
      <c r="E11" s="188" t="s">
        <v>1526</v>
      </c>
      <c r="F11" s="212">
        <v>1.1266523717010366</v>
      </c>
      <c r="G11" s="207">
        <f>F11/D11</f>
        <v>1.1266523717010366</v>
      </c>
      <c r="I11" s="212">
        <v>1</v>
      </c>
      <c r="J11" s="212">
        <f>I11*(1+SCENARIO!E4)</f>
        <v>1.0432275196789491</v>
      </c>
      <c r="K11" s="212">
        <f>J11*(1+SCENARIO!F4)</f>
        <v>1.0826513580830295</v>
      </c>
      <c r="L11" s="212">
        <f>K11*(1+SCENARIO!G4)</f>
        <v>1.1266523717010366</v>
      </c>
      <c r="M11" s="212" t="e">
        <f>L11*(1+SCENARIO!H4)</f>
        <v>#VALUE!</v>
      </c>
      <c r="N11" s="212" t="e">
        <f>M11*(1+SCENARIO!I4)</f>
        <v>#VALUE!</v>
      </c>
      <c r="O11" s="212" t="e">
        <f>N11*(1+SCENARIO!J4)</f>
        <v>#VALUE!</v>
      </c>
      <c r="P11" s="212" t="e">
        <f>O11*(1+SCENARIO!K4)</f>
        <v>#VALUE!</v>
      </c>
      <c r="Q11" s="212" t="e">
        <f>P11*(1+SCENARIO!L4)</f>
        <v>#VALUE!</v>
      </c>
      <c r="R11" s="212" t="e">
        <f>Q11*(1+SCENARIO!M4)</f>
        <v>#VALUE!</v>
      </c>
      <c r="S11" s="212" t="e">
        <f>R11*(1+SCENARIO!N4)</f>
        <v>#VALUE!</v>
      </c>
      <c r="T11" s="212" t="e">
        <f>S11*(1+SCENARIO!O4)</f>
        <v>#VALUE!</v>
      </c>
      <c r="U11" s="212" t="e">
        <f>T11*(1+SCENARIO!P4)</f>
        <v>#VALUE!</v>
      </c>
      <c r="V11" s="212" t="e">
        <f>U11*(1+SCENARIO!Q4)</f>
        <v>#VALUE!</v>
      </c>
    </row>
    <row r="12" spans="1:22" ht="13.15" customHeight="1">
      <c r="B12" s="189" t="s">
        <v>1527</v>
      </c>
      <c r="C12" s="188" t="s">
        <v>1528</v>
      </c>
      <c r="D12" s="207">
        <v>1</v>
      </c>
      <c r="E12" s="188" t="s">
        <v>1529</v>
      </c>
      <c r="F12" s="212">
        <v>1.6585171240000001</v>
      </c>
      <c r="G12" s="207">
        <f>F12/D12</f>
        <v>1.6585171240000001</v>
      </c>
      <c r="I12" s="221">
        <v>1</v>
      </c>
      <c r="J12" s="212">
        <f>I12*(1+SCENARIO!E5)</f>
        <v>1.2490000000000001</v>
      </c>
      <c r="K12" s="212">
        <f>J12*(1+SCENARIO!F5)</f>
        <v>1.4638280000000001</v>
      </c>
      <c r="L12" s="212">
        <f>K12*(1+SCENARIO!G5)</f>
        <v>1.6585171240000001</v>
      </c>
      <c r="M12" s="212">
        <f>L12*(1+SCENARIO!H5)</f>
        <v>1.6585171240000001</v>
      </c>
      <c r="N12" s="212">
        <f>M12*(1+SCENARIO!I5)</f>
        <v>1.6585171240000001</v>
      </c>
      <c r="O12" s="212">
        <f>N12*(1+SCENARIO!J5)</f>
        <v>1.6585171240000001</v>
      </c>
      <c r="P12" s="212">
        <f>O12*(1+SCENARIO!K5)</f>
        <v>1.6585171240000001</v>
      </c>
      <c r="Q12" s="212">
        <f>P12*(1+SCENARIO!L5)</f>
        <v>1.6585171240000001</v>
      </c>
      <c r="R12" s="212">
        <f>Q12*(1+SCENARIO!M5)</f>
        <v>1.6585171240000001</v>
      </c>
      <c r="S12" s="212">
        <f>R12*(1+SCENARIO!N5)</f>
        <v>1.6585171240000001</v>
      </c>
      <c r="T12" s="212">
        <f>S12*(1+SCENARIO!O5)</f>
        <v>1.6585171240000001</v>
      </c>
      <c r="U12" s="212">
        <f>T12*(1+SCENARIO!P5)</f>
        <v>1.6585171240000001</v>
      </c>
      <c r="V12" s="212">
        <f>U12*(1+SCENARIO!Q5)</f>
        <v>1.6585171240000001</v>
      </c>
    </row>
    <row r="13" spans="1:22" ht="24.95" customHeight="1">
      <c r="B13" s="189" t="s">
        <v>1530</v>
      </c>
      <c r="C13" s="188" t="s">
        <v>1531</v>
      </c>
      <c r="D13" s="207">
        <f>I13</f>
        <v>8.0380000000000003</v>
      </c>
      <c r="E13" s="188" t="s">
        <v>1532</v>
      </c>
      <c r="F13" s="212">
        <v>9.0560317637329319</v>
      </c>
      <c r="G13" s="207">
        <f>X/X0</f>
        <v>1.1266523717010366</v>
      </c>
      <c r="H13" s="186" t="s">
        <v>1928</v>
      </c>
      <c r="I13" s="207">
        <f>'MACRO DATA'!D20/scale</f>
        <v>8.0380000000000003</v>
      </c>
      <c r="J13" s="207">
        <f>X0*'1-2-3'!J11</f>
        <v>8.3854628031793936</v>
      </c>
      <c r="K13" s="207">
        <f>X0*'1-2-3'!K11</f>
        <v>8.7023516162713914</v>
      </c>
      <c r="L13" s="207">
        <f>X0*'1-2-3'!L11</f>
        <v>9.0560317637329319</v>
      </c>
      <c r="M13" s="207" t="e">
        <f>X0*'1-2-3'!M11</f>
        <v>#VALUE!</v>
      </c>
      <c r="N13" s="207" t="e">
        <f>X0*'1-2-3'!N11</f>
        <v>#VALUE!</v>
      </c>
      <c r="O13" s="207" t="e">
        <f>X0*'1-2-3'!O11</f>
        <v>#VALUE!</v>
      </c>
      <c r="P13" s="207" t="e">
        <f>X0*'1-2-3'!P11</f>
        <v>#VALUE!</v>
      </c>
      <c r="Q13" s="207" t="e">
        <f>X0*'1-2-3'!Q11</f>
        <v>#VALUE!</v>
      </c>
      <c r="R13" s="207" t="e">
        <f>X0*'1-2-3'!R11</f>
        <v>#VALUE!</v>
      </c>
      <c r="S13" s="207" t="e">
        <f>X0*'1-2-3'!S11</f>
        <v>#VALUE!</v>
      </c>
      <c r="T13" s="207" t="e">
        <f>X0*'1-2-3'!T11</f>
        <v>#VALUE!</v>
      </c>
      <c r="U13" s="207" t="e">
        <f>X0*'1-2-3'!U11</f>
        <v>#VALUE!</v>
      </c>
      <c r="V13" s="207" t="e">
        <f>X0*'1-2-3'!V11</f>
        <v>#VALUE!</v>
      </c>
    </row>
    <row r="14" spans="1:22" ht="13.15" customHeight="1">
      <c r="B14" s="189" t="s">
        <v>1533</v>
      </c>
      <c r="C14" s="188" t="s">
        <v>1534</v>
      </c>
      <c r="D14" s="207">
        <f>1</f>
        <v>1</v>
      </c>
      <c r="E14" s="207" t="s">
        <v>1535</v>
      </c>
      <c r="F14" s="212">
        <v>1.6295097951694106</v>
      </c>
      <c r="G14" s="207">
        <f>Px/Px0</f>
        <v>1.6295097951694106</v>
      </c>
      <c r="H14" s="186" t="s">
        <v>1929</v>
      </c>
      <c r="I14" s="207">
        <f>Px0*'1-2-3'!I12</f>
        <v>1</v>
      </c>
      <c r="J14" s="207">
        <f>Px0*'1-2-3'!J12</f>
        <v>1.2490000000000001</v>
      </c>
      <c r="K14" s="207">
        <f>Px0*'1-2-3'!K12</f>
        <v>1.4638280000000001</v>
      </c>
      <c r="L14" s="207">
        <f>Px0*'1-2-3'!L12</f>
        <v>1.6585171240000001</v>
      </c>
      <c r="M14" s="207">
        <f>Px0*'1-2-3'!M12</f>
        <v>1.6585171240000001</v>
      </c>
      <c r="N14" s="207">
        <f>Px0*'1-2-3'!N12</f>
        <v>1.6585171240000001</v>
      </c>
      <c r="O14" s="207">
        <f>Px0*'1-2-3'!O12</f>
        <v>1.6585171240000001</v>
      </c>
      <c r="P14" s="207">
        <f>Px0*'1-2-3'!P12</f>
        <v>1.6585171240000001</v>
      </c>
      <c r="Q14" s="207">
        <f>Px0*'1-2-3'!Q12</f>
        <v>1.6585171240000001</v>
      </c>
      <c r="R14" s="207">
        <f>Px0*'1-2-3'!R12</f>
        <v>1.6585171240000001</v>
      </c>
      <c r="S14" s="207">
        <f>Px0*'1-2-3'!S12</f>
        <v>1.6585171240000001</v>
      </c>
      <c r="T14" s="207">
        <f>Px0*'1-2-3'!T12</f>
        <v>1.6585171240000001</v>
      </c>
      <c r="U14" s="207">
        <f>Px0*'1-2-3'!U12</f>
        <v>1.6585171240000001</v>
      </c>
      <c r="V14" s="207">
        <f>Px0*'1-2-3'!V12</f>
        <v>1.6585171240000001</v>
      </c>
    </row>
    <row r="15" spans="1:22" ht="14.25" customHeight="1">
      <c r="B15" s="189" t="s">
        <v>1536</v>
      </c>
      <c r="C15" s="188" t="s">
        <v>1537</v>
      </c>
      <c r="D15" s="207">
        <f>I15</f>
        <v>1.588183458490952</v>
      </c>
      <c r="E15" s="188" t="s">
        <v>1538</v>
      </c>
      <c r="F15" s="212">
        <v>1.3649589626576759</v>
      </c>
      <c r="G15" s="207">
        <f>Z/Z0</f>
        <v>0.85944665609011073</v>
      </c>
      <c r="H15" s="207">
        <f>Z0*Pt0-S0</f>
        <v>0</v>
      </c>
      <c r="I15" s="212">
        <f>'MACRO DATA'!D16/scale/Pt0</f>
        <v>1.588183458490952</v>
      </c>
      <c r="J15" s="212">
        <f>SCENARIO!E7*J13/Pt0</f>
        <v>1.6675926314154998</v>
      </c>
      <c r="K15" s="212">
        <f>SCENARIO!F7*K13/Pt0</f>
        <v>1.8491814064411163</v>
      </c>
      <c r="L15" s="212">
        <f>SCENARIO!G7*L13/Pt0</f>
        <v>2.0924014582675809</v>
      </c>
      <c r="M15" s="212" t="e">
        <f>SCENARIO!H7*M13/Pt0</f>
        <v>#VALUE!</v>
      </c>
      <c r="N15" s="212" t="e">
        <f>SCENARIO!I7*N13/Pt0</f>
        <v>#VALUE!</v>
      </c>
      <c r="O15" s="212" t="e">
        <f>SCENARIO!J7*O13/Pt0</f>
        <v>#VALUE!</v>
      </c>
      <c r="P15" s="212" t="e">
        <f>SCENARIO!K7*P13/Pt0</f>
        <v>#VALUE!</v>
      </c>
      <c r="Q15" s="212" t="e">
        <f>SCENARIO!L7*Q13/Pt0</f>
        <v>#VALUE!</v>
      </c>
      <c r="R15" s="212" t="e">
        <f>SCENARIO!M7*R13/Pt0</f>
        <v>#VALUE!</v>
      </c>
      <c r="S15" s="212" t="e">
        <f>SCENARIO!N7*S13/Pt0</f>
        <v>#VALUE!</v>
      </c>
      <c r="T15" s="212" t="e">
        <f>SCENARIO!O7*T13/Pt0</f>
        <v>#VALUE!</v>
      </c>
      <c r="U15" s="212" t="e">
        <f>SCENARIO!P7*U13/Pt0</f>
        <v>#VALUE!</v>
      </c>
      <c r="V15" s="212" t="e">
        <f>SCENARIO!Q7*V13/Pt0</f>
        <v>#VALUE!</v>
      </c>
    </row>
    <row r="16" spans="1:22" ht="13.15" customHeight="1">
      <c r="B16" s="189" t="s">
        <v>1539</v>
      </c>
      <c r="C16" s="188" t="s">
        <v>1540</v>
      </c>
      <c r="D16" s="207">
        <f>(Y0 - Cn0*Pt0 - ty0*Y0)/Y0</f>
        <v>-9.4751130437463804E-2</v>
      </c>
      <c r="E16" s="211" t="s">
        <v>1541</v>
      </c>
      <c r="F16" s="212">
        <v>-9.4751130437463804E-2</v>
      </c>
      <c r="G16" s="207">
        <f>sy/sy0</f>
        <v>1</v>
      </c>
      <c r="I16" s="207">
        <f>SCENARIO!D129</f>
        <v>-9.4751130437463804E-2</v>
      </c>
      <c r="J16" s="207">
        <f>SCENARIO!E129</f>
        <v>-9.4751130437463804E-2</v>
      </c>
      <c r="K16" s="207">
        <f>SCENARIO!F129</f>
        <v>-9.4751130437463804E-2</v>
      </c>
      <c r="L16" s="207">
        <f>SCENARIO!G129</f>
        <v>-9.4751130437463804E-2</v>
      </c>
      <c r="M16" s="207">
        <f>SCENARIO!H129</f>
        <v>-9.4751130437463804E-2</v>
      </c>
      <c r="N16" s="207">
        <f>SCENARIO!I129</f>
        <v>-9.4751130437463804E-2</v>
      </c>
      <c r="O16" s="207">
        <f>SCENARIO!J129</f>
        <v>-9.4751130437463804E-2</v>
      </c>
      <c r="P16" s="207">
        <f>SCENARIO!K129</f>
        <v>-9.4751130437463804E-2</v>
      </c>
      <c r="Q16" s="207">
        <f>SCENARIO!L129</f>
        <v>-9.4751130437463804E-2</v>
      </c>
      <c r="R16" s="207">
        <f>SCENARIO!M129</f>
        <v>-9.4751130437463804E-2</v>
      </c>
      <c r="S16" s="207">
        <f>SCENARIO!N129</f>
        <v>-9.4751130437463804E-2</v>
      </c>
      <c r="T16" s="207">
        <f>SCENARIO!O129</f>
        <v>-9.4751130437463804E-2</v>
      </c>
      <c r="U16" s="207">
        <f>SCENARIO!P129</f>
        <v>-9.4751130437463804E-2</v>
      </c>
      <c r="V16" s="207">
        <f>SCENARIO!Q129</f>
        <v>-9.4751130437463804E-2</v>
      </c>
    </row>
    <row r="17" spans="2:22" ht="24.95" customHeight="1">
      <c r="B17" s="219" t="s">
        <v>1542</v>
      </c>
      <c r="E17" s="211"/>
      <c r="F17" s="212">
        <v>0</v>
      </c>
      <c r="I17" s="202"/>
      <c r="J17" s="207"/>
      <c r="K17" s="207"/>
      <c r="L17" s="207"/>
      <c r="M17" s="207"/>
      <c r="O17" s="189"/>
      <c r="S17" s="189"/>
      <c r="T17" s="189"/>
      <c r="U17" s="189"/>
      <c r="V17" s="189"/>
    </row>
    <row r="18" spans="2:22" ht="20.100000000000001" customHeight="1">
      <c r="B18" s="189" t="s">
        <v>1543</v>
      </c>
      <c r="C18" s="188" t="s">
        <v>1544</v>
      </c>
      <c r="D18" s="207">
        <f t="shared" ref="D18:D25" si="0">I18</f>
        <v>0.14397002876796092</v>
      </c>
      <c r="E18" s="211" t="s">
        <v>1545</v>
      </c>
      <c r="F18" s="212">
        <v>0.10125565684367988</v>
      </c>
      <c r="G18" s="207">
        <f>tm/tm0</f>
        <v>0.7033106661864702</v>
      </c>
      <c r="I18" s="207">
        <f>SCENARIO!D16</f>
        <v>0.14397002876796092</v>
      </c>
      <c r="J18" s="207">
        <f>SCENARIO!E16</f>
        <v>9.793765891326868E-2</v>
      </c>
      <c r="K18" s="207">
        <f>SCENARIO!F16</f>
        <v>0.10427786296477044</v>
      </c>
      <c r="L18" s="207">
        <f>SCENARIO!G16</f>
        <v>0.10125565684367988</v>
      </c>
      <c r="M18" s="207" t="e">
        <f>SCENARIO!H16</f>
        <v>#DIV/0!</v>
      </c>
      <c r="N18" s="207" t="e">
        <f>SCENARIO!I16</f>
        <v>#DIV/0!</v>
      </c>
      <c r="O18" s="207" t="e">
        <f>SCENARIO!J16</f>
        <v>#DIV/0!</v>
      </c>
      <c r="P18" s="207" t="e">
        <f>SCENARIO!K16</f>
        <v>#DIV/0!</v>
      </c>
      <c r="Q18" s="207" t="e">
        <f>SCENARIO!L16</f>
        <v>#DIV/0!</v>
      </c>
      <c r="R18" s="207" t="e">
        <f>SCENARIO!M16</f>
        <v>#DIV/0!</v>
      </c>
      <c r="S18" s="207" t="e">
        <f>SCENARIO!N16</f>
        <v>#DIV/0!</v>
      </c>
      <c r="T18" s="207" t="e">
        <f>SCENARIO!O16</f>
        <v>#DIV/0!</v>
      </c>
      <c r="U18" s="207" t="e">
        <f>SCENARIO!P16</f>
        <v>#DIV/0!</v>
      </c>
      <c r="V18" s="207" t="e">
        <f>SCENARIO!Q16</f>
        <v>#DIV/0!</v>
      </c>
    </row>
    <row r="19" spans="2:22" ht="13.15" customHeight="1">
      <c r="B19" s="189" t="s">
        <v>1546</v>
      </c>
      <c r="C19" s="188" t="s">
        <v>1547</v>
      </c>
      <c r="D19" s="207">
        <f t="shared" si="0"/>
        <v>0</v>
      </c>
      <c r="E19" s="211" t="s">
        <v>1548</v>
      </c>
      <c r="F19" s="212">
        <v>0</v>
      </c>
      <c r="G19" s="207">
        <f>IF(D19,F19/D19,F19)</f>
        <v>0</v>
      </c>
      <c r="H19" s="190" t="s">
        <v>1448</v>
      </c>
      <c r="I19" s="207">
        <f>SCENARIO!D19</f>
        <v>0</v>
      </c>
      <c r="J19" s="207">
        <f>SCENARIO!E19</f>
        <v>0</v>
      </c>
      <c r="K19" s="207">
        <f>SCENARIO!F19</f>
        <v>0</v>
      </c>
      <c r="L19" s="207">
        <f>SCENARIO!G19</f>
        <v>0</v>
      </c>
      <c r="M19" s="207" t="e">
        <f>SCENARIO!H19</f>
        <v>#DIV/0!</v>
      </c>
      <c r="N19" s="207" t="e">
        <f>SCENARIO!I19</f>
        <v>#DIV/0!</v>
      </c>
      <c r="O19" s="207" t="e">
        <f>SCENARIO!J19</f>
        <v>#DIV/0!</v>
      </c>
      <c r="P19" s="207" t="e">
        <f>SCENARIO!K19</f>
        <v>#DIV/0!</v>
      </c>
      <c r="Q19" s="207" t="e">
        <f>SCENARIO!L19</f>
        <v>#DIV/0!</v>
      </c>
      <c r="R19" s="207" t="e">
        <f>SCENARIO!M19</f>
        <v>#DIV/0!</v>
      </c>
      <c r="S19" s="207" t="e">
        <f>SCENARIO!N19</f>
        <v>#DIV/0!</v>
      </c>
      <c r="T19" s="207" t="e">
        <f>SCENARIO!O19</f>
        <v>#DIV/0!</v>
      </c>
      <c r="U19" s="207" t="e">
        <f>SCENARIO!P19</f>
        <v>#DIV/0!</v>
      </c>
      <c r="V19" s="207" t="e">
        <f>SCENARIO!Q19</f>
        <v>#DIV/0!</v>
      </c>
    </row>
    <row r="20" spans="2:22" ht="13.15" customHeight="1">
      <c r="B20" s="189" t="s">
        <v>1549</v>
      </c>
      <c r="C20" s="188" t="s">
        <v>1550</v>
      </c>
      <c r="D20" s="207">
        <f t="shared" si="0"/>
        <v>5.0733618104727055E-2</v>
      </c>
      <c r="E20" s="211" t="s">
        <v>1551</v>
      </c>
      <c r="F20" s="212">
        <v>7.0862452426071948E-2</v>
      </c>
      <c r="G20" s="207">
        <f>ts/ts0</f>
        <v>1.3967553482937858</v>
      </c>
      <c r="I20" s="207">
        <f>SCENARIO!D13</f>
        <v>5.0733618104727055E-2</v>
      </c>
      <c r="J20" s="207">
        <f>SCENARIO!E13</f>
        <v>6.4051158027854327E-2</v>
      </c>
      <c r="K20" s="207">
        <f>SCENARIO!F13</f>
        <v>6.7812505089949099E-2</v>
      </c>
      <c r="L20" s="207">
        <f>SCENARIO!G13</f>
        <v>7.0862452426071948E-2</v>
      </c>
      <c r="M20" s="207">
        <f>SCENARIO!H13</f>
        <v>0</v>
      </c>
      <c r="N20" s="207" t="e">
        <f>SCENARIO!I13</f>
        <v>#DIV/0!</v>
      </c>
      <c r="O20" s="207" t="e">
        <f>SCENARIO!J13</f>
        <v>#DIV/0!</v>
      </c>
      <c r="P20" s="207" t="e">
        <f>SCENARIO!K13</f>
        <v>#DIV/0!</v>
      </c>
      <c r="Q20" s="207" t="e">
        <f>SCENARIO!L13</f>
        <v>#DIV/0!</v>
      </c>
      <c r="R20" s="207" t="e">
        <f>SCENARIO!M13</f>
        <v>#DIV/0!</v>
      </c>
      <c r="S20" s="207" t="e">
        <f>SCENARIO!N13</f>
        <v>#DIV/0!</v>
      </c>
      <c r="T20" s="207" t="e">
        <f>SCENARIO!O13</f>
        <v>#DIV/0!</v>
      </c>
      <c r="U20" s="207" t="e">
        <f>SCENARIO!P13</f>
        <v>#DIV/0!</v>
      </c>
      <c r="V20" s="207" t="e">
        <f>SCENARIO!Q13</f>
        <v>#DIV/0!</v>
      </c>
    </row>
    <row r="21" spans="2:22" ht="13.15" customHeight="1">
      <c r="B21" s="189" t="s">
        <v>1552</v>
      </c>
      <c r="C21" s="188" t="s">
        <v>1553</v>
      </c>
      <c r="D21" s="207">
        <f t="shared" si="0"/>
        <v>0.10404266988908396</v>
      </c>
      <c r="E21" s="188" t="s">
        <v>1554</v>
      </c>
      <c r="F21" s="212">
        <v>7.653739605884792E-2</v>
      </c>
      <c r="G21" s="207">
        <f>ty/ty0</f>
        <v>0.73563467892972756</v>
      </c>
      <c r="I21" s="207">
        <f>SCENARIO!D22</f>
        <v>0.10404266988908396</v>
      </c>
      <c r="J21" s="207">
        <f>SCENARIO!E22</f>
        <v>7.657952494984116E-2</v>
      </c>
      <c r="K21" s="207">
        <f>SCENARIO!F22</f>
        <v>7.2095348730751324E-2</v>
      </c>
      <c r="L21" s="207">
        <f>SCENARIO!G22</f>
        <v>7.653739605884792E-2</v>
      </c>
      <c r="M21" s="207" t="e">
        <f>SCENARIO!H22</f>
        <v>#VALUE!</v>
      </c>
      <c r="N21" s="207" t="e">
        <f>SCENARIO!I22</f>
        <v>#VALUE!</v>
      </c>
      <c r="O21" s="207" t="e">
        <f>SCENARIO!J22</f>
        <v>#VALUE!</v>
      </c>
      <c r="P21" s="207" t="e">
        <f>SCENARIO!K22</f>
        <v>#VALUE!</v>
      </c>
      <c r="Q21" s="207" t="e">
        <f>SCENARIO!L22</f>
        <v>#VALUE!</v>
      </c>
      <c r="R21" s="207" t="e">
        <f>SCENARIO!M22</f>
        <v>#VALUE!</v>
      </c>
      <c r="S21" s="207" t="e">
        <f>SCENARIO!N22</f>
        <v>#VALUE!</v>
      </c>
      <c r="T21" s="207" t="e">
        <f>SCENARIO!O22</f>
        <v>#VALUE!</v>
      </c>
      <c r="U21" s="207" t="e">
        <f>SCENARIO!P22</f>
        <v>#VALUE!</v>
      </c>
      <c r="V21" s="207" t="e">
        <f>SCENARIO!Q22</f>
        <v>#VALUE!</v>
      </c>
    </row>
    <row r="22" spans="2:22" ht="24.95" customHeight="1">
      <c r="B22" s="189" t="s">
        <v>1555</v>
      </c>
      <c r="C22" s="188" t="s">
        <v>1556</v>
      </c>
      <c r="D22" s="207">
        <f t="shared" si="0"/>
        <v>0.87624576843258351</v>
      </c>
      <c r="E22" s="211" t="s">
        <v>1557</v>
      </c>
      <c r="F22" s="212">
        <v>1.1584813226684683</v>
      </c>
      <c r="G22" s="207">
        <f>G/G0</f>
        <v>1.3220963391820355</v>
      </c>
      <c r="H22" s="190" t="s">
        <v>1448</v>
      </c>
      <c r="I22" s="212">
        <f>'MACRO DATA'!D15/scale/Pt0</f>
        <v>0.87624576843258351</v>
      </c>
      <c r="J22" s="207">
        <f>SCENARIO!E36*J13/Pt0</f>
        <v>1.07269964294054</v>
      </c>
      <c r="K22" s="207">
        <f>SCENARIO!F36*K13/Pt0</f>
        <v>1.1132372405227215</v>
      </c>
      <c r="L22" s="207">
        <f>SCENARIO!G36*L13/Pt0</f>
        <v>1.1584813226684683</v>
      </c>
      <c r="M22" s="207" t="e">
        <f>SCENARIO!H36*M13/Pt0</f>
        <v>#VALUE!</v>
      </c>
      <c r="N22" s="207" t="e">
        <f>SCENARIO!I36*N13/Pt0</f>
        <v>#VALUE!</v>
      </c>
      <c r="O22" s="207" t="e">
        <f>SCENARIO!J36*O13/Pt0</f>
        <v>#VALUE!</v>
      </c>
      <c r="P22" s="207" t="e">
        <f>SCENARIO!K36*P13/Pt0</f>
        <v>#VALUE!</v>
      </c>
      <c r="Q22" s="207" t="e">
        <f>SCENARIO!L36*Q13/Pt0</f>
        <v>#VALUE!</v>
      </c>
      <c r="R22" s="207" t="e">
        <f>SCENARIO!M36*R13/Pt0</f>
        <v>#VALUE!</v>
      </c>
      <c r="S22" s="207" t="e">
        <f>SCENARIO!N36*S13/Pt0</f>
        <v>#VALUE!</v>
      </c>
      <c r="T22" s="207" t="e">
        <f>SCENARIO!O36*T13/Pt0</f>
        <v>#VALUE!</v>
      </c>
      <c r="U22" s="207" t="e">
        <f>SCENARIO!P36*U13/Pt0</f>
        <v>#VALUE!</v>
      </c>
      <c r="V22" s="207" t="e">
        <f>SCENARIO!Q36*V13/Pt0</f>
        <v>#VALUE!</v>
      </c>
    </row>
    <row r="23" spans="2:22" ht="13.15" customHeight="1">
      <c r="B23" s="189" t="s">
        <v>1558</v>
      </c>
      <c r="C23" s="188" t="s">
        <v>1559</v>
      </c>
      <c r="D23" s="207">
        <f t="shared" si="0"/>
        <v>0.33700000000000002</v>
      </c>
      <c r="E23" s="211" t="s">
        <v>1560</v>
      </c>
      <c r="F23" s="212">
        <v>0.40328764944038692</v>
      </c>
      <c r="G23" s="207">
        <f>tr/tr0</f>
        <v>1.1966992564996644</v>
      </c>
      <c r="H23" s="186" t="s">
        <v>1448</v>
      </c>
      <c r="I23" s="207">
        <f>(SCENARIO!D47+SCENARIO!D51-SCENARIO!D25-SCENARIO!D31)*I13</f>
        <v>0.33700000000000002</v>
      </c>
      <c r="J23" s="207">
        <f>(SCENARIO!E47+SCENARIO!E51-SCENARIO!E25-SCENARIO!E31)*J13</f>
        <v>0.44515612489992001</v>
      </c>
      <c r="K23" s="207">
        <f>(SCENARIO!F47+SCENARIO!F51-SCENARIO!F25-SCENARIO!F31)*K13</f>
        <v>0.40783480026341901</v>
      </c>
      <c r="L23" s="207">
        <f>(SCENARIO!G47+SCENARIO!G51-SCENARIO!G25-SCENARIO!G31)*L13</f>
        <v>0.39553405298455035</v>
      </c>
      <c r="M23" s="207" t="e">
        <f>(SCENARIO!H47+SCENARIO!H51-SCENARIO!H25-SCENARIO!H31)*M13</f>
        <v>#VALUE!</v>
      </c>
      <c r="N23" s="207" t="e">
        <f>(SCENARIO!I47+SCENARIO!I51-SCENARIO!I25-SCENARIO!I31)*N13</f>
        <v>#VALUE!</v>
      </c>
      <c r="O23" s="207" t="e">
        <f>(SCENARIO!J47+SCENARIO!J51-SCENARIO!J25-SCENARIO!J31)*O13</f>
        <v>#VALUE!</v>
      </c>
      <c r="P23" s="207" t="e">
        <f>(SCENARIO!K47+SCENARIO!K51-SCENARIO!K25-SCENARIO!K31)*P13</f>
        <v>#VALUE!</v>
      </c>
      <c r="Q23" s="207" t="e">
        <f>(SCENARIO!L47+SCENARIO!L51-SCENARIO!L25-SCENARIO!L31)*Q13</f>
        <v>#VALUE!</v>
      </c>
      <c r="R23" s="207" t="e">
        <f>(SCENARIO!M47+SCENARIO!M51-SCENARIO!M25-SCENARIO!M31)*R13</f>
        <v>#VALUE!</v>
      </c>
      <c r="S23" s="207" t="e">
        <f>(SCENARIO!N47+SCENARIO!N51-SCENARIO!N25-SCENARIO!N31)*S13</f>
        <v>#VALUE!</v>
      </c>
      <c r="T23" s="207" t="e">
        <f>(SCENARIO!O47+SCENARIO!O51-SCENARIO!O25-SCENARIO!O31)*T13</f>
        <v>#VALUE!</v>
      </c>
      <c r="U23" s="207" t="e">
        <f>(SCENARIO!P47+SCENARIO!P51-SCENARIO!P25-SCENARIO!P31)*U13</f>
        <v>#VALUE!</v>
      </c>
      <c r="V23" s="207" t="e">
        <f>(SCENARIO!Q47+SCENARIO!Q51-SCENARIO!Q25-SCENARIO!Q31)*V13</f>
        <v>#VALUE!</v>
      </c>
    </row>
    <row r="24" spans="2:22" ht="13.15" customHeight="1">
      <c r="B24" s="189" t="s">
        <v>1561</v>
      </c>
      <c r="C24" s="188" t="s">
        <v>1562</v>
      </c>
      <c r="D24" s="207">
        <f t="shared" si="0"/>
        <v>0</v>
      </c>
      <c r="E24" s="188" t="s">
        <v>1563</v>
      </c>
      <c r="F24" s="212">
        <v>0</v>
      </c>
      <c r="G24" s="207">
        <f t="shared" ref="G24:G32" si="1">IF(D24,F24/D24,F24)</f>
        <v>0</v>
      </c>
      <c r="I24" s="207">
        <f>SCENARIO!D43</f>
        <v>0</v>
      </c>
      <c r="J24" s="207">
        <f>SCENARIO!E43</f>
        <v>0</v>
      </c>
      <c r="K24" s="207">
        <f>SCENARIO!F43</f>
        <v>0</v>
      </c>
      <c r="L24" s="207">
        <f>SCENARIO!G43</f>
        <v>0</v>
      </c>
      <c r="M24" s="207" t="e">
        <f>SCENARIO!H43</f>
        <v>#DIV/0!</v>
      </c>
      <c r="N24" s="207" t="e">
        <f>SCENARIO!I43</f>
        <v>#DIV/0!</v>
      </c>
      <c r="O24" s="207" t="e">
        <f>SCENARIO!J43</f>
        <v>#DIV/0!</v>
      </c>
      <c r="P24" s="207" t="e">
        <f>SCENARIO!K43</f>
        <v>#DIV/0!</v>
      </c>
      <c r="Q24" s="207" t="e">
        <f>SCENARIO!L43</f>
        <v>#DIV/0!</v>
      </c>
      <c r="R24" s="207" t="e">
        <f>SCENARIO!M43</f>
        <v>#DIV/0!</v>
      </c>
      <c r="S24" s="207" t="e">
        <f>SCENARIO!N43</f>
        <v>#DIV/0!</v>
      </c>
      <c r="T24" s="207" t="e">
        <f>SCENARIO!O43</f>
        <v>#DIV/0!</v>
      </c>
      <c r="U24" s="207" t="e">
        <f>SCENARIO!P43</f>
        <v>#DIV/0!</v>
      </c>
      <c r="V24" s="207" t="e">
        <f>SCENARIO!Q43</f>
        <v>#DIV/0!</v>
      </c>
    </row>
    <row r="25" spans="2:22" ht="13.15" customHeight="1">
      <c r="B25" s="189" t="s">
        <v>1564</v>
      </c>
      <c r="C25" s="188" t="s">
        <v>1565</v>
      </c>
      <c r="D25" s="207">
        <f t="shared" si="0"/>
        <v>8.788500774047206E-3</v>
      </c>
      <c r="E25" s="188" t="s">
        <v>1566</v>
      </c>
      <c r="F25" s="212">
        <v>1.2887264430361473E-2</v>
      </c>
      <c r="G25" s="207">
        <f t="shared" si="1"/>
        <v>1.4663780275719016</v>
      </c>
      <c r="I25" s="207">
        <f>SCENARIO!D46</f>
        <v>8.788500774047206E-3</v>
      </c>
      <c r="J25" s="207">
        <f>SCENARIO!E46</f>
        <v>1.4417142252459589E-2</v>
      </c>
      <c r="K25" s="207">
        <f>SCENARIO!F46</f>
        <v>1.339894581090831E-2</v>
      </c>
      <c r="L25" s="207">
        <f>SCENARIO!G46</f>
        <v>1.2600162513450483E-2</v>
      </c>
      <c r="M25" s="207">
        <f>SCENARIO!H46</f>
        <v>0</v>
      </c>
      <c r="N25" s="207" t="e">
        <f>SCENARIO!I46</f>
        <v>#DIV/0!</v>
      </c>
      <c r="O25" s="207" t="e">
        <f>SCENARIO!J46</f>
        <v>#DIV/0!</v>
      </c>
      <c r="P25" s="207" t="e">
        <f>SCENARIO!K46</f>
        <v>#DIV/0!</v>
      </c>
      <c r="Q25" s="207" t="e">
        <f>SCENARIO!L46</f>
        <v>#DIV/0!</v>
      </c>
      <c r="R25" s="207" t="e">
        <f>SCENARIO!M46</f>
        <v>#DIV/0!</v>
      </c>
      <c r="S25" s="207" t="e">
        <f>SCENARIO!N46</f>
        <v>#DIV/0!</v>
      </c>
      <c r="T25" s="207" t="e">
        <f>SCENARIO!O46</f>
        <v>#DIV/0!</v>
      </c>
      <c r="U25" s="207" t="e">
        <f>SCENARIO!P46</f>
        <v>#DIV/0!</v>
      </c>
      <c r="V25" s="207" t="e">
        <f>SCENARIO!Q46</f>
        <v>#DIV/0!</v>
      </c>
    </row>
    <row r="26" spans="2:22" ht="24.95" customHeight="1">
      <c r="B26" s="189" t="s">
        <v>1567</v>
      </c>
      <c r="C26" s="188" t="s">
        <v>1568</v>
      </c>
      <c r="D26" s="207">
        <f t="shared" ref="D26:D32" si="2">I26</f>
        <v>0.11358546902214481</v>
      </c>
      <c r="E26" s="211" t="s">
        <v>1569</v>
      </c>
      <c r="F26" s="212">
        <v>0.13273807997466522</v>
      </c>
      <c r="G26" s="207">
        <f t="shared" si="1"/>
        <v>1.1686184959872499</v>
      </c>
      <c r="I26" s="207">
        <f>SCENARIO!D36</f>
        <v>0.11358546902214481</v>
      </c>
      <c r="J26" s="207">
        <f>SCENARIO!E36</f>
        <v>0.13328950131416475</v>
      </c>
      <c r="K26" s="207">
        <f>SCENARIO!F36</f>
        <v>0.13328950131416475</v>
      </c>
      <c r="L26" s="207">
        <f>SCENARIO!G36</f>
        <v>0.13328950131416475</v>
      </c>
      <c r="M26" s="207">
        <f>SCENARIO!H36</f>
        <v>0.13328950131416475</v>
      </c>
      <c r="N26" s="207">
        <f>SCENARIO!I36</f>
        <v>0.13328950131416475</v>
      </c>
      <c r="O26" s="207">
        <f>SCENARIO!J36</f>
        <v>0.13328950131416475</v>
      </c>
      <c r="P26" s="207">
        <f>SCENARIO!K36</f>
        <v>0.13328950131416475</v>
      </c>
      <c r="Q26" s="207">
        <f>SCENARIO!L36</f>
        <v>0.13328950131416475</v>
      </c>
      <c r="R26" s="207">
        <f>SCENARIO!M36</f>
        <v>0.13328950131416475</v>
      </c>
      <c r="S26" s="207">
        <f>SCENARIO!N36</f>
        <v>0.13328950131416475</v>
      </c>
      <c r="T26" s="207">
        <f>SCENARIO!O36</f>
        <v>0.13328950131416475</v>
      </c>
      <c r="U26" s="207">
        <f>SCENARIO!P36</f>
        <v>0.13328950131416475</v>
      </c>
      <c r="V26" s="207">
        <f>SCENARIO!Q36</f>
        <v>0.13328950131416475</v>
      </c>
    </row>
    <row r="27" spans="2:22" ht="13.15" customHeight="1">
      <c r="B27" s="189" t="s">
        <v>1570</v>
      </c>
      <c r="C27" s="188" t="s">
        <v>1571</v>
      </c>
      <c r="D27" s="207">
        <f t="shared" si="2"/>
        <v>4.1925852202040308E-2</v>
      </c>
      <c r="E27" s="211" t="s">
        <v>1572</v>
      </c>
      <c r="F27" s="212">
        <v>4.3676310254184628E-2</v>
      </c>
      <c r="G27" s="207">
        <f t="shared" si="1"/>
        <v>1.0417512813742908</v>
      </c>
      <c r="H27" s="186"/>
      <c r="I27" s="207">
        <f>(SCENARIO!D47+SCENARIO!D51-SCENARIO!D25-SCENARIO!D31)</f>
        <v>4.1925852202040308E-2</v>
      </c>
      <c r="J27" s="207">
        <f>(SCENARIO!E47+SCENARIO!E51-SCENARIO!E25-SCENARIO!E31)</f>
        <v>5.3086649520541269E-2</v>
      </c>
      <c r="K27" s="207">
        <f>(SCENARIO!F47+SCENARIO!F51-SCENARIO!F25-SCENARIO!F31)</f>
        <v>4.6864895633596547E-2</v>
      </c>
      <c r="L27" s="207">
        <f>(SCENARIO!G47+SCENARIO!G51-SCENARIO!G25-SCENARIO!G31)</f>
        <v>4.3676310254184628E-2</v>
      </c>
      <c r="M27" s="207" t="e">
        <f>(SCENARIO!H47+SCENARIO!H51-SCENARIO!H25-SCENARIO!H31)</f>
        <v>#VALUE!</v>
      </c>
      <c r="N27" s="207" t="e">
        <f>(SCENARIO!I47+SCENARIO!I51-SCENARIO!I25-SCENARIO!I31)</f>
        <v>#VALUE!</v>
      </c>
      <c r="O27" s="207" t="e">
        <f>(SCENARIO!J47+SCENARIO!J51-SCENARIO!J25-SCENARIO!J31)</f>
        <v>#VALUE!</v>
      </c>
      <c r="P27" s="207" t="e">
        <f>(SCENARIO!K47+SCENARIO!K51-SCENARIO!K25-SCENARIO!K31)</f>
        <v>#VALUE!</v>
      </c>
      <c r="Q27" s="207" t="e">
        <f>(SCENARIO!L47+SCENARIO!L51-SCENARIO!L25-SCENARIO!L31)</f>
        <v>#VALUE!</v>
      </c>
      <c r="R27" s="207" t="e">
        <f>(SCENARIO!M47+SCENARIO!M51-SCENARIO!M25-SCENARIO!M31)</f>
        <v>#VALUE!</v>
      </c>
      <c r="S27" s="207" t="e">
        <f>(SCENARIO!N47+SCENARIO!N51-SCENARIO!N25-SCENARIO!N31)</f>
        <v>#VALUE!</v>
      </c>
      <c r="T27" s="207" t="e">
        <f>(SCENARIO!O47+SCENARIO!O51-SCENARIO!O25-SCENARIO!O31)</f>
        <v>#VALUE!</v>
      </c>
      <c r="U27" s="207" t="e">
        <f>(SCENARIO!P47+SCENARIO!P51-SCENARIO!P25-SCENARIO!P31)</f>
        <v>#VALUE!</v>
      </c>
      <c r="V27" s="207" t="e">
        <f>(SCENARIO!Q47+SCENARIO!Q51-SCENARIO!Q25-SCENARIO!Q31)</f>
        <v>#VALUE!</v>
      </c>
    </row>
    <row r="28" spans="2:22" ht="13.15" customHeight="1">
      <c r="B28" s="189" t="s">
        <v>1573</v>
      </c>
      <c r="C28" s="188" t="s">
        <v>1574</v>
      </c>
      <c r="D28" s="207">
        <f t="shared" si="2"/>
        <v>0</v>
      </c>
      <c r="E28" s="188" t="s">
        <v>1575</v>
      </c>
      <c r="F28" s="212">
        <v>0</v>
      </c>
      <c r="G28" s="207">
        <f t="shared" si="1"/>
        <v>0</v>
      </c>
      <c r="I28" s="207">
        <f>SCENARIO!D41</f>
        <v>0</v>
      </c>
      <c r="J28" s="207">
        <f>SCENARIO!E41</f>
        <v>0</v>
      </c>
      <c r="K28" s="207">
        <f>SCENARIO!F41</f>
        <v>0</v>
      </c>
      <c r="L28" s="207">
        <f>SCENARIO!G41</f>
        <v>0</v>
      </c>
      <c r="M28" s="207" t="e">
        <f>SCENARIO!H41</f>
        <v>#VALUE!</v>
      </c>
      <c r="N28" s="207" t="e">
        <f>SCENARIO!I41</f>
        <v>#VALUE!</v>
      </c>
      <c r="O28" s="207" t="e">
        <f>SCENARIO!J41</f>
        <v>#VALUE!</v>
      </c>
      <c r="P28" s="207" t="e">
        <f>SCENARIO!K41</f>
        <v>#VALUE!</v>
      </c>
      <c r="Q28" s="207" t="e">
        <f>SCENARIO!L41</f>
        <v>#VALUE!</v>
      </c>
      <c r="R28" s="207" t="e">
        <f>SCENARIO!M41</f>
        <v>#VALUE!</v>
      </c>
      <c r="S28" s="207" t="e">
        <f>SCENARIO!N41</f>
        <v>#VALUE!</v>
      </c>
      <c r="T28" s="207" t="e">
        <f>SCENARIO!O41</f>
        <v>#VALUE!</v>
      </c>
      <c r="U28" s="207" t="e">
        <f>SCENARIO!P41</f>
        <v>#VALUE!</v>
      </c>
      <c r="V28" s="207" t="e">
        <f>SCENARIO!Q41</f>
        <v>#VALUE!</v>
      </c>
    </row>
    <row r="29" spans="2:22" ht="13.15" customHeight="1">
      <c r="B29" s="189" t="s">
        <v>1576</v>
      </c>
      <c r="C29" s="188" t="s">
        <v>1577</v>
      </c>
      <c r="D29" s="207">
        <f t="shared" si="2"/>
        <v>1.0947997014182632E-2</v>
      </c>
      <c r="E29" s="188" t="s">
        <v>1578</v>
      </c>
      <c r="F29" s="212">
        <v>1.5579659450425616E-2</v>
      </c>
      <c r="G29" s="207">
        <f t="shared" si="1"/>
        <v>1.4230602575286491</v>
      </c>
      <c r="I29" s="207">
        <f>SCENARIO!D44</f>
        <v>1.0947997014182632E-2</v>
      </c>
      <c r="J29" s="207">
        <f>SCENARIO!E44</f>
        <v>1.8332080409971085E-2</v>
      </c>
      <c r="K29" s="207">
        <f>SCENARIO!F44</f>
        <v>1.6720641155705301E-2</v>
      </c>
      <c r="L29" s="207">
        <f>SCENARIO!G44</f>
        <v>1.5579659450425616E-2</v>
      </c>
      <c r="M29" s="207" t="e">
        <f>SCENARIO!H44</f>
        <v>#VALUE!</v>
      </c>
      <c r="N29" s="207" t="e">
        <f>SCENARIO!I44</f>
        <v>#VALUE!</v>
      </c>
      <c r="O29" s="207" t="e">
        <f>SCENARIO!J44</f>
        <v>#VALUE!</v>
      </c>
      <c r="P29" s="207" t="e">
        <f>SCENARIO!K44</f>
        <v>#VALUE!</v>
      </c>
      <c r="Q29" s="207" t="e">
        <f>SCENARIO!L44</f>
        <v>#VALUE!</v>
      </c>
      <c r="R29" s="207" t="e">
        <f>SCENARIO!M44</f>
        <v>#VALUE!</v>
      </c>
      <c r="S29" s="207" t="e">
        <f>SCENARIO!N44</f>
        <v>#VALUE!</v>
      </c>
      <c r="T29" s="207" t="e">
        <f>SCENARIO!O44</f>
        <v>#VALUE!</v>
      </c>
      <c r="U29" s="207" t="e">
        <f>SCENARIO!P44</f>
        <v>#VALUE!</v>
      </c>
      <c r="V29" s="207" t="e">
        <f>SCENARIO!Q44</f>
        <v>#VALUE!</v>
      </c>
    </row>
    <row r="30" spans="2:22" ht="24.95" customHeight="1">
      <c r="B30" s="222" t="s">
        <v>1579</v>
      </c>
      <c r="C30" s="188" t="s">
        <v>1580</v>
      </c>
      <c r="D30" s="207">
        <f t="shared" si="2"/>
        <v>0.176909679024633</v>
      </c>
      <c r="E30" s="188" t="s">
        <v>1581</v>
      </c>
      <c r="F30" s="212">
        <v>0.15712818932907885</v>
      </c>
      <c r="G30" s="207">
        <f t="shared" si="1"/>
        <v>0.88818311239601666</v>
      </c>
      <c r="H30" s="223" t="s">
        <v>1448</v>
      </c>
      <c r="I30" s="207">
        <f>SCENARIO!D54+SCENARIO!D58</f>
        <v>0.176909679024633</v>
      </c>
      <c r="J30" s="207">
        <f>SCENARIO!E54+SCENARIO!E58</f>
        <v>0.17434572306566248</v>
      </c>
      <c r="K30" s="207">
        <f>SCENARIO!F54+SCENARIO!F58</f>
        <v>0.16783441685867573</v>
      </c>
      <c r="L30" s="207">
        <f>SCENARIO!G54+SCENARIO!G58</f>
        <v>0.15712818932907885</v>
      </c>
      <c r="M30" s="207" t="e">
        <f>SCENARIO!H54+SCENARIO!H58</f>
        <v>#VALUE!</v>
      </c>
      <c r="N30" s="207" t="e">
        <f>SCENARIO!I54+SCENARIO!I58</f>
        <v>#VALUE!</v>
      </c>
      <c r="O30" s="207" t="e">
        <f>SCENARIO!J54+SCENARIO!J58</f>
        <v>#VALUE!</v>
      </c>
      <c r="P30" s="207" t="e">
        <f>SCENARIO!K54+SCENARIO!K58</f>
        <v>#VALUE!</v>
      </c>
      <c r="Q30" s="207" t="e">
        <f>SCENARIO!L54+SCENARIO!L58</f>
        <v>#VALUE!</v>
      </c>
      <c r="R30" s="207" t="e">
        <f>SCENARIO!M54+SCENARIO!M58</f>
        <v>#VALUE!</v>
      </c>
      <c r="S30" s="207" t="e">
        <f>SCENARIO!N54+SCENARIO!N58</f>
        <v>#VALUE!</v>
      </c>
      <c r="T30" s="207" t="e">
        <f>SCENARIO!O54+SCENARIO!O58</f>
        <v>#VALUE!</v>
      </c>
      <c r="U30" s="207" t="e">
        <f>SCENARIO!P54+SCENARIO!P58</f>
        <v>#VALUE!</v>
      </c>
      <c r="V30" s="207" t="e">
        <f>SCENARIO!Q54+SCENARIO!Q58</f>
        <v>#VALUE!</v>
      </c>
    </row>
    <row r="31" spans="2:22" ht="12.75" customHeight="1">
      <c r="B31" s="222" t="s">
        <v>1931</v>
      </c>
      <c r="C31" s="188" t="s">
        <v>1932</v>
      </c>
      <c r="D31" s="207">
        <f>I31</f>
        <v>5.9218711122169684E-2</v>
      </c>
      <c r="E31" s="188" t="s">
        <v>1933</v>
      </c>
      <c r="F31" s="212">
        <v>6.8377394254645757E-2</v>
      </c>
      <c r="G31" s="207">
        <f t="shared" si="1"/>
        <v>1.154658602980762</v>
      </c>
      <c r="H31" s="207" t="s">
        <v>1934</v>
      </c>
      <c r="I31" s="207">
        <f>SCENARIO!D29-SCENARIO!D93</f>
        <v>5.9218711122169684E-2</v>
      </c>
      <c r="J31" s="207">
        <f>SCENARIO!E29-SCENARIO!E93</f>
        <v>8.0603804899081505E-2</v>
      </c>
      <c r="K31" s="207">
        <f>SCENARIO!F29-SCENARIO!F93</f>
        <v>7.3084116976345703E-2</v>
      </c>
      <c r="L31" s="207">
        <f>SCENARIO!G29-SCENARIO!G93</f>
        <v>6.8377394254645757E-2</v>
      </c>
      <c r="M31" s="207" t="e">
        <f>SCENARIO!H29-SCENARIO!H93</f>
        <v>#VALUE!</v>
      </c>
      <c r="N31" s="207" t="e">
        <f>SCENARIO!I29-SCENARIO!I93</f>
        <v>#VALUE!</v>
      </c>
      <c r="O31" s="207" t="e">
        <f>SCENARIO!J29-SCENARIO!J93</f>
        <v>#VALUE!</v>
      </c>
      <c r="P31" s="207" t="e">
        <f>SCENARIO!K29-SCENARIO!K93</f>
        <v>#VALUE!</v>
      </c>
      <c r="Q31" s="207" t="e">
        <f>SCENARIO!L29-SCENARIO!L93</f>
        <v>#VALUE!</v>
      </c>
      <c r="R31" s="207" t="e">
        <f>SCENARIO!M29-SCENARIO!M93</f>
        <v>#VALUE!</v>
      </c>
      <c r="S31" s="207" t="e">
        <f>SCENARIO!N29-SCENARIO!N93</f>
        <v>#VALUE!</v>
      </c>
      <c r="T31" s="207" t="e">
        <f>SCENARIO!O29-SCENARIO!O93</f>
        <v>#VALUE!</v>
      </c>
      <c r="U31" s="207" t="e">
        <f>SCENARIO!P29-SCENARIO!P93</f>
        <v>#VALUE!</v>
      </c>
      <c r="V31" s="207" t="e">
        <f>SCENARIO!Q29-SCENARIO!Q93</f>
        <v>#VALUE!</v>
      </c>
    </row>
    <row r="32" spans="2:22" ht="13.15" customHeight="1" thickBot="1">
      <c r="B32" s="224" t="s">
        <v>1582</v>
      </c>
      <c r="C32" s="188" t="s">
        <v>1583</v>
      </c>
      <c r="D32" s="207">
        <f t="shared" si="2"/>
        <v>-5.2376212988305547E-2</v>
      </c>
      <c r="E32" s="188" t="s">
        <v>1584</v>
      </c>
      <c r="F32" s="212">
        <v>-7.8332545615218616E-2</v>
      </c>
      <c r="G32" s="207">
        <f t="shared" si="1"/>
        <v>1.4955748257841504</v>
      </c>
      <c r="H32" s="207">
        <f>(kgr0-crat)+Sg0/(Px0*X0)</f>
        <v>-3.2594723292751426E-2</v>
      </c>
      <c r="I32" s="207">
        <f>SCENARIO!D62</f>
        <v>-5.2376212988305547E-2</v>
      </c>
      <c r="J32" s="207">
        <f>SCENARIO!E62</f>
        <v>-5.6905832939285243E-2</v>
      </c>
      <c r="K32" s="207">
        <f>SCENARIO!F62</f>
        <v>-8.0423417648493575E-2</v>
      </c>
      <c r="L32" s="207">
        <f>SCENARIO!G62</f>
        <v>-5.3650630744150184E-2</v>
      </c>
      <c r="M32" s="207" t="e">
        <f>SCENARIO!H62</f>
        <v>#VALUE!</v>
      </c>
      <c r="N32" s="207" t="e">
        <f>SCENARIO!I62</f>
        <v>#VALUE!</v>
      </c>
      <c r="O32" s="207" t="e">
        <f>SCENARIO!J62</f>
        <v>#VALUE!</v>
      </c>
      <c r="P32" s="207" t="e">
        <f>SCENARIO!K62</f>
        <v>#VALUE!</v>
      </c>
      <c r="Q32" s="207" t="e">
        <f>SCENARIO!L62</f>
        <v>#VALUE!</v>
      </c>
      <c r="R32" s="207" t="e">
        <f>SCENARIO!M62</f>
        <v>#VALUE!</v>
      </c>
      <c r="S32" s="207" t="e">
        <f>SCENARIO!N62</f>
        <v>#VALUE!</v>
      </c>
      <c r="T32" s="207" t="e">
        <f>SCENARIO!O62</f>
        <v>#VALUE!</v>
      </c>
      <c r="U32" s="207" t="e">
        <f>SCENARIO!P62</f>
        <v>#VALUE!</v>
      </c>
      <c r="V32" s="207" t="e">
        <f>SCENARIO!Q62</f>
        <v>#VALUE!</v>
      </c>
    </row>
    <row r="33" spans="1:22" ht="27.6" customHeight="1" thickBot="1">
      <c r="B33" s="219" t="s">
        <v>1587</v>
      </c>
      <c r="E33" s="188"/>
      <c r="F33" s="212">
        <v>1.1720000000000002</v>
      </c>
      <c r="G33" s="207"/>
      <c r="H33" s="598" t="s">
        <v>2110</v>
      </c>
      <c r="I33" s="597">
        <v>2</v>
      </c>
      <c r="J33" s="351"/>
      <c r="K33" s="454">
        <f>J34/I34</f>
        <v>1.2490000000000001</v>
      </c>
      <c r="L33" s="454">
        <f>K34/J34</f>
        <v>1.1720000000000002</v>
      </c>
      <c r="M33" s="351"/>
      <c r="N33" s="351"/>
      <c r="O33" s="352"/>
      <c r="P33" s="352"/>
      <c r="Q33" s="352"/>
      <c r="R33" s="352"/>
      <c r="S33" s="352"/>
      <c r="T33" s="352"/>
      <c r="U33" s="352"/>
      <c r="V33" s="352"/>
    </row>
    <row r="34" spans="1:22" ht="13.15" customHeight="1" thickBot="1">
      <c r="B34" s="189" t="s">
        <v>1936</v>
      </c>
      <c r="C34" s="188" t="s">
        <v>1657</v>
      </c>
      <c r="D34" s="207">
        <f>I34</f>
        <v>3.1107999999999998</v>
      </c>
      <c r="E34" s="211" t="s">
        <v>1658</v>
      </c>
      <c r="F34" s="212">
        <v>5.1593150693391996</v>
      </c>
      <c r="G34" s="207">
        <f>Er/Er0</f>
        <v>1.6585171240000001</v>
      </c>
      <c r="H34" s="353"/>
      <c r="I34" s="354">
        <f>IF($I$33=1,SCENARIO!D81,IF($I$33=2,SCENARIO!D81*I82,"ERROR"))</f>
        <v>3.1107999999999998</v>
      </c>
      <c r="J34" s="354">
        <f>IF($I$33=1,SCENARIO!E81,IF($I$33=2,SCENARIO!E81*J82,"ERROR"))</f>
        <v>3.8853892000000001</v>
      </c>
      <c r="K34" s="354">
        <f>IF($I$33=1,SCENARIO!F81,IF($I$33=2,SCENARIO!F81*K82,"ERROR"))</f>
        <v>4.5536761424000005</v>
      </c>
      <c r="L34" s="354">
        <f>IF($I$33=1,SCENARIO!G81,IF($I$33=2,SCENARIO!G81*L82,"ERROR"))</f>
        <v>5.1593150693392005</v>
      </c>
      <c r="M34" s="354" t="e">
        <f>IF($I$33=1,SCENARIO!H81,IF($I$33=2,SCENARIO!H81*M82,"ERROR"))</f>
        <v>#DIV/0!</v>
      </c>
      <c r="N34" s="354" t="e">
        <f>IF($I$33=1,SCENARIO!I81,IF($I$33=2,SCENARIO!I81*N82,"ERROR"))</f>
        <v>#DIV/0!</v>
      </c>
      <c r="O34" s="355" t="e">
        <f>IF($I$33=1,SCENARIO!J81,IF($I$33=2,SCENARIO!J81*O82,"ERROR"))</f>
        <v>#DIV/0!</v>
      </c>
      <c r="P34" s="355" t="e">
        <f>IF($I$33=1,SCENARIO!K81,IF($I$33=2,SCENARIO!K81*P82,"ERROR"))</f>
        <v>#DIV/0!</v>
      </c>
      <c r="Q34" s="355" t="e">
        <f>IF($I$33=1,SCENARIO!L81,IF($I$33=2,SCENARIO!L81*Q82,"ERROR"))</f>
        <v>#DIV/0!</v>
      </c>
      <c r="R34" s="355" t="e">
        <f>IF($I$33=1,SCENARIO!M81,IF($I$33=2,SCENARIO!M81*R82,"ERROR"))</f>
        <v>#DIV/0!</v>
      </c>
      <c r="S34" s="355" t="e">
        <f>IF($I$33=1,SCENARIO!N81,IF($I$33=2,SCENARIO!N81*S82,"ERROR"))</f>
        <v>#DIV/0!</v>
      </c>
      <c r="T34" s="355" t="e">
        <f>IF($I$33=1,SCENARIO!O81,IF($I$33=2,SCENARIO!O81*T82,"ERROR"))</f>
        <v>#DIV/0!</v>
      </c>
      <c r="U34" s="355" t="e">
        <f>IF($I$33=1,SCENARIO!P81,IF($I$33=2,SCENARIO!P81*U82,"ERROR"))</f>
        <v>#DIV/0!</v>
      </c>
      <c r="V34" s="355" t="e">
        <f>IF($I$33=1,SCENARIO!Q81,IF($I$33=2,SCENARIO!Q81*V82,"ERROR"))</f>
        <v>#DIV/0!</v>
      </c>
    </row>
    <row r="35" spans="1:22" ht="13.15" customHeight="1">
      <c r="B35" s="189" t="s">
        <v>1588</v>
      </c>
      <c r="C35" s="188" t="s">
        <v>1589</v>
      </c>
      <c r="D35" s="207">
        <f>1</f>
        <v>1</v>
      </c>
      <c r="E35" s="211" t="s">
        <v>1590</v>
      </c>
      <c r="F35" s="212">
        <v>1</v>
      </c>
      <c r="G35" s="207">
        <f>wm/wm0</f>
        <v>1</v>
      </c>
      <c r="I35" s="212">
        <f>wm0</f>
        <v>1</v>
      </c>
      <c r="J35" s="212">
        <f>I35*(1+SCENARIO!E83)</f>
        <v>1</v>
      </c>
      <c r="K35" s="212">
        <f>J35*(1+SCENARIO!F83)</f>
        <v>1</v>
      </c>
      <c r="L35" s="212">
        <f>K35*(1+SCENARIO!G83)</f>
        <v>1</v>
      </c>
      <c r="M35" s="212" t="e">
        <f>L35*(1+SCENARIO!H83)</f>
        <v>#VALUE!</v>
      </c>
      <c r="N35" s="212" t="e">
        <f>M35*(1+SCENARIO!I83)</f>
        <v>#VALUE!</v>
      </c>
      <c r="O35" s="212" t="e">
        <f>N35*(1+SCENARIO!J83)</f>
        <v>#VALUE!</v>
      </c>
      <c r="P35" s="212" t="e">
        <f>O35*(1+SCENARIO!K83)</f>
        <v>#VALUE!</v>
      </c>
      <c r="Q35" s="212" t="e">
        <f>P35*(1+SCENARIO!L83)</f>
        <v>#VALUE!</v>
      </c>
      <c r="R35" s="212" t="e">
        <f>Q35*(1+SCENARIO!M83)</f>
        <v>#VALUE!</v>
      </c>
      <c r="S35" s="212" t="e">
        <f>R35*(1+SCENARIO!N83)</f>
        <v>#VALUE!</v>
      </c>
      <c r="T35" s="212" t="e">
        <f>S35*(1+SCENARIO!O83)</f>
        <v>#VALUE!</v>
      </c>
      <c r="U35" s="212" t="e">
        <f>T35*(1+SCENARIO!P83)</f>
        <v>#VALUE!</v>
      </c>
      <c r="V35" s="212" t="e">
        <f>U35*(1+SCENARIO!Q83)</f>
        <v>#VALUE!</v>
      </c>
    </row>
    <row r="36" spans="1:22" ht="13.15" customHeight="1">
      <c r="B36" s="189" t="s">
        <v>1591</v>
      </c>
      <c r="C36" s="188" t="s">
        <v>1592</v>
      </c>
      <c r="D36" s="207">
        <v>1</v>
      </c>
      <c r="E36" s="211" t="s">
        <v>1593</v>
      </c>
      <c r="F36" s="212">
        <v>1.0162818869575538</v>
      </c>
      <c r="G36" s="207">
        <f>we/we0</f>
        <v>1.0162818869575538</v>
      </c>
      <c r="I36" s="212">
        <f>we0</f>
        <v>1</v>
      </c>
      <c r="J36" s="212">
        <f>I36*(1+SCENARIO!E84)</f>
        <v>1.08</v>
      </c>
      <c r="K36" s="212">
        <f>J36*(1+SCENARIO!F84)</f>
        <v>1.0078724468528555</v>
      </c>
      <c r="L36" s="212">
        <f>K36*(1+SCENARIO!G84)</f>
        <v>1.0162818869575538</v>
      </c>
      <c r="M36" s="212" t="e">
        <f>L36*(1+SCENARIO!H84)</f>
        <v>#VALUE!</v>
      </c>
      <c r="N36" s="212" t="e">
        <f>M36*(1+SCENARIO!I84)</f>
        <v>#VALUE!</v>
      </c>
      <c r="O36" s="212" t="e">
        <f>N36*(1+SCENARIO!J84)</f>
        <v>#VALUE!</v>
      </c>
      <c r="P36" s="212" t="e">
        <f>O36*(1+SCENARIO!K84)</f>
        <v>#VALUE!</v>
      </c>
      <c r="Q36" s="212" t="e">
        <f>P36*(1+SCENARIO!L84)</f>
        <v>#VALUE!</v>
      </c>
      <c r="R36" s="212" t="e">
        <f>Q36*(1+SCENARIO!M84)</f>
        <v>#VALUE!</v>
      </c>
      <c r="S36" s="212" t="e">
        <f>R36*(1+SCENARIO!N84)</f>
        <v>#VALUE!</v>
      </c>
      <c r="T36" s="212" t="e">
        <f>S36*(1+SCENARIO!O84)</f>
        <v>#VALUE!</v>
      </c>
      <c r="U36" s="212" t="e">
        <f>T36*(1+SCENARIO!P84)</f>
        <v>#VALUE!</v>
      </c>
      <c r="V36" s="212" t="e">
        <f>U36*(1+SCENARIO!Q84)</f>
        <v>#VALUE!</v>
      </c>
    </row>
    <row r="37" spans="1:22" ht="24.95" customHeight="1">
      <c r="B37" s="189" t="s">
        <v>1594</v>
      </c>
      <c r="C37" s="188" t="s">
        <v>1595</v>
      </c>
      <c r="D37" s="207">
        <f>I37</f>
        <v>-5.3683939822553692E-2</v>
      </c>
      <c r="E37" s="188" t="s">
        <v>1596</v>
      </c>
      <c r="F37" s="212">
        <v>-2.9461274986539641E-2</v>
      </c>
      <c r="G37" s="207">
        <f>F37/D37</f>
        <v>0.54879122292291915</v>
      </c>
      <c r="H37" s="190" t="s">
        <v>1448</v>
      </c>
      <c r="I37" s="207">
        <f>-SCENARIO!D50/I34/scale</f>
        <v>-5.3683939822553692E-2</v>
      </c>
      <c r="J37" s="207">
        <f>-SCENARIO!E50/J34/scale</f>
        <v>-2.856856656728237E-2</v>
      </c>
      <c r="K37" s="207">
        <f>-SCENARIO!F50/K34/scale</f>
        <v>-2.8987568696624486E-2</v>
      </c>
      <c r="L37" s="207">
        <f>-SCENARIO!G50/L34/scale</f>
        <v>-2.9461274986539634E-2</v>
      </c>
      <c r="M37" s="207" t="e">
        <f>-SCENARIO!H50/M34/scale</f>
        <v>#DIV/0!</v>
      </c>
      <c r="N37" s="207" t="e">
        <f>-SCENARIO!I50/N34/scale</f>
        <v>#DIV/0!</v>
      </c>
      <c r="O37" s="207" t="e">
        <f>-SCENARIO!J50/O34/scale</f>
        <v>#DIV/0!</v>
      </c>
      <c r="P37" s="207" t="e">
        <f>-SCENARIO!K50/P34/scale</f>
        <v>#DIV/0!</v>
      </c>
      <c r="Q37" s="207" t="e">
        <f>-SCENARIO!L50/Q34/scale</f>
        <v>#DIV/0!</v>
      </c>
      <c r="R37" s="207" t="e">
        <f>-SCENARIO!M50/R34/scale</f>
        <v>#DIV/0!</v>
      </c>
      <c r="S37" s="207" t="e">
        <f>-SCENARIO!N50/S34/scale</f>
        <v>#DIV/0!</v>
      </c>
      <c r="T37" s="207" t="e">
        <f>-SCENARIO!O50/T34/scale</f>
        <v>#DIV/0!</v>
      </c>
      <c r="U37" s="207" t="e">
        <f>-SCENARIO!P50/U34/scale</f>
        <v>#DIV/0!</v>
      </c>
      <c r="V37" s="207" t="e">
        <f>-SCENARIO!Q50/V34/scale</f>
        <v>#DIV/0!</v>
      </c>
    </row>
    <row r="38" spans="1:22" ht="13.15" customHeight="1">
      <c r="B38" s="189" t="s">
        <v>1597</v>
      </c>
      <c r="C38" s="188" t="s">
        <v>1598</v>
      </c>
      <c r="D38" s="207">
        <f>I38</f>
        <v>-9.0316060177446297E-2</v>
      </c>
      <c r="E38" s="188" t="s">
        <v>1599</v>
      </c>
      <c r="F38" s="212">
        <v>-0.17353872501346038</v>
      </c>
      <c r="G38" s="207">
        <f>F38/D38</f>
        <v>1.9214603102981282</v>
      </c>
      <c r="H38" s="190" t="s">
        <v>1448</v>
      </c>
      <c r="I38" s="207">
        <f>SCENARIO!D87/scale-I37</f>
        <v>-9.0316060177446297E-2</v>
      </c>
      <c r="J38" s="207">
        <f>SCENARIO!E87/scale-J37</f>
        <v>-9.8431433432717624E-2</v>
      </c>
      <c r="K38" s="207">
        <f>SCENARIO!F87/scale-K37</f>
        <v>-8.8012431303375521E-2</v>
      </c>
      <c r="L38" s="207">
        <f>SCENARIO!G87/scale-L37</f>
        <v>-0.17353872501346038</v>
      </c>
      <c r="M38" s="207" t="e">
        <f>SCENARIO!H87/scale-M37</f>
        <v>#DIV/0!</v>
      </c>
      <c r="N38" s="207" t="e">
        <f>SCENARIO!I87/scale-N37</f>
        <v>#DIV/0!</v>
      </c>
      <c r="O38" s="207" t="e">
        <f>SCENARIO!J87/scale-O37</f>
        <v>#DIV/0!</v>
      </c>
      <c r="P38" s="207" t="e">
        <f>SCENARIO!K87/scale-P37</f>
        <v>#DIV/0!</v>
      </c>
      <c r="Q38" s="207" t="e">
        <f>SCENARIO!L87/scale-Q37</f>
        <v>#DIV/0!</v>
      </c>
      <c r="R38" s="207" t="e">
        <f>SCENARIO!M87/scale-R37</f>
        <v>#DIV/0!</v>
      </c>
      <c r="S38" s="207" t="e">
        <f>SCENARIO!N87/scale-S37</f>
        <v>#DIV/0!</v>
      </c>
      <c r="T38" s="207" t="e">
        <f>SCENARIO!O87/scale-T37</f>
        <v>#DIV/0!</v>
      </c>
      <c r="U38" s="207" t="e">
        <f>SCENARIO!P87/scale-U37</f>
        <v>#DIV/0!</v>
      </c>
      <c r="V38" s="207" t="e">
        <f>SCENARIO!Q87/scale-V37</f>
        <v>#DIV/0!</v>
      </c>
    </row>
    <row r="39" spans="1:22" ht="13.15" customHeight="1">
      <c r="B39" s="189" t="s">
        <v>1600</v>
      </c>
      <c r="C39" s="188" t="s">
        <v>1601</v>
      </c>
      <c r="D39" s="207">
        <f>I39</f>
        <v>3.1824611032531827E-2</v>
      </c>
      <c r="E39" s="211" t="s">
        <v>1602</v>
      </c>
      <c r="F39" s="212">
        <v>0</v>
      </c>
      <c r="G39" s="207">
        <f>IF(D39,F39/D39,F39)</f>
        <v>0</v>
      </c>
      <c r="H39" s="190" t="s">
        <v>1448</v>
      </c>
      <c r="I39" s="207">
        <f>SCENARIO!D94/scale</f>
        <v>3.1824611032531827E-2</v>
      </c>
      <c r="J39" s="207">
        <f>SCENARIO!E94/scale</f>
        <v>9.8780487804878067E-2</v>
      </c>
      <c r="K39" s="207">
        <f>SCENARIO!F94/scale</f>
        <v>0</v>
      </c>
      <c r="L39" s="207">
        <f>SCENARIO!G94/scale</f>
        <v>0</v>
      </c>
      <c r="M39" s="207">
        <f>SCENARIO!H94/scale</f>
        <v>0</v>
      </c>
      <c r="N39" s="207">
        <f>SCENARIO!I94/scale</f>
        <v>0</v>
      </c>
      <c r="O39" s="207">
        <f>SCENARIO!J94/scale</f>
        <v>0</v>
      </c>
      <c r="P39" s="207">
        <f>SCENARIO!K94/scale</f>
        <v>0</v>
      </c>
      <c r="Q39" s="207">
        <f>SCENARIO!L94/scale</f>
        <v>0</v>
      </c>
      <c r="R39" s="207">
        <f>SCENARIO!M94/scale</f>
        <v>0</v>
      </c>
      <c r="S39" s="207">
        <f>SCENARIO!N94/scale</f>
        <v>0</v>
      </c>
      <c r="T39" s="207">
        <f>SCENARIO!O94/scale</f>
        <v>0</v>
      </c>
      <c r="U39" s="207">
        <f>SCENARIO!P94/scale</f>
        <v>0</v>
      </c>
      <c r="V39" s="207">
        <f>SCENARIO!Q94/scale</f>
        <v>0</v>
      </c>
    </row>
    <row r="40" spans="1:22" ht="13.15" customHeight="1">
      <c r="B40" s="189" t="s">
        <v>1603</v>
      </c>
      <c r="C40" s="188" t="s">
        <v>1604</v>
      </c>
      <c r="D40" s="207">
        <f>I40</f>
        <v>-4.9824611032531829E-2</v>
      </c>
      <c r="E40" s="211" t="s">
        <v>1605</v>
      </c>
      <c r="F40" s="212">
        <v>-3.1E-2</v>
      </c>
      <c r="G40" s="207">
        <f>F40/D40</f>
        <v>0.62218247885084876</v>
      </c>
      <c r="H40" s="190" t="s">
        <v>1448</v>
      </c>
      <c r="I40" s="207">
        <f>SCENARIO!D96/scale</f>
        <v>-4.9824611032531829E-2</v>
      </c>
      <c r="J40" s="207">
        <f>SCENARIO!E96/scale</f>
        <v>-0.11878048780487806</v>
      </c>
      <c r="K40" s="207">
        <f>SCENARIO!F96/scale</f>
        <v>-2.3E-2</v>
      </c>
      <c r="L40" s="207">
        <f>SCENARIO!G96/scale</f>
        <v>-3.1E-2</v>
      </c>
      <c r="M40" s="207">
        <f>SCENARIO!H96/scale</f>
        <v>0</v>
      </c>
      <c r="N40" s="207">
        <f>SCENARIO!I96/scale</f>
        <v>0</v>
      </c>
      <c r="O40" s="207">
        <f>SCENARIO!J96/scale</f>
        <v>0</v>
      </c>
      <c r="P40" s="207">
        <f>SCENARIO!K96/scale</f>
        <v>0</v>
      </c>
      <c r="Q40" s="207">
        <f>SCENARIO!L96/scale</f>
        <v>0</v>
      </c>
      <c r="R40" s="207">
        <f>SCENARIO!M96/scale</f>
        <v>0</v>
      </c>
      <c r="S40" s="207">
        <f>SCENARIO!N96/scale</f>
        <v>0</v>
      </c>
      <c r="T40" s="207">
        <f>SCENARIO!O96/scale</f>
        <v>0</v>
      </c>
      <c r="U40" s="207">
        <f>SCENARIO!P96/scale</f>
        <v>0</v>
      </c>
      <c r="V40" s="207">
        <f>SCENARIO!Q96/scale</f>
        <v>0</v>
      </c>
    </row>
    <row r="41" spans="1:22" ht="24.95" customHeight="1">
      <c r="B41" s="189" t="s">
        <v>1606</v>
      </c>
      <c r="C41" s="188" t="s">
        <v>1607</v>
      </c>
      <c r="D41" s="207">
        <f>wm0*M0 - we0*E0 -nfyg0 - nfyp0 - nctg0 - nctp0</f>
        <v>0.60499999999999998</v>
      </c>
      <c r="E41" s="211" t="s">
        <v>1608</v>
      </c>
      <c r="F41" s="212">
        <v>0.68100000000000005</v>
      </c>
      <c r="G41" s="207">
        <f>B/B0</f>
        <v>1.125619834710744</v>
      </c>
      <c r="H41" s="207" t="s">
        <v>1448</v>
      </c>
      <c r="I41" s="207">
        <f>-SCENARIO!D98/scale</f>
        <v>0.60499999999999998</v>
      </c>
      <c r="J41" s="207">
        <f>-SCENARIO!E98/scale</f>
        <v>0.66</v>
      </c>
      <c r="K41" s="207">
        <f>-SCENARIO!F98/scale</f>
        <v>0.61299999999999999</v>
      </c>
      <c r="L41" s="207">
        <f>-SCENARIO!G98/scale</f>
        <v>0.68100000000000005</v>
      </c>
      <c r="M41" s="207">
        <f>-SCENARIO!H98/scale</f>
        <v>0</v>
      </c>
      <c r="N41" s="207">
        <f>-SCENARIO!I98/scale</f>
        <v>0</v>
      </c>
      <c r="O41" s="207">
        <f>-SCENARIO!J98/scale</f>
        <v>0</v>
      </c>
      <c r="P41" s="207">
        <f>-SCENARIO!K98/scale</f>
        <v>0</v>
      </c>
      <c r="Q41" s="207">
        <f>-SCENARIO!L98/scale</f>
        <v>0</v>
      </c>
      <c r="R41" s="207">
        <f>-SCENARIO!M98/scale</f>
        <v>0</v>
      </c>
      <c r="S41" s="207">
        <f>-SCENARIO!N98/scale</f>
        <v>0</v>
      </c>
      <c r="T41" s="207">
        <f>-SCENARIO!O98/scale</f>
        <v>0</v>
      </c>
      <c r="U41" s="207">
        <f>-SCENARIO!P98/scale</f>
        <v>0</v>
      </c>
      <c r="V41" s="207">
        <f>-SCENARIO!Q98/scale</f>
        <v>0</v>
      </c>
    </row>
    <row r="42" spans="1:22" ht="13.15" customHeight="1">
      <c r="B42" s="189" t="s">
        <v>1609</v>
      </c>
      <c r="C42" s="188" t="s">
        <v>1610</v>
      </c>
      <c r="D42" s="207">
        <f>I42</f>
        <v>0.23414207514307039</v>
      </c>
      <c r="E42" s="188" t="s">
        <v>1611</v>
      </c>
      <c r="F42" s="212">
        <v>0.23809169165698929</v>
      </c>
      <c r="G42" s="207">
        <f>F42/D42</f>
        <v>1.0168684612174277</v>
      </c>
      <c r="I42" s="207">
        <f>-SCENARIO!D97</f>
        <v>0.23414207514307039</v>
      </c>
      <c r="J42" s="207">
        <f>-SCENARIO!E97</f>
        <v>0.24484373113211419</v>
      </c>
      <c r="K42" s="207">
        <f>-SCENARIO!F97</f>
        <v>0.21912702268137488</v>
      </c>
      <c r="L42" s="207">
        <f>-SCENARIO!G97</f>
        <v>0.23392749222500131</v>
      </c>
      <c r="M42" s="207" t="e">
        <f>-SCENARIO!H97</f>
        <v>#VALUE!</v>
      </c>
      <c r="N42" s="207" t="e">
        <f>-SCENARIO!I97</f>
        <v>#VALUE!</v>
      </c>
      <c r="O42" s="207" t="e">
        <f>-SCENARIO!J97</f>
        <v>#VALUE!</v>
      </c>
      <c r="P42" s="207" t="e">
        <f>-SCENARIO!K97</f>
        <v>#VALUE!</v>
      </c>
      <c r="Q42" s="207" t="e">
        <f>-SCENARIO!L97</f>
        <v>#VALUE!</v>
      </c>
      <c r="R42" s="207" t="e">
        <f>-SCENARIO!M97</f>
        <v>#VALUE!</v>
      </c>
      <c r="S42" s="207" t="e">
        <f>-SCENARIO!N97</f>
        <v>#VALUE!</v>
      </c>
      <c r="T42" s="207" t="e">
        <f>-SCENARIO!O97</f>
        <v>#VALUE!</v>
      </c>
      <c r="U42" s="207" t="e">
        <f>-SCENARIO!P97</f>
        <v>#VALUE!</v>
      </c>
      <c r="V42" s="207" t="e">
        <f>-SCENARIO!Q97</f>
        <v>#VALUE!</v>
      </c>
    </row>
    <row r="43" spans="1:22" ht="19.899999999999999" customHeight="1">
      <c r="B43" s="189" t="s">
        <v>1852</v>
      </c>
      <c r="C43" s="188" t="s">
        <v>1854</v>
      </c>
      <c r="D43" s="207">
        <f>I43</f>
        <v>0.60499999999999998</v>
      </c>
      <c r="E43" s="188" t="s">
        <v>1853</v>
      </c>
      <c r="F43" s="212">
        <v>0.40496770439158092</v>
      </c>
      <c r="G43" s="207">
        <f>F43/D43</f>
        <v>0.66936810643236522</v>
      </c>
      <c r="I43" s="207">
        <f>(SCENARIO!D99+SCENARIO!D101+SCENARIO!D107+SCENARIO!D109)/scale</f>
        <v>0.60499999999999998</v>
      </c>
      <c r="J43" s="207">
        <f>(SCENARIO!E99+SCENARIO!E101+SCENARIO!E107+SCENARIO!E109)/scale</f>
        <v>0.66003170731707317</v>
      </c>
      <c r="K43" s="207">
        <f>(SCENARIO!F99+SCENARIO!F101+SCENARIO!F107+SCENARIO!F109)/scale</f>
        <v>0.42599383477188657</v>
      </c>
      <c r="L43" s="207">
        <f>(SCENARIO!G99+SCENARIO!G101+SCENARIO!G107+SCENARIO!G109)/scale</f>
        <v>0.40496770439158092</v>
      </c>
      <c r="M43" s="207">
        <f>(SCENARIO!H99+SCENARIO!H101+SCENARIO!H107+SCENARIO!H109)/scale</f>
        <v>0</v>
      </c>
      <c r="N43" s="207">
        <f>(SCENARIO!I99+SCENARIO!I101+SCENARIO!I107+SCENARIO!I109)/scale</f>
        <v>0</v>
      </c>
      <c r="O43" s="207">
        <f>(SCENARIO!J99+SCENARIO!J101+SCENARIO!J107+SCENARIO!J109)/scale</f>
        <v>0</v>
      </c>
      <c r="P43" s="207">
        <f>(SCENARIO!K99+SCENARIO!K101+SCENARIO!K107+SCENARIO!K109)/scale</f>
        <v>0</v>
      </c>
      <c r="Q43" s="207">
        <f>(SCENARIO!L99+SCENARIO!L101+SCENARIO!L107+SCENARIO!L109)/scale</f>
        <v>0</v>
      </c>
      <c r="R43" s="207">
        <f>(SCENARIO!M99+SCENARIO!M101+SCENARIO!M107+SCENARIO!M109)/scale</f>
        <v>0</v>
      </c>
      <c r="S43" s="207">
        <f>(SCENARIO!N99+SCENARIO!N101+SCENARIO!N107+SCENARIO!N109)/scale</f>
        <v>0</v>
      </c>
      <c r="T43" s="207">
        <f>(SCENARIO!O99+SCENARIO!O101+SCENARIO!O107+SCENARIO!O109)/scale</f>
        <v>0</v>
      </c>
      <c r="U43" s="207">
        <f>(SCENARIO!P99+SCENARIO!P101+SCENARIO!P107+SCENARIO!P109)/scale</f>
        <v>0</v>
      </c>
      <c r="V43" s="207">
        <f>(SCENARIO!Q99+SCENARIO!Q101+SCENARIO!Q107+SCENARIO!Q109)/scale</f>
        <v>0</v>
      </c>
    </row>
    <row r="44" spans="1:22" ht="13.9" customHeight="1">
      <c r="B44" s="189" t="s">
        <v>1847</v>
      </c>
      <c r="C44" s="188" t="s">
        <v>1855</v>
      </c>
      <c r="D44" s="207">
        <f>I44</f>
        <v>0</v>
      </c>
      <c r="E44" s="188" t="s">
        <v>1856</v>
      </c>
      <c r="F44" s="212">
        <v>0.27603229560841913</v>
      </c>
      <c r="G44" s="207">
        <f>IF(D44,F44/D44,F44)</f>
        <v>0.27603229560841913</v>
      </c>
      <c r="I44" s="207">
        <f>I41-I43</f>
        <v>0</v>
      </c>
      <c r="J44" s="207">
        <f t="shared" ref="J44:O44" si="3">J41-J43</f>
        <v>-3.1707317073137453E-5</v>
      </c>
      <c r="K44" s="207">
        <f t="shared" si="3"/>
        <v>0.18700616522811342</v>
      </c>
      <c r="L44" s="207">
        <f t="shared" si="3"/>
        <v>0.27603229560841913</v>
      </c>
      <c r="M44" s="207">
        <f t="shared" si="3"/>
        <v>0</v>
      </c>
      <c r="N44" s="207">
        <f t="shared" si="3"/>
        <v>0</v>
      </c>
      <c r="O44" s="207">
        <f t="shared" si="3"/>
        <v>0</v>
      </c>
      <c r="P44" s="207">
        <f t="shared" ref="P44:V44" si="4">P41-P43</f>
        <v>0</v>
      </c>
      <c r="Q44" s="207">
        <f t="shared" si="4"/>
        <v>0</v>
      </c>
      <c r="R44" s="207">
        <f t="shared" si="4"/>
        <v>0</v>
      </c>
      <c r="S44" s="207">
        <f t="shared" si="4"/>
        <v>0</v>
      </c>
      <c r="T44" s="207">
        <f t="shared" si="4"/>
        <v>0</v>
      </c>
      <c r="U44" s="207">
        <f t="shared" si="4"/>
        <v>0</v>
      </c>
      <c r="V44" s="207">
        <f t="shared" si="4"/>
        <v>0</v>
      </c>
    </row>
    <row r="45" spans="1:22" ht="13.15" customHeight="1">
      <c r="B45" s="189" t="s">
        <v>1857</v>
      </c>
      <c r="D45" s="207" t="s">
        <v>1448</v>
      </c>
      <c r="E45" s="188"/>
      <c r="F45" s="212">
        <v>0</v>
      </c>
      <c r="G45" s="207"/>
      <c r="I45" s="207"/>
      <c r="J45" s="207"/>
      <c r="K45" s="207"/>
      <c r="L45" s="207"/>
      <c r="M45" s="207"/>
      <c r="N45" s="207"/>
      <c r="O45" s="207"/>
      <c r="P45" s="207"/>
      <c r="Q45" s="207"/>
      <c r="R45" s="207"/>
      <c r="S45" s="207"/>
      <c r="T45" s="207"/>
      <c r="U45" s="207"/>
      <c r="V45" s="207"/>
    </row>
    <row r="46" spans="1:22" ht="13.15" customHeight="1">
      <c r="B46" s="189" t="s">
        <v>1838</v>
      </c>
      <c r="C46" s="188" t="s">
        <v>1585</v>
      </c>
      <c r="D46" s="207">
        <f>I46</f>
        <v>6.8310000000000004</v>
      </c>
      <c r="E46" s="188" t="s">
        <v>1586</v>
      </c>
      <c r="F46" s="212">
        <v>7.0640000000000001</v>
      </c>
      <c r="G46" s="207">
        <f>IF(D46,F46/D46,F46)</f>
        <v>1.0341092080222514</v>
      </c>
      <c r="I46" s="207">
        <f>SCENARIO!D128/scale</f>
        <v>6.8310000000000004</v>
      </c>
      <c r="J46" s="207">
        <f>SCENARIO!E128/scale</f>
        <v>7.0359999999999996</v>
      </c>
      <c r="K46" s="207">
        <f>SCENARIO!F128/scale</f>
        <v>7.0640000000000001</v>
      </c>
      <c r="L46" s="207">
        <f>SCENARIO!G128/scale</f>
        <v>7.0640000000000001</v>
      </c>
      <c r="M46" s="207">
        <f>SCENARIO!H128/scale</f>
        <v>0</v>
      </c>
      <c r="N46" s="207">
        <f>SCENARIO!I128/scale</f>
        <v>0</v>
      </c>
      <c r="O46" s="207">
        <f>SCENARIO!J128/scale</f>
        <v>0</v>
      </c>
      <c r="P46" s="207">
        <f>SCENARIO!K128/scale</f>
        <v>0</v>
      </c>
      <c r="Q46" s="207">
        <f>SCENARIO!L128/scale</f>
        <v>0</v>
      </c>
      <c r="R46" s="207">
        <f>SCENARIO!M128/scale</f>
        <v>0</v>
      </c>
      <c r="S46" s="207">
        <f>SCENARIO!N128/scale</f>
        <v>0</v>
      </c>
      <c r="T46" s="207">
        <f>SCENARIO!O128/scale</f>
        <v>0</v>
      </c>
      <c r="U46" s="207">
        <f>SCENARIO!P128/scale</f>
        <v>0</v>
      </c>
      <c r="V46" s="207">
        <f>SCENARIO!Q128/scale</f>
        <v>0</v>
      </c>
    </row>
    <row r="47" spans="1:22" ht="13.15" customHeight="1">
      <c r="A47" s="200" t="s">
        <v>1860</v>
      </c>
      <c r="D47" s="207" t="s">
        <v>1448</v>
      </c>
      <c r="E47" s="188"/>
      <c r="F47" s="212" t="s">
        <v>1448</v>
      </c>
      <c r="G47" s="207"/>
      <c r="I47" s="207"/>
      <c r="J47" s="471"/>
      <c r="K47" s="471"/>
      <c r="L47" s="471"/>
      <c r="M47" s="471"/>
      <c r="N47" s="207"/>
      <c r="O47" s="207"/>
    </row>
    <row r="48" spans="1:22" s="225" customFormat="1" ht="24.95" customHeight="1" thickBot="1">
      <c r="A48" s="225" t="s">
        <v>1861</v>
      </c>
      <c r="B48" s="226" t="s">
        <v>1846</v>
      </c>
      <c r="C48" s="227"/>
      <c r="D48" s="228" t="s">
        <v>1448</v>
      </c>
      <c r="E48" s="229"/>
      <c r="F48" s="231" t="s">
        <v>2107</v>
      </c>
      <c r="G48" s="230"/>
      <c r="H48" s="231" t="s">
        <v>2106</v>
      </c>
      <c r="I48" s="229">
        <v>2000</v>
      </c>
      <c r="J48" s="229">
        <v>2001</v>
      </c>
      <c r="K48" s="229">
        <v>2002</v>
      </c>
      <c r="L48" s="229">
        <v>2003</v>
      </c>
      <c r="M48" s="229"/>
      <c r="N48" s="230"/>
      <c r="O48" s="230"/>
      <c r="P48" s="230"/>
      <c r="Q48" s="230"/>
      <c r="R48" s="230"/>
      <c r="S48" s="232"/>
      <c r="T48" s="232"/>
    </row>
    <row r="49" spans="1:15" ht="13.15" customHeight="1">
      <c r="A49" s="200" t="s">
        <v>1448</v>
      </c>
      <c r="B49" s="189" t="s">
        <v>1612</v>
      </c>
      <c r="C49" s="188" t="s">
        <v>1613</v>
      </c>
      <c r="D49" s="207">
        <f>'MACRO DATA'!D78/scale</f>
        <v>0.89</v>
      </c>
      <c r="E49" s="188" t="s">
        <v>1614</v>
      </c>
      <c r="F49" s="383">
        <v>1.0232605818170819</v>
      </c>
      <c r="G49" s="207">
        <f>E/E0</f>
        <v>1.1497309908057101</v>
      </c>
      <c r="H49" s="381">
        <f>F49</f>
        <v>1.0232605818170819</v>
      </c>
      <c r="I49" s="207">
        <v>0.8900000103416742</v>
      </c>
      <c r="J49" s="207">
        <v>0.92321187110995584</v>
      </c>
      <c r="K49" s="207">
        <v>0.97245571145032017</v>
      </c>
      <c r="L49" s="207">
        <v>1.0232605818170819</v>
      </c>
      <c r="M49" s="207"/>
      <c r="N49" s="207"/>
      <c r="O49" s="207"/>
    </row>
    <row r="50" spans="1:15" ht="13.15" customHeight="1">
      <c r="B50" s="189" t="s">
        <v>1615</v>
      </c>
      <c r="C50" s="188" t="s">
        <v>1616</v>
      </c>
      <c r="D50" s="207">
        <f>'MACRO DATA'!D79/scale</f>
        <v>1.333</v>
      </c>
      <c r="E50" s="188" t="s">
        <v>1617</v>
      </c>
      <c r="F50" s="384">
        <v>1.4869211949383694</v>
      </c>
      <c r="G50" s="207">
        <f>M/M0</f>
        <v>1.1154697636446882</v>
      </c>
      <c r="H50" s="382">
        <f t="shared" ref="H50:H79" si="5">F50</f>
        <v>1.4869211949383694</v>
      </c>
      <c r="I50" s="207">
        <v>1.3330000103416744</v>
      </c>
      <c r="J50" s="207">
        <v>1.5100688207987438</v>
      </c>
      <c r="K50" s="207">
        <v>1.4531113173554586</v>
      </c>
      <c r="L50" s="207">
        <v>1.4869211949383694</v>
      </c>
      <c r="M50" s="207"/>
      <c r="N50" s="207"/>
      <c r="O50" s="207"/>
    </row>
    <row r="51" spans="1:15" ht="13.15" customHeight="1">
      <c r="B51" s="189" t="s">
        <v>1618</v>
      </c>
      <c r="C51" s="188" t="s">
        <v>1619</v>
      </c>
      <c r="D51" s="207">
        <f>X0-E0*Pe0</f>
        <v>5.2693880000000002</v>
      </c>
      <c r="E51" s="188" t="s">
        <v>1620</v>
      </c>
      <c r="F51" s="384">
        <v>5.8711745853385731</v>
      </c>
      <c r="G51" s="207">
        <f>Ds/Ds0</f>
        <v>1.1142042653413591</v>
      </c>
      <c r="H51" s="382">
        <f t="shared" si="5"/>
        <v>5.8711745853385731</v>
      </c>
      <c r="I51" s="207">
        <v>5.2693879894805624</v>
      </c>
      <c r="J51" s="207">
        <v>5.5134181581136072</v>
      </c>
      <c r="K51" s="207">
        <v>5.6769086080751103</v>
      </c>
      <c r="L51" s="207">
        <v>5.8711745853385731</v>
      </c>
      <c r="M51" s="207"/>
      <c r="N51" s="207"/>
      <c r="O51" s="207"/>
    </row>
    <row r="52" spans="1:15" ht="13.15" customHeight="1">
      <c r="B52" s="189" t="s">
        <v>1621</v>
      </c>
      <c r="C52" s="188" t="s">
        <v>1622</v>
      </c>
      <c r="D52" s="207">
        <f>Ds0</f>
        <v>5.2693880000000002</v>
      </c>
      <c r="E52" s="188" t="s">
        <v>1623</v>
      </c>
      <c r="F52" s="384">
        <v>5.8711745853385775</v>
      </c>
      <c r="G52" s="207">
        <f>Dd/Dd0</f>
        <v>1.1142042653413597</v>
      </c>
      <c r="H52" s="382">
        <f t="shared" si="5"/>
        <v>5.8711745853385775</v>
      </c>
      <c r="I52" s="207">
        <v>5.2693879894805669</v>
      </c>
      <c r="J52" s="207">
        <v>5.5134181581136108</v>
      </c>
      <c r="K52" s="207">
        <v>5.6769086080751139</v>
      </c>
      <c r="L52" s="207">
        <v>5.8711745853385775</v>
      </c>
      <c r="M52" s="207"/>
      <c r="N52" s="207"/>
      <c r="O52" s="207"/>
    </row>
    <row r="53" spans="1:15" ht="13.15" customHeight="1">
      <c r="B53" s="189" t="s">
        <v>1624</v>
      </c>
      <c r="C53" s="188" t="s">
        <v>1625</v>
      </c>
      <c r="D53" s="207">
        <f>(M0*Pm0 + Dd0)</f>
        <v>10.0130844</v>
      </c>
      <c r="E53" s="188" t="s">
        <v>1626</v>
      </c>
      <c r="F53" s="384">
        <v>11.162621476910534</v>
      </c>
      <c r="G53" s="207">
        <f>Qs/Qs0</f>
        <v>1.114803494207093</v>
      </c>
      <c r="H53" s="382">
        <f t="shared" si="5"/>
        <v>11.162621476910534</v>
      </c>
      <c r="I53" s="207">
        <v>10.013084405759626</v>
      </c>
      <c r="J53" s="207">
        <v>10.872969334368365</v>
      </c>
      <c r="K53" s="207">
        <v>10.847727675709603</v>
      </c>
      <c r="L53" s="207">
        <v>11.162621476910534</v>
      </c>
      <c r="M53" s="207"/>
      <c r="N53" s="207"/>
      <c r="O53" s="207"/>
    </row>
    <row r="54" spans="1:15" ht="13.35" customHeight="1">
      <c r="B54" s="189" t="s">
        <v>1627</v>
      </c>
      <c r="C54" s="188" t="s">
        <v>1628</v>
      </c>
      <c r="D54" s="207">
        <f>Qs0</f>
        <v>10.0130844</v>
      </c>
      <c r="E54" s="188" t="s">
        <v>1629</v>
      </c>
      <c r="F54" s="384">
        <v>11.162621476910543</v>
      </c>
      <c r="G54" s="207">
        <f>Qd/Qd0</f>
        <v>1.1148034942070939</v>
      </c>
      <c r="H54" s="382">
        <f t="shared" si="5"/>
        <v>11.162621476910543</v>
      </c>
      <c r="I54" s="207">
        <v>10.013084405759631</v>
      </c>
      <c r="J54" s="207">
        <v>10.872969334368372</v>
      </c>
      <c r="K54" s="207">
        <v>10.847727675709608</v>
      </c>
      <c r="L54" s="207">
        <v>11.162621476910543</v>
      </c>
      <c r="M54" s="207"/>
      <c r="N54" s="207"/>
      <c r="O54" s="207"/>
    </row>
    <row r="55" spans="1:15" ht="24.95" customHeight="1">
      <c r="B55" s="189" t="s">
        <v>1630</v>
      </c>
      <c r="C55" s="188" t="s">
        <v>1631</v>
      </c>
      <c r="D55" s="207">
        <f xml:space="preserve"> Px0*X0 + tr0*Pq0 + (nctp0+nfyp0)*Er0</f>
        <v>7.9390504000000002</v>
      </c>
      <c r="E55" s="188" t="s">
        <v>1632</v>
      </c>
      <c r="F55" s="385">
        <v>14.34613934682918</v>
      </c>
      <c r="G55" s="207">
        <f>Y/Y0</f>
        <v>1.8070346734200327</v>
      </c>
      <c r="H55" s="382">
        <f>F55*$H$82</f>
        <v>14.601518714732682</v>
      </c>
      <c r="I55" s="207">
        <v>7.9390424087716349</v>
      </c>
      <c r="J55" s="207">
        <v>10.255370569948917</v>
      </c>
      <c r="K55" s="207">
        <v>12.826451102065388</v>
      </c>
      <c r="L55" s="207">
        <v>14.601518714732682</v>
      </c>
      <c r="M55" s="207"/>
      <c r="N55" s="207"/>
      <c r="O55" s="207"/>
    </row>
    <row r="56" spans="1:15" ht="13.15" customHeight="1">
      <c r="B56" s="189" t="s">
        <v>1633</v>
      </c>
      <c r="C56" s="188" t="s">
        <v>1634</v>
      </c>
      <c r="D56" s="207">
        <f>sy0*Y0 + Er0*B0 + Sg0</f>
        <v>1.6548000000000005</v>
      </c>
      <c r="E56" s="188" t="s">
        <v>1635</v>
      </c>
      <c r="F56" s="385">
        <v>2.3079217178016713</v>
      </c>
      <c r="G56" s="207">
        <f>S/S0</f>
        <v>1.3946831748861921</v>
      </c>
      <c r="H56" s="382">
        <f>F56*$H$82</f>
        <v>2.3490056341929635</v>
      </c>
      <c r="I56" s="207">
        <v>1.6548078813334341</v>
      </c>
      <c r="J56" s="207">
        <v>1.6888458814504539</v>
      </c>
      <c r="K56" s="207">
        <v>1.6440050583546846</v>
      </c>
      <c r="L56" s="207">
        <v>2.3490056341929635</v>
      </c>
      <c r="M56" s="207"/>
      <c r="N56" s="207"/>
      <c r="O56" s="207"/>
    </row>
    <row r="57" spans="1:15" ht="13.15" customHeight="1">
      <c r="B57" s="189" t="s">
        <v>1636</v>
      </c>
      <c r="C57" s="188" t="s">
        <v>1637</v>
      </c>
      <c r="D57" s="207">
        <f>(GDP0-(G0+Z0)*Pt0 + wm0*Er0*M0 - we0*Er0*E0)/Pt0</f>
        <v>7.5486551730764626</v>
      </c>
      <c r="E57" s="188" t="s">
        <v>1638</v>
      </c>
      <c r="F57" s="385">
        <v>8.6391811915843988</v>
      </c>
      <c r="G57" s="207">
        <f>Cn/Cn0</f>
        <v>1.1444662649841895</v>
      </c>
      <c r="H57" s="382">
        <f t="shared" si="5"/>
        <v>8.6391811915843988</v>
      </c>
      <c r="I57" s="207">
        <v>7.5486476947184347</v>
      </c>
      <c r="J57" s="207">
        <v>8.4358539250541913</v>
      </c>
      <c r="K57" s="207">
        <v>8.6503161799803738</v>
      </c>
      <c r="L57" s="207">
        <v>8.6391811915843988</v>
      </c>
      <c r="M57" s="207"/>
      <c r="N57" s="207"/>
      <c r="O57" s="207"/>
    </row>
    <row r="58" spans="1:15" ht="24.95" customHeight="1">
      <c r="B58" s="189" t="s">
        <v>1639</v>
      </c>
      <c r="C58" s="188" t="s">
        <v>1640</v>
      </c>
      <c r="D58" s="207">
        <f>Er0*wm0*(1+tm0*taj0)</f>
        <v>3.5586619654913725</v>
      </c>
      <c r="E58" s="211" t="s">
        <v>1641</v>
      </c>
      <c r="F58" s="386">
        <v>5.681724905548637</v>
      </c>
      <c r="G58" s="207">
        <f>Pm/Pm0</f>
        <v>1.5965902242597847</v>
      </c>
      <c r="H58" s="382">
        <f t="shared" ref="H58:H63" si="6">F58*$H$82</f>
        <v>5.7828667723534721</v>
      </c>
      <c r="I58" s="207">
        <v>3.5586618858703924</v>
      </c>
      <c r="J58" s="207">
        <v>3.9126918307968572</v>
      </c>
      <c r="K58" s="233">
        <v>5.0662536822618263</v>
      </c>
      <c r="L58" s="207">
        <v>5.7828667723534721</v>
      </c>
      <c r="M58" s="207"/>
      <c r="N58" s="207"/>
      <c r="O58" s="207"/>
    </row>
    <row r="59" spans="1:15" ht="13.15" customHeight="1">
      <c r="B59" s="189" t="s">
        <v>1642</v>
      </c>
      <c r="C59" s="188" t="s">
        <v>1643</v>
      </c>
      <c r="D59" s="207">
        <f>Er0*we0/(1+te0*taj0-se0)</f>
        <v>3.1107999999999998</v>
      </c>
      <c r="E59" s="211" t="s">
        <v>1644</v>
      </c>
      <c r="F59" s="386">
        <v>5.2433184540765847</v>
      </c>
      <c r="G59" s="207">
        <f>Pe/Pe0</f>
        <v>1.6855209123301353</v>
      </c>
      <c r="H59" s="382">
        <f t="shared" si="6"/>
        <v>5.3366561333048859</v>
      </c>
      <c r="I59" s="207">
        <v>3.1107999294364252</v>
      </c>
      <c r="J59" s="207">
        <v>3.8487678630526094</v>
      </c>
      <c r="K59" s="233">
        <v>4.6239607497061721</v>
      </c>
      <c r="L59" s="207">
        <v>5.3366561333048859</v>
      </c>
      <c r="M59" s="207"/>
      <c r="N59" s="207"/>
      <c r="O59" s="207"/>
    </row>
    <row r="60" spans="1:15" ht="13.15" customHeight="1">
      <c r="B60" s="189" t="s">
        <v>1645</v>
      </c>
      <c r="C60" s="188" t="s">
        <v>1646</v>
      </c>
      <c r="D60" s="207">
        <f>Pq0*(1+ts0-su0)</f>
        <v>1.04194511733068</v>
      </c>
      <c r="E60" s="188" t="s">
        <v>1647</v>
      </c>
      <c r="F60" s="386">
        <v>1.6908357233368678</v>
      </c>
      <c r="G60" s="207">
        <f>Pt/Pt0</f>
        <v>1.6227685078735781</v>
      </c>
      <c r="H60" s="382">
        <f t="shared" si="6"/>
        <v>1.7209347310082153</v>
      </c>
      <c r="I60" s="207">
        <v>1.0419451037419944</v>
      </c>
      <c r="J60" s="207">
        <v>1.2377794842138954</v>
      </c>
      <c r="K60" s="233">
        <v>1.5163658902786625</v>
      </c>
      <c r="L60" s="207">
        <v>1.7209347310082153</v>
      </c>
      <c r="M60" s="207"/>
      <c r="N60" s="207"/>
      <c r="O60" s="207"/>
    </row>
    <row r="61" spans="1:15" ht="13.15" customHeight="1">
      <c r="B61" s="189" t="s">
        <v>1648</v>
      </c>
      <c r="C61" s="188" t="s">
        <v>1649</v>
      </c>
      <c r="D61" s="207">
        <f>(Pm0*M0+Dd0*Pd0)/Qs0</f>
        <v>1</v>
      </c>
      <c r="E61" s="188" t="s">
        <v>1650</v>
      </c>
      <c r="F61" s="385">
        <v>1.5981808858319964</v>
      </c>
      <c r="G61" s="207">
        <f>Pq/Pq0</f>
        <v>1.5981808858319964</v>
      </c>
      <c r="H61" s="382">
        <f t="shared" si="6"/>
        <v>1.626630520577071</v>
      </c>
      <c r="I61" s="207">
        <v>0.99999998695493642</v>
      </c>
      <c r="J61" s="207">
        <v>1.1798661596087661</v>
      </c>
      <c r="K61" s="207">
        <v>1.4384560317530939</v>
      </c>
      <c r="L61" s="207">
        <v>1.626630520577071</v>
      </c>
      <c r="M61" s="207"/>
      <c r="N61" s="207"/>
      <c r="O61" s="207"/>
    </row>
    <row r="62" spans="1:15" ht="13.15" customHeight="1">
      <c r="B62" s="189" t="s">
        <v>1651</v>
      </c>
      <c r="C62" s="188" t="s">
        <v>1652</v>
      </c>
      <c r="D62" s="207">
        <v>1</v>
      </c>
      <c r="E62" s="188" t="s">
        <v>1653</v>
      </c>
      <c r="F62" s="385">
        <v>1.5996136745735665</v>
      </c>
      <c r="G62" s="207">
        <f>Pd/Pd0</f>
        <v>1.5996136745735665</v>
      </c>
      <c r="H62" s="382">
        <f t="shared" si="6"/>
        <v>1.628088814764693</v>
      </c>
      <c r="I62" s="207">
        <v>1.0000000029602947</v>
      </c>
      <c r="J62" s="207">
        <v>1.2551587069997305</v>
      </c>
      <c r="K62" s="207">
        <v>1.451872726624811</v>
      </c>
      <c r="L62" s="207">
        <v>1.628088814764693</v>
      </c>
      <c r="M62" s="207"/>
      <c r="N62" s="207"/>
      <c r="O62" s="207"/>
    </row>
    <row r="63" spans="1:15" ht="13.15" customHeight="1">
      <c r="B63" s="189" t="s">
        <v>1654</v>
      </c>
      <c r="C63" s="188" t="s">
        <v>1655</v>
      </c>
      <c r="D63" s="207">
        <f>GDP0/X0</f>
        <v>1.126524010947997</v>
      </c>
      <c r="E63" s="188" t="s">
        <v>1656</v>
      </c>
      <c r="F63" s="385">
        <v>1.1173482271505177</v>
      </c>
      <c r="G63" s="207">
        <f>Py/Py0</f>
        <v>0.9918547818703326</v>
      </c>
      <c r="H63" s="382">
        <f t="shared" si="6"/>
        <v>1.1372384343400126</v>
      </c>
      <c r="I63" s="207">
        <v>1.1173482021511327</v>
      </c>
      <c r="J63" s="207">
        <v>1.0248303483022154</v>
      </c>
      <c r="K63" s="207">
        <v>1.1257318929546278</v>
      </c>
      <c r="L63" s="207">
        <v>1.1372384343400126</v>
      </c>
      <c r="M63" s="207"/>
      <c r="N63" s="207"/>
      <c r="O63" s="207"/>
    </row>
    <row r="64" spans="1:15" ht="13.15" customHeight="1">
      <c r="B64" s="189" t="s">
        <v>1659</v>
      </c>
      <c r="C64" s="188" t="s">
        <v>1660</v>
      </c>
      <c r="D64" s="207">
        <f>wm0/Pd0</f>
        <v>1</v>
      </c>
      <c r="E64" s="211" t="s">
        <v>1661</v>
      </c>
      <c r="F64" s="386">
        <v>1</v>
      </c>
      <c r="G64" s="207">
        <f>Rer/Rer0</f>
        <v>1</v>
      </c>
      <c r="H64" s="382">
        <f t="shared" si="5"/>
        <v>1</v>
      </c>
      <c r="I64" s="207">
        <v>1</v>
      </c>
      <c r="J64" s="207">
        <v>1</v>
      </c>
      <c r="K64" s="233">
        <v>1</v>
      </c>
      <c r="L64" s="207">
        <v>1</v>
      </c>
      <c r="M64" s="207"/>
      <c r="N64" s="207"/>
      <c r="O64" s="207"/>
    </row>
    <row r="65" spans="1:15" ht="24.95" customHeight="1">
      <c r="B65" s="189" t="s">
        <v>1662</v>
      </c>
      <c r="C65" s="188" t="s">
        <v>1537</v>
      </c>
      <c r="D65" s="207">
        <f>Z0</f>
        <v>1.588183458490952</v>
      </c>
      <c r="E65" s="188" t="s">
        <v>1538</v>
      </c>
      <c r="F65" s="385">
        <f>Z</f>
        <v>1.3649589626576759</v>
      </c>
      <c r="G65" s="207">
        <f>Z/Z0</f>
        <v>0.85944665609011073</v>
      </c>
      <c r="H65" s="382">
        <f t="shared" si="5"/>
        <v>1.3649589626576759</v>
      </c>
      <c r="I65" s="207">
        <v>1.5881909426086136</v>
      </c>
      <c r="J65" s="207">
        <v>1.3644157663736411</v>
      </c>
      <c r="K65" s="207">
        <v>1.0841742552065132</v>
      </c>
      <c r="L65" s="207">
        <v>1.3649589626576759</v>
      </c>
      <c r="M65" s="207"/>
      <c r="N65" s="207"/>
      <c r="O65" s="207"/>
    </row>
    <row r="66" spans="1:15" ht="24" customHeight="1">
      <c r="B66" s="189" t="s">
        <v>1663</v>
      </c>
      <c r="C66" s="188" t="s">
        <v>1664</v>
      </c>
      <c r="D66" s="207">
        <f>'MACRO DATA'!D120/scale</f>
        <v>2.3919999999999999</v>
      </c>
      <c r="E66" s="188" t="s">
        <v>1665</v>
      </c>
      <c r="F66" s="387">
        <v>3.145268751681078</v>
      </c>
      <c r="G66" s="207">
        <f>MS/MS0</f>
        <v>1.3149116854854006</v>
      </c>
      <c r="H66" s="382">
        <f>F66*$H$82</f>
        <v>3.2012585009977461</v>
      </c>
      <c r="I66" s="207">
        <v>1.7190066529120882</v>
      </c>
      <c r="J66" s="207">
        <v>2.2078792045840778</v>
      </c>
      <c r="K66" s="234">
        <v>2.7107481080178593</v>
      </c>
      <c r="L66" s="207">
        <v>3.2012585009977461</v>
      </c>
      <c r="M66" s="207"/>
      <c r="N66" s="207"/>
      <c r="O66" s="207"/>
    </row>
    <row r="67" spans="1:15" ht="13.15" customHeight="1">
      <c r="B67" s="189" t="s">
        <v>1666</v>
      </c>
      <c r="C67" s="188" t="s">
        <v>1667</v>
      </c>
      <c r="D67" s="207">
        <f>GDP0/D66</f>
        <v>3.7855351170568561</v>
      </c>
      <c r="E67" s="188" t="s">
        <v>1668</v>
      </c>
      <c r="F67" s="388">
        <v>5.2675770308123253</v>
      </c>
      <c r="G67" s="207">
        <f>ve/ve0</f>
        <v>1.3915012984763206</v>
      </c>
      <c r="H67" s="382">
        <f t="shared" si="5"/>
        <v>5.2675770308123253</v>
      </c>
      <c r="I67" s="207">
        <v>5.2675770308123253</v>
      </c>
      <c r="J67" s="207">
        <v>5.2675770308123253</v>
      </c>
      <c r="K67" s="220">
        <v>5.2675770308123253</v>
      </c>
      <c r="L67" s="207">
        <v>5.2675770308123253</v>
      </c>
      <c r="M67" s="207"/>
      <c r="N67" s="207"/>
      <c r="O67" s="207"/>
    </row>
    <row r="68" spans="1:15" ht="19.899999999999999" customHeight="1">
      <c r="B68" s="189" t="s">
        <v>1672</v>
      </c>
      <c r="C68" s="188" t="s">
        <v>1673</v>
      </c>
      <c r="D68" s="207">
        <f xml:space="preserve"> Tax0 - G0*Pt0 - tr0*Pq0 + (nctg0+nfyg0)*Er0</f>
        <v>0.52499999999999991</v>
      </c>
      <c r="E68" s="188" t="s">
        <v>1674</v>
      </c>
      <c r="F68" s="385">
        <v>0.15374107610710802</v>
      </c>
      <c r="G68" s="207">
        <f>Sg/Sg0</f>
        <v>0.29284014496592009</v>
      </c>
      <c r="H68" s="382">
        <f>F68*$H$82</f>
        <v>0.15647786109767869</v>
      </c>
      <c r="I68" s="207">
        <v>0.5250071738106129</v>
      </c>
      <c r="J68" s="207">
        <v>0.30852903080940836</v>
      </c>
      <c r="K68" s="207">
        <v>4.6977917877560303E-2</v>
      </c>
      <c r="L68" s="207">
        <v>0.15647786109767869</v>
      </c>
      <c r="M68" s="207"/>
      <c r="N68" s="207"/>
      <c r="O68" s="207"/>
    </row>
    <row r="69" spans="1:15" ht="24.95" customHeight="1">
      <c r="B69" s="189" t="s">
        <v>1669</v>
      </c>
      <c r="C69" s="188" t="s">
        <v>1670</v>
      </c>
      <c r="D69" s="207">
        <f xml:space="preserve"> tm0*wm0*M0*Er0+(te0-se0)*Pe0*E0+(ts0-su0)*Pq0*Qd0 + ty0*Y0</f>
        <v>1.843</v>
      </c>
      <c r="E69" s="188" t="s">
        <v>1671</v>
      </c>
      <c r="F69" s="385">
        <v>2.9090692899797825</v>
      </c>
      <c r="G69" s="207">
        <f>IF(Tax0 = 0,0,Tax/Tax0)</f>
        <v>1.5784423711230509</v>
      </c>
      <c r="H69" s="382">
        <f>F69*$H$82</f>
        <v>2.9608543910792453</v>
      </c>
      <c r="I69" s="207">
        <v>1.8429991593998685</v>
      </c>
      <c r="J69" s="207">
        <v>1.9420822405914364</v>
      </c>
      <c r="K69" s="207">
        <v>2.4650560852307861</v>
      </c>
      <c r="L69" s="207">
        <v>2.9608543910792453</v>
      </c>
      <c r="M69" s="207"/>
      <c r="N69" s="207"/>
      <c r="O69" s="207"/>
    </row>
    <row r="70" spans="1:15" ht="24.95" customHeight="1">
      <c r="A70" s="235"/>
      <c r="B70" s="236" t="s">
        <v>1675</v>
      </c>
      <c r="C70" s="237" t="s">
        <v>1676</v>
      </c>
      <c r="D70" s="238">
        <v>1</v>
      </c>
      <c r="E70" s="237" t="s">
        <v>1677</v>
      </c>
      <c r="F70" s="389">
        <v>1</v>
      </c>
      <c r="G70" s="238">
        <f>taj</f>
        <v>1</v>
      </c>
      <c r="H70" s="382">
        <f t="shared" si="5"/>
        <v>1</v>
      </c>
      <c r="I70" s="207">
        <v>1</v>
      </c>
      <c r="J70" s="207">
        <v>1</v>
      </c>
      <c r="K70" s="207">
        <v>1</v>
      </c>
      <c r="L70" s="207">
        <v>1</v>
      </c>
      <c r="M70" s="207"/>
      <c r="N70" s="207"/>
      <c r="O70" s="207"/>
    </row>
    <row r="71" spans="1:15" ht="13.15" customHeight="1">
      <c r="B71" s="189" t="s">
        <v>1678</v>
      </c>
      <c r="C71" s="188" t="s">
        <v>1679</v>
      </c>
      <c r="D71" s="207">
        <v>1</v>
      </c>
      <c r="E71" s="188" t="s">
        <v>1680</v>
      </c>
      <c r="F71" s="385">
        <v>1</v>
      </c>
      <c r="G71" s="207">
        <f>taj</f>
        <v>1</v>
      </c>
      <c r="H71" s="382">
        <f t="shared" si="5"/>
        <v>1</v>
      </c>
      <c r="I71" s="207">
        <v>1</v>
      </c>
      <c r="J71" s="207">
        <v>1</v>
      </c>
      <c r="K71" s="207">
        <v>1</v>
      </c>
      <c r="L71" s="207">
        <v>1</v>
      </c>
      <c r="M71" s="207"/>
      <c r="N71" s="207"/>
      <c r="O71" s="207"/>
    </row>
    <row r="72" spans="1:15" ht="13.15" customHeight="1">
      <c r="B72" s="189" t="s">
        <v>1681</v>
      </c>
      <c r="C72" s="188" t="s">
        <v>1544</v>
      </c>
      <c r="D72" s="207">
        <f>tm0</f>
        <v>0.14397002876796092</v>
      </c>
      <c r="E72" s="211" t="s">
        <v>1682</v>
      </c>
      <c r="F72" s="384">
        <f>tm*taj</f>
        <v>0.10125565684367988</v>
      </c>
      <c r="G72" s="207">
        <f>tm/tm0</f>
        <v>0.7033106661864702</v>
      </c>
      <c r="H72" s="382">
        <f t="shared" si="5"/>
        <v>0.10125565684367988</v>
      </c>
      <c r="I72" s="207">
        <v>0.14397002876796092</v>
      </c>
      <c r="J72" s="207">
        <v>9.793765891326868E-2</v>
      </c>
      <c r="K72" s="212">
        <v>0.10427786296477044</v>
      </c>
      <c r="L72" s="207">
        <v>0.10125565684367988</v>
      </c>
      <c r="M72" s="207"/>
      <c r="N72" s="207"/>
      <c r="O72" s="207"/>
    </row>
    <row r="73" spans="1:15" ht="13.15" customHeight="1">
      <c r="B73" s="189" t="s">
        <v>1683</v>
      </c>
      <c r="C73" s="188" t="s">
        <v>1547</v>
      </c>
      <c r="D73" s="207">
        <f>te0</f>
        <v>0</v>
      </c>
      <c r="E73" s="211" t="s">
        <v>1684</v>
      </c>
      <c r="F73" s="384">
        <f>te*taj</f>
        <v>0</v>
      </c>
      <c r="G73" s="207">
        <f>IF(D73,F73/D73,F73)</f>
        <v>0</v>
      </c>
      <c r="H73" s="382">
        <f t="shared" si="5"/>
        <v>0</v>
      </c>
      <c r="I73" s="207">
        <v>0</v>
      </c>
      <c r="J73" s="207">
        <v>0</v>
      </c>
      <c r="K73" s="212">
        <v>0</v>
      </c>
      <c r="L73" s="207">
        <v>0</v>
      </c>
      <c r="M73" s="207"/>
      <c r="N73" s="207"/>
      <c r="O73" s="207"/>
    </row>
    <row r="74" spans="1:15" ht="13.15" customHeight="1">
      <c r="B74" s="189" t="s">
        <v>1685</v>
      </c>
      <c r="C74" s="188" t="s">
        <v>1550</v>
      </c>
      <c r="D74" s="207">
        <f>ts0</f>
        <v>5.0733618104727055E-2</v>
      </c>
      <c r="E74" s="211" t="s">
        <v>1686</v>
      </c>
      <c r="F74" s="384">
        <f>ts*taj*tad</f>
        <v>7.0862452426071948E-2</v>
      </c>
      <c r="G74" s="207">
        <f>ts/ts0</f>
        <v>1.3967553482937858</v>
      </c>
      <c r="H74" s="382">
        <f t="shared" si="5"/>
        <v>7.0862452426071948E-2</v>
      </c>
      <c r="I74" s="207">
        <v>5.0733618104727055E-2</v>
      </c>
      <c r="J74" s="207">
        <v>6.4051158027854327E-2</v>
      </c>
      <c r="K74" s="212">
        <v>6.7812505089949099E-2</v>
      </c>
      <c r="L74" s="207">
        <v>7.0862452426071948E-2</v>
      </c>
      <c r="M74" s="207"/>
      <c r="N74" s="207"/>
      <c r="O74" s="207"/>
    </row>
    <row r="75" spans="1:15" ht="13.15" customHeight="1">
      <c r="B75" s="189" t="s">
        <v>1687</v>
      </c>
      <c r="C75" s="188" t="s">
        <v>1553</v>
      </c>
      <c r="D75" s="207">
        <f>ty0</f>
        <v>0.10404266988908396</v>
      </c>
      <c r="E75" s="188" t="s">
        <v>1688</v>
      </c>
      <c r="F75" s="384">
        <f>ty*taj*tad</f>
        <v>7.653739605884792E-2</v>
      </c>
      <c r="G75" s="207">
        <f>ty/ty0</f>
        <v>0.73563467892972756</v>
      </c>
      <c r="H75" s="382">
        <f t="shared" si="5"/>
        <v>7.653739605884792E-2</v>
      </c>
      <c r="I75" s="207">
        <v>0.10404266988908396</v>
      </c>
      <c r="J75" s="207">
        <v>7.657952494984116E-2</v>
      </c>
      <c r="K75" s="212">
        <v>7.2095348730751324E-2</v>
      </c>
      <c r="L75" s="207">
        <v>7.653739605884792E-2</v>
      </c>
      <c r="M75" s="207"/>
      <c r="N75" s="207"/>
      <c r="O75" s="207"/>
    </row>
    <row r="76" spans="1:15" ht="13.15" customHeight="1">
      <c r="B76" s="189" t="s">
        <v>1555</v>
      </c>
      <c r="C76" s="188" t="s">
        <v>1556</v>
      </c>
      <c r="D76" s="207">
        <f>G0</f>
        <v>0.87624576843258351</v>
      </c>
      <c r="E76" s="188" t="s">
        <v>1557</v>
      </c>
      <c r="F76" s="384">
        <f>G</f>
        <v>1.1584813226684683</v>
      </c>
      <c r="G76" s="207">
        <v>1</v>
      </c>
      <c r="H76" s="382">
        <f t="shared" si="5"/>
        <v>1.1584813226684683</v>
      </c>
      <c r="I76" s="207">
        <v>0.87624576843258351</v>
      </c>
      <c r="J76" s="207">
        <v>1.07269964294054</v>
      </c>
      <c r="K76" s="212">
        <v>1.1132372405227215</v>
      </c>
      <c r="L76" s="207">
        <v>1.1584813226684683</v>
      </c>
      <c r="M76" s="207"/>
      <c r="N76" s="207"/>
      <c r="O76" s="207"/>
    </row>
    <row r="77" spans="1:15" ht="13.15" customHeight="1">
      <c r="B77" s="189" t="s">
        <v>1558</v>
      </c>
      <c r="C77" s="188" t="s">
        <v>1559</v>
      </c>
      <c r="D77" s="207">
        <f>tr0</f>
        <v>0.33700000000000002</v>
      </c>
      <c r="E77" s="188" t="s">
        <v>1560</v>
      </c>
      <c r="F77" s="384">
        <f>tr</f>
        <v>0.40328764944038692</v>
      </c>
      <c r="G77" s="207">
        <v>1.0000081752533534</v>
      </c>
      <c r="H77" s="382">
        <f t="shared" si="5"/>
        <v>0.40328764944038692</v>
      </c>
      <c r="I77" s="207">
        <v>0.3369919664146579</v>
      </c>
      <c r="J77" s="207">
        <v>0.47123988216026946</v>
      </c>
      <c r="K77" s="212">
        <v>0.41503718262306755</v>
      </c>
      <c r="L77" s="207">
        <v>0.40328764944038692</v>
      </c>
      <c r="M77" s="207"/>
      <c r="N77" s="207"/>
      <c r="O77" s="207"/>
    </row>
    <row r="78" spans="1:15" ht="13.15" customHeight="1">
      <c r="B78" s="189" t="s">
        <v>1561</v>
      </c>
      <c r="C78" s="188" t="s">
        <v>1562</v>
      </c>
      <c r="D78" s="207">
        <f>se0</f>
        <v>0</v>
      </c>
      <c r="E78" s="188" t="s">
        <v>1563</v>
      </c>
      <c r="F78" s="384">
        <f>se</f>
        <v>0</v>
      </c>
      <c r="G78" s="207">
        <v>0</v>
      </c>
      <c r="H78" s="382">
        <f t="shared" si="5"/>
        <v>0</v>
      </c>
      <c r="I78" s="207">
        <v>9.2571707886030104E-10</v>
      </c>
      <c r="J78" s="207">
        <v>0</v>
      </c>
      <c r="K78" s="212">
        <v>-1.3749360633396797E-15</v>
      </c>
      <c r="L78" s="207">
        <v>0</v>
      </c>
      <c r="M78" s="207"/>
      <c r="N78" s="207"/>
      <c r="O78" s="207"/>
    </row>
    <row r="79" spans="1:15" ht="13.15" customHeight="1">
      <c r="B79" s="189" t="s">
        <v>1564</v>
      </c>
      <c r="C79" s="188" t="s">
        <v>1565</v>
      </c>
      <c r="D79" s="207">
        <f>su0</f>
        <v>8.788500774047206E-3</v>
      </c>
      <c r="E79" s="188" t="s">
        <v>1566</v>
      </c>
      <c r="F79" s="384">
        <f>su</f>
        <v>1.2887264430361473E-2</v>
      </c>
      <c r="G79" s="207">
        <v>0.99998739040002305</v>
      </c>
      <c r="H79" s="382">
        <f t="shared" si="5"/>
        <v>1.2887264430361473E-2</v>
      </c>
      <c r="I79" s="207">
        <v>8.788500892586119E-3</v>
      </c>
      <c r="J79" s="207">
        <v>1.4966502225230154E-2</v>
      </c>
      <c r="K79" s="212">
        <v>1.3650364108027509E-2</v>
      </c>
      <c r="L79" s="207">
        <v>1.2887264430361473E-2</v>
      </c>
      <c r="M79" s="207"/>
      <c r="N79" s="207"/>
      <c r="O79" s="207"/>
    </row>
    <row r="80" spans="1:15" ht="20.100000000000001" customHeight="1">
      <c r="B80" s="189" t="s">
        <v>1848</v>
      </c>
      <c r="C80" s="188" t="s">
        <v>1657</v>
      </c>
      <c r="D80" s="207">
        <f>Er0</f>
        <v>3.1107999999999998</v>
      </c>
      <c r="E80" s="211" t="s">
        <v>1658</v>
      </c>
      <c r="F80" s="386">
        <f>Er</f>
        <v>5.1593150693391996</v>
      </c>
      <c r="G80" s="207">
        <f>Er/Er0</f>
        <v>1.6585171240000001</v>
      </c>
      <c r="H80" s="382">
        <f>F80*$H$82</f>
        <v>5.2511573824081905</v>
      </c>
      <c r="I80" s="207">
        <v>3.1107999303994176</v>
      </c>
      <c r="J80" s="207">
        <v>3.5636739472709342</v>
      </c>
      <c r="K80" s="233">
        <v>4.5878431979609955</v>
      </c>
      <c r="L80" s="207">
        <v>5.2511573824081905</v>
      </c>
      <c r="M80" s="207"/>
      <c r="N80" s="207"/>
      <c r="O80" s="207"/>
    </row>
    <row r="81" spans="1:22" ht="20.100000000000001" customHeight="1" thickBot="1">
      <c r="B81" s="189" t="s">
        <v>2058</v>
      </c>
      <c r="D81" s="207">
        <f>Px0</f>
        <v>1</v>
      </c>
      <c r="E81" s="211"/>
      <c r="F81" s="390">
        <f>Px</f>
        <v>1.6295097951694106</v>
      </c>
      <c r="G81" s="207"/>
      <c r="H81" s="382">
        <f>F81*$H$82</f>
        <v>1.6585171239999998</v>
      </c>
      <c r="I81" s="233">
        <v>1</v>
      </c>
      <c r="J81" s="207">
        <v>1.2490000000000001</v>
      </c>
      <c r="K81" s="233">
        <v>1.4638280000000001</v>
      </c>
      <c r="L81" s="207">
        <v>1.6585171239999998</v>
      </c>
      <c r="M81" s="233"/>
      <c r="N81" s="233"/>
      <c r="O81" s="233"/>
    </row>
    <row r="82" spans="1:22" ht="20.100000000000001" customHeight="1" thickBot="1">
      <c r="A82" s="200" t="s">
        <v>1862</v>
      </c>
      <c r="E82" s="211"/>
      <c r="F82" s="233"/>
      <c r="G82" s="207" t="s">
        <v>2108</v>
      </c>
      <c r="H82" s="391">
        <v>1.0178012607942462</v>
      </c>
      <c r="I82" s="233">
        <f t="shared" ref="I82:O82" si="7">I12/I81</f>
        <v>1</v>
      </c>
      <c r="J82" s="233">
        <f t="shared" si="7"/>
        <v>1</v>
      </c>
      <c r="K82" s="233">
        <f t="shared" si="7"/>
        <v>1</v>
      </c>
      <c r="L82" s="233">
        <f t="shared" si="7"/>
        <v>1.0000000000000002</v>
      </c>
      <c r="M82" s="233" t="e">
        <f t="shared" si="7"/>
        <v>#DIV/0!</v>
      </c>
      <c r="N82" s="233" t="e">
        <f t="shared" si="7"/>
        <v>#DIV/0!</v>
      </c>
      <c r="O82" s="233" t="e">
        <f t="shared" si="7"/>
        <v>#DIV/0!</v>
      </c>
      <c r="P82" s="233" t="e">
        <f t="shared" ref="P82:V82" si="8">P12/P81</f>
        <v>#DIV/0!</v>
      </c>
      <c r="Q82" s="233" t="e">
        <f t="shared" si="8"/>
        <v>#DIV/0!</v>
      </c>
      <c r="R82" s="233" t="e">
        <f t="shared" si="8"/>
        <v>#DIV/0!</v>
      </c>
      <c r="S82" s="233" t="e">
        <f t="shared" si="8"/>
        <v>#DIV/0!</v>
      </c>
      <c r="T82" s="233" t="e">
        <f t="shared" si="8"/>
        <v>#DIV/0!</v>
      </c>
      <c r="U82" s="233" t="e">
        <f t="shared" si="8"/>
        <v>#DIV/0!</v>
      </c>
      <c r="V82" s="233" t="e">
        <f t="shared" si="8"/>
        <v>#DIV/0!</v>
      </c>
    </row>
    <row r="83" spans="1:22" ht="30" customHeight="1">
      <c r="A83" s="227" t="s">
        <v>1689</v>
      </c>
      <c r="B83" s="239" t="s">
        <v>1690</v>
      </c>
      <c r="C83" s="240"/>
      <c r="D83" s="207" t="s">
        <v>1691</v>
      </c>
      <c r="E83" s="188" t="s">
        <v>1692</v>
      </c>
      <c r="F83" s="185">
        <v>5</v>
      </c>
      <c r="J83" s="207"/>
      <c r="K83" s="207"/>
      <c r="L83" s="207"/>
      <c r="M83" s="207"/>
      <c r="N83" s="207"/>
      <c r="O83" s="207"/>
      <c r="R83" s="200"/>
    </row>
    <row r="84" spans="1:22" ht="13.15" customHeight="1">
      <c r="A84" s="186"/>
      <c r="B84" s="219" t="s">
        <v>1693</v>
      </c>
      <c r="C84" s="219"/>
      <c r="J84" s="186"/>
      <c r="K84" s="186"/>
      <c r="L84" s="189"/>
      <c r="N84" s="190"/>
      <c r="O84" s="189"/>
      <c r="R84" s="200"/>
    </row>
    <row r="85" spans="1:22" ht="13.15" customHeight="1">
      <c r="A85" s="186">
        <v>1</v>
      </c>
      <c r="B85" s="189" t="s">
        <v>1694</v>
      </c>
      <c r="D85" s="241" t="s">
        <v>1695</v>
      </c>
      <c r="E85" s="207">
        <f>at*(bt*E^(rt)+(1-bt)*Ds^(rt))^(1/rt)</f>
        <v>9.0560317312370522</v>
      </c>
      <c r="F85" s="202" t="b">
        <f>LEFT(a1_CET,acc)=LEFT(X,acc)</f>
        <v>1</v>
      </c>
      <c r="G85" s="207">
        <f>X</f>
        <v>9.0560317637329319</v>
      </c>
      <c r="H85" s="188">
        <f>E85/G85</f>
        <v>0.99999999641168669</v>
      </c>
      <c r="J85" s="242"/>
      <c r="K85" s="186"/>
      <c r="L85" s="189"/>
      <c r="N85" s="190"/>
      <c r="O85" s="189"/>
      <c r="R85" s="200"/>
    </row>
    <row r="86" spans="1:22" ht="13.15" customHeight="1">
      <c r="A86" s="186">
        <v>2</v>
      </c>
      <c r="B86" s="189" t="s">
        <v>1696</v>
      </c>
      <c r="D86" s="241" t="s">
        <v>1697</v>
      </c>
      <c r="E86" s="207">
        <f>aq*(bq*M^(-rq)+(1-bq)*Dd^(-rq))^(-1/rq)</f>
        <v>11.162621499111209</v>
      </c>
      <c r="F86" s="202" t="b">
        <f>LEFT(a2_ARMG,acc)=LEFT(Qs,acc)</f>
        <v>1</v>
      </c>
      <c r="G86" s="207">
        <f>Qs</f>
        <v>11.162621476910534</v>
      </c>
      <c r="H86" s="188">
        <f>E86/G86</f>
        <v>1.0000000019888406</v>
      </c>
      <c r="J86" s="242"/>
      <c r="K86" s="186"/>
      <c r="L86" s="189"/>
      <c r="N86" s="190"/>
      <c r="O86" s="189"/>
      <c r="R86" s="200"/>
    </row>
    <row r="87" spans="1:22" ht="13.15" customHeight="1">
      <c r="A87" s="186">
        <v>3</v>
      </c>
      <c r="B87" s="189" t="s">
        <v>1698</v>
      </c>
      <c r="D87" s="241" t="s">
        <v>1699</v>
      </c>
      <c r="E87" s="207">
        <f>Cn+Z+G</f>
        <v>11.162621476910543</v>
      </c>
      <c r="F87" s="202" t="b">
        <f>LEFT(a3_DEM,6)=LEFT(Qd,6)</f>
        <v>1</v>
      </c>
      <c r="G87" s="207">
        <f>Qd</f>
        <v>11.162621476910543</v>
      </c>
      <c r="H87" s="188">
        <f>E87/G87</f>
        <v>1</v>
      </c>
      <c r="J87" s="242"/>
      <c r="K87" s="186"/>
      <c r="L87" s="189"/>
      <c r="N87" s="190"/>
      <c r="O87" s="189"/>
      <c r="R87" s="200"/>
    </row>
    <row r="88" spans="1:22" ht="13.15" customHeight="1">
      <c r="A88" s="186">
        <v>4</v>
      </c>
      <c r="B88" s="189" t="s">
        <v>1700</v>
      </c>
      <c r="D88" s="241" t="s">
        <v>1701</v>
      </c>
      <c r="E88" s="207">
        <f>( (Pe/Pd)/(bt/(1-bt)) )^(1/(rt-1))</f>
        <v>0.17428549763893783</v>
      </c>
      <c r="F88" s="202" t="b">
        <f>LEFT(a4_EDRAT,acc)=LEFT(E/Ds,acc)</f>
        <v>1</v>
      </c>
      <c r="G88" s="207">
        <f>E/Ds</f>
        <v>0.17428549721078912</v>
      </c>
      <c r="H88" s="188">
        <f>E88/G88</f>
        <v>1.000000002456594</v>
      </c>
      <c r="J88" s="242"/>
      <c r="K88" s="186"/>
      <c r="L88" s="189"/>
      <c r="N88" s="190"/>
      <c r="O88" s="189"/>
      <c r="R88" s="200"/>
    </row>
    <row r="89" spans="1:22" ht="13.15" customHeight="1">
      <c r="A89" s="186">
        <v>5</v>
      </c>
      <c r="B89" s="189" t="s">
        <v>1702</v>
      </c>
      <c r="D89" s="241" t="s">
        <v>1703</v>
      </c>
      <c r="E89" s="207">
        <f>( (Pd/Pm)*(bq/(1-bq)) )^(1/(1+rq))</f>
        <v>0.25325787393712618</v>
      </c>
      <c r="F89" s="202" t="b">
        <f>LEFT(a5_MDRAT,acc)=LEFT(M/Dd,acc)</f>
        <v>1</v>
      </c>
      <c r="G89" s="207">
        <f>M/Dd</f>
        <v>0.25325787426786628</v>
      </c>
      <c r="H89" s="188">
        <f>E89/G89</f>
        <v>0.99999999869405798</v>
      </c>
      <c r="J89" s="242"/>
      <c r="K89" s="186"/>
      <c r="L89" s="189"/>
      <c r="N89" s="190"/>
      <c r="O89" s="189"/>
      <c r="R89" s="200"/>
    </row>
    <row r="90" spans="1:22" ht="13.15" customHeight="1">
      <c r="A90" s="243"/>
      <c r="B90" s="244" t="s">
        <v>1704</v>
      </c>
      <c r="D90" s="245"/>
      <c r="E90" s="207"/>
      <c r="G90" s="207"/>
      <c r="H90" s="188"/>
      <c r="J90" s="242"/>
      <c r="K90" s="186"/>
      <c r="L90" s="189"/>
      <c r="N90" s="190"/>
      <c r="O90" s="189"/>
      <c r="R90" s="200"/>
    </row>
    <row r="91" spans="1:22" ht="13.15" customHeight="1">
      <c r="A91" s="243">
        <v>6</v>
      </c>
      <c r="B91" s="189" t="s">
        <v>1705</v>
      </c>
      <c r="D91" s="241" t="s">
        <v>1706</v>
      </c>
      <c r="E91" s="207">
        <f xml:space="preserve"> Px*X+ tr*Pq + (nctp+nfyp)*Er</f>
        <v>14.346139350970496</v>
      </c>
      <c r="F91" s="202" t="b">
        <f>LEFT(a6_INC,acc)=LEFT(Y,acc)</f>
        <v>1</v>
      </c>
      <c r="G91" s="207">
        <f>Y</f>
        <v>14.34613934682918</v>
      </c>
      <c r="H91" s="188">
        <f>E91/G91</f>
        <v>1.0000000002886711</v>
      </c>
      <c r="J91" s="242"/>
      <c r="K91" s="186"/>
      <c r="L91" s="189"/>
      <c r="N91" s="190"/>
      <c r="O91" s="189"/>
      <c r="R91" s="200"/>
    </row>
    <row r="92" spans="1:22" ht="13.15" customHeight="1">
      <c r="A92" s="186">
        <v>7</v>
      </c>
      <c r="B92" s="189" t="s">
        <v>1707</v>
      </c>
      <c r="D92" s="241" t="s">
        <v>1708</v>
      </c>
      <c r="E92" s="207">
        <f>sy*Y+Er*B+Sg</f>
        <v>2.3079217178016598</v>
      </c>
      <c r="F92" s="202" t="b">
        <f>LEFT(a7_SAV,acc)=LEFT(S,acc)</f>
        <v>1</v>
      </c>
      <c r="G92" s="207">
        <f>S</f>
        <v>2.3079217178016713</v>
      </c>
      <c r="H92" s="188">
        <f>E92/G92</f>
        <v>0.999999999999995</v>
      </c>
      <c r="J92" s="242"/>
      <c r="O92" s="189"/>
      <c r="R92" s="200"/>
    </row>
    <row r="93" spans="1:22" ht="13.15" customHeight="1">
      <c r="A93" s="186">
        <v>8</v>
      </c>
      <c r="B93" s="189" t="s">
        <v>1709</v>
      </c>
      <c r="D93" s="241" t="s">
        <v>1710</v>
      </c>
      <c r="E93" s="207">
        <f>Y*(1-ty*taj*tad-sy)/Pt</f>
        <v>8.6391811555904034</v>
      </c>
      <c r="F93" s="202" t="b">
        <f>LEFT(a8_CONS,acc)=LEFT(Cn,acc)</f>
        <v>1</v>
      </c>
      <c r="G93" s="207">
        <f>Cn</f>
        <v>8.6391811915843988</v>
      </c>
      <c r="H93" s="188">
        <f>E93/G93</f>
        <v>0.99999999583363353</v>
      </c>
      <c r="J93" s="242"/>
      <c r="K93" s="186"/>
      <c r="L93" s="189"/>
      <c r="N93" s="190"/>
      <c r="O93" s="189"/>
      <c r="R93" s="200"/>
    </row>
    <row r="94" spans="1:22" ht="13.15" customHeight="1">
      <c r="A94" s="186" t="s">
        <v>1448</v>
      </c>
      <c r="B94" s="219" t="s">
        <v>1711</v>
      </c>
      <c r="D94" s="241"/>
      <c r="E94" s="207"/>
      <c r="G94" s="207"/>
      <c r="H94" s="188"/>
      <c r="J94" s="242"/>
      <c r="K94" s="186"/>
      <c r="L94" s="189"/>
      <c r="N94" s="190"/>
      <c r="O94" s="189"/>
      <c r="R94" s="200"/>
    </row>
    <row r="95" spans="1:22" ht="13.15" customHeight="1">
      <c r="A95" s="186">
        <v>9</v>
      </c>
      <c r="B95" s="189" t="s">
        <v>1712</v>
      </c>
      <c r="D95" s="241" t="s">
        <v>1713</v>
      </c>
      <c r="E95" s="207">
        <f>Er*wm*(1+tm*taj)</f>
        <v>5.681724905548637</v>
      </c>
      <c r="F95" s="202" t="b">
        <f>LEFT(a9_PM,acc)=LEFT(Pm,acc)</f>
        <v>1</v>
      </c>
      <c r="G95" s="207">
        <f>Pm</f>
        <v>5.681724905548637</v>
      </c>
      <c r="H95" s="188">
        <f>E95/G95</f>
        <v>1</v>
      </c>
      <c r="J95" s="242"/>
      <c r="K95" s="186"/>
      <c r="L95" s="189"/>
      <c r="N95" s="190"/>
      <c r="O95" s="189"/>
      <c r="R95" s="200"/>
    </row>
    <row r="96" spans="1:22" ht="13.15" customHeight="1">
      <c r="A96" s="243">
        <v>10</v>
      </c>
      <c r="B96" s="189" t="s">
        <v>1714</v>
      </c>
      <c r="D96" s="241" t="s">
        <v>1715</v>
      </c>
      <c r="E96" s="207">
        <f>Er*we/(1+te*taj-se)</f>
        <v>5.2433184540765847</v>
      </c>
      <c r="F96" s="202" t="b">
        <f>LEFT(b10_PE,acc)=LEFT(Pe,acc)</f>
        <v>1</v>
      </c>
      <c r="G96" s="207">
        <f>Pe</f>
        <v>5.2433184540765847</v>
      </c>
      <c r="H96" s="188">
        <f>E96/G96</f>
        <v>1</v>
      </c>
      <c r="J96" s="242"/>
      <c r="K96" s="186"/>
      <c r="L96" s="189"/>
      <c r="N96" s="190"/>
      <c r="O96" s="189"/>
      <c r="R96" s="200"/>
    </row>
    <row r="97" spans="1:18" ht="13.15" customHeight="1">
      <c r="A97" s="243">
        <v>11</v>
      </c>
      <c r="B97" s="189" t="s">
        <v>1716</v>
      </c>
      <c r="D97" s="241" t="s">
        <v>1717</v>
      </c>
      <c r="E97" s="207">
        <f>Pq*(1+(ts*taj*tad-su)*taj)</f>
        <v>1.6908357231392575</v>
      </c>
      <c r="F97" s="202" t="b">
        <f>LEFT(b11_PT,acc)=LEFT(Pt,acc)</f>
        <v>1</v>
      </c>
      <c r="G97" s="207">
        <f>Pt</f>
        <v>1.6908357233368678</v>
      </c>
      <c r="H97" s="188">
        <f>E97/G97</f>
        <v>0.9999999998831286</v>
      </c>
      <c r="J97" s="242"/>
      <c r="K97" s="186"/>
      <c r="L97" s="189"/>
      <c r="N97" s="190"/>
      <c r="O97" s="189"/>
      <c r="R97" s="200"/>
    </row>
    <row r="98" spans="1:18" ht="13.15" customHeight="1">
      <c r="A98" s="186">
        <v>12</v>
      </c>
      <c r="B98" s="189" t="s">
        <v>1718</v>
      </c>
      <c r="D98" s="241" t="s">
        <v>1719</v>
      </c>
      <c r="E98" s="207">
        <f>(Pe*E+Pd*Ds)/X</f>
        <v>1.6295097708893382</v>
      </c>
      <c r="F98" s="202" t="b">
        <f>LEFT(b12_PX,acc)=LEFT(Px,acc)</f>
        <v>1</v>
      </c>
      <c r="G98" s="207">
        <f>Px</f>
        <v>1.6295097951694106</v>
      </c>
      <c r="H98" s="188">
        <f>E98/G98</f>
        <v>0.99999998509976895</v>
      </c>
      <c r="J98" s="242"/>
      <c r="K98" s="186"/>
      <c r="L98" s="189"/>
      <c r="N98" s="190"/>
      <c r="O98" s="189"/>
      <c r="R98" s="200"/>
    </row>
    <row r="99" spans="1:18" ht="13.15" customHeight="1">
      <c r="A99" s="186">
        <v>13</v>
      </c>
      <c r="B99" s="189" t="s">
        <v>1720</v>
      </c>
      <c r="D99" s="241" t="s">
        <v>1721</v>
      </c>
      <c r="E99" s="207">
        <f>(Pm*M+Pd*Dd)/Qs</f>
        <v>1.598180891046695</v>
      </c>
      <c r="F99" s="202" t="b">
        <f>LEFT(b13_PQ,acc)=LEFT(Pq,acc)</f>
        <v>1</v>
      </c>
      <c r="G99" s="207">
        <f>Pq</f>
        <v>1.5981808858319964</v>
      </c>
      <c r="H99" s="188">
        <f>E99/G99</f>
        <v>1.0000000032628964</v>
      </c>
      <c r="J99" s="242"/>
      <c r="K99" s="186"/>
      <c r="L99" s="189"/>
      <c r="N99" s="190"/>
      <c r="O99" s="189"/>
      <c r="R99" s="200"/>
    </row>
    <row r="100" spans="1:18" ht="13.15" customHeight="1">
      <c r="A100" s="186"/>
      <c r="B100" s="219" t="s">
        <v>1722</v>
      </c>
      <c r="D100" s="246"/>
      <c r="E100" s="207"/>
      <c r="G100" s="207"/>
      <c r="H100" s="188" t="s">
        <v>1448</v>
      </c>
      <c r="J100" s="242"/>
      <c r="K100" s="186"/>
      <c r="L100" s="189"/>
      <c r="N100" s="190"/>
      <c r="O100" s="189"/>
      <c r="R100" s="200"/>
    </row>
    <row r="101" spans="1:18" ht="13.15" customHeight="1">
      <c r="A101" s="186">
        <v>14</v>
      </c>
      <c r="B101" s="189" t="s">
        <v>1723</v>
      </c>
      <c r="D101" s="241" t="s">
        <v>1724</v>
      </c>
      <c r="E101" s="207">
        <f>Dd - Ds</f>
        <v>0</v>
      </c>
      <c r="F101" s="202" t="b">
        <f>LEFT(b14_DEQ,acc)=LEFT(0,acc)</f>
        <v>1</v>
      </c>
      <c r="G101" s="207">
        <f>0</f>
        <v>0</v>
      </c>
      <c r="H101" s="188">
        <f>IF(G101,E101/G101,0)</f>
        <v>0</v>
      </c>
      <c r="J101" s="242"/>
      <c r="K101" s="186"/>
      <c r="L101" s="189"/>
      <c r="N101" s="190"/>
      <c r="O101" s="189"/>
      <c r="R101" s="200"/>
    </row>
    <row r="102" spans="1:18" ht="13.15" customHeight="1">
      <c r="A102" s="186">
        <v>15</v>
      </c>
      <c r="B102" s="189" t="s">
        <v>1725</v>
      </c>
      <c r="D102" s="241" t="s">
        <v>1726</v>
      </c>
      <c r="E102" s="207">
        <f>Qd -Qs</f>
        <v>0</v>
      </c>
      <c r="F102" s="202" t="b">
        <f>LEFT(b15_QEQ,acc)=LEFT(0,acc)</f>
        <v>1</v>
      </c>
      <c r="G102" s="207">
        <f>0</f>
        <v>0</v>
      </c>
      <c r="H102" s="188">
        <f>IF(G102,E102/G102,0)</f>
        <v>0</v>
      </c>
      <c r="J102" s="242"/>
      <c r="K102" s="186"/>
      <c r="L102" s="189"/>
      <c r="N102" s="190"/>
      <c r="O102" s="189"/>
      <c r="R102" s="200"/>
    </row>
    <row r="103" spans="1:18" ht="13.15" customHeight="1">
      <c r="A103" s="186"/>
      <c r="B103" s="219" t="s">
        <v>1587</v>
      </c>
      <c r="D103" s="241"/>
      <c r="E103" s="207"/>
      <c r="G103" s="207"/>
      <c r="H103" s="188"/>
      <c r="J103" s="242"/>
      <c r="K103" s="186"/>
      <c r="L103" s="189"/>
      <c r="N103" s="190"/>
      <c r="O103" s="189"/>
      <c r="R103" s="200"/>
    </row>
    <row r="104" spans="1:18" ht="13.15" customHeight="1">
      <c r="A104" s="186">
        <v>16</v>
      </c>
      <c r="B104" s="189" t="s">
        <v>1727</v>
      </c>
      <c r="D104" s="241" t="s">
        <v>1728</v>
      </c>
      <c r="E104" s="207">
        <f>wm*M - we*E -nctg - nctp-nfyg-nfyp</f>
        <v>0.68100000000002092</v>
      </c>
      <c r="F104" s="202" t="b">
        <f>LEFT(b16_CABAL,acc)=LEFT(B,acc)</f>
        <v>1</v>
      </c>
      <c r="G104" s="207">
        <f>B</f>
        <v>0.68100000000000005</v>
      </c>
      <c r="H104" s="188">
        <f>E104/G104</f>
        <v>1.0000000000000306</v>
      </c>
      <c r="J104" s="242"/>
      <c r="K104" s="186"/>
      <c r="L104" s="189"/>
      <c r="N104" s="190"/>
      <c r="O104" s="189"/>
      <c r="R104" s="200"/>
    </row>
    <row r="105" spans="1:18" ht="13.15" customHeight="1">
      <c r="A105" s="186">
        <v>16</v>
      </c>
      <c r="B105" s="189" t="s">
        <v>1850</v>
      </c>
      <c r="D105" s="241" t="s">
        <v>1851</v>
      </c>
      <c r="E105" s="207">
        <f>B - ncap</f>
        <v>0.27603229560841913</v>
      </c>
      <c r="F105" s="247" t="b">
        <f>LEFT(b16_BOP,acc)=LEFT(gap,acc)</f>
        <v>1</v>
      </c>
      <c r="G105" s="207">
        <f>gap</f>
        <v>0.27603229560841913</v>
      </c>
      <c r="H105" s="188">
        <f>IF(G105,E105/G105,0)</f>
        <v>1</v>
      </c>
      <c r="J105" s="242"/>
      <c r="K105" s="186"/>
      <c r="L105" s="189"/>
      <c r="N105" s="190"/>
      <c r="O105" s="189"/>
      <c r="R105" s="200"/>
    </row>
    <row r="106" spans="1:18" ht="13.15" customHeight="1">
      <c r="A106" s="186" t="s">
        <v>1448</v>
      </c>
      <c r="B106" s="244" t="s">
        <v>1542</v>
      </c>
      <c r="D106" s="248"/>
      <c r="E106" s="242" t="s">
        <v>1448</v>
      </c>
      <c r="G106" s="207"/>
      <c r="H106" s="188" t="s">
        <v>1448</v>
      </c>
      <c r="J106" s="242"/>
      <c r="K106" s="186"/>
      <c r="L106" s="189"/>
      <c r="N106" s="190"/>
      <c r="O106" s="189"/>
      <c r="R106" s="200"/>
    </row>
    <row r="107" spans="1:18" ht="13.15" customHeight="1">
      <c r="A107" s="186">
        <v>17</v>
      </c>
      <c r="B107" s="249" t="s">
        <v>1730</v>
      </c>
      <c r="D107" s="245" t="s">
        <v>1731</v>
      </c>
      <c r="E107" s="207">
        <f xml:space="preserve"> taj*(tm*wm*M*Er+(te-se)*Pe*E+tad*(ts-su)*Pq*Qd + tad*ty*Y)</f>
        <v>2.9090692838734649</v>
      </c>
      <c r="F107" s="202" t="b">
        <f>LEFT(b17_TAX,acc)=LEFT(Tax,acc)</f>
        <v>1</v>
      </c>
      <c r="G107" s="207">
        <f>Tax</f>
        <v>2.9090692899797825</v>
      </c>
      <c r="H107" s="188">
        <f>E107/G107</f>
        <v>0.99999999790093774</v>
      </c>
      <c r="J107" s="242"/>
      <c r="K107" s="186"/>
      <c r="L107" s="189"/>
      <c r="N107" s="190"/>
      <c r="O107" s="189"/>
      <c r="R107" s="200"/>
    </row>
    <row r="108" spans="1:18" ht="13.15" customHeight="1">
      <c r="A108" s="186">
        <v>18</v>
      </c>
      <c r="B108" s="189" t="s">
        <v>1732</v>
      </c>
      <c r="D108" s="241" t="s">
        <v>1733</v>
      </c>
      <c r="E108" s="207">
        <f xml:space="preserve"> Tax - G*Pt - tr*Pq + (nctg+nfyg)*Er</f>
        <v>0.15374107196565059</v>
      </c>
      <c r="F108" s="202" t="b">
        <f>LEFT(b18_GBUD,acc)=LEFT(Sg,acc)</f>
        <v>1</v>
      </c>
      <c r="G108" s="207">
        <f>Sg</f>
        <v>0.15374107610710802</v>
      </c>
      <c r="H108" s="188">
        <f>E108/G108</f>
        <v>0.99999997306212807</v>
      </c>
      <c r="J108" s="242"/>
      <c r="K108" s="186"/>
      <c r="L108" s="189"/>
      <c r="N108" s="190"/>
    </row>
    <row r="109" spans="1:18" ht="13.15" customHeight="1">
      <c r="A109" s="186">
        <v>19</v>
      </c>
      <c r="B109" s="249" t="s">
        <v>1734</v>
      </c>
      <c r="D109" s="245" t="s">
        <v>1735</v>
      </c>
      <c r="E109" s="207">
        <f>G*Pt/(Px*X)</f>
        <v>0.13273808221589317</v>
      </c>
      <c r="F109" s="202" t="b">
        <f>LEFT(b19_GC,acc)=LEFT(grat,acc)</f>
        <v>1</v>
      </c>
      <c r="G109" s="207">
        <f>grat</f>
        <v>0.13273807997466522</v>
      </c>
      <c r="H109" s="188">
        <f>E109/G109</f>
        <v>1.0000000168845893</v>
      </c>
      <c r="J109" s="242"/>
      <c r="K109" s="186"/>
      <c r="L109" s="189"/>
      <c r="N109" s="190"/>
    </row>
    <row r="110" spans="1:18" ht="13.15" customHeight="1">
      <c r="A110" s="186">
        <v>20</v>
      </c>
      <c r="B110" s="249" t="s">
        <v>1736</v>
      </c>
      <c r="D110" s="245" t="s">
        <v>1737</v>
      </c>
      <c r="E110" s="207">
        <f>tr*Pq/(Px*X)</f>
        <v>4.3676310197693038E-2</v>
      </c>
      <c r="F110" s="202" t="b">
        <f>LEFT(b20_Trns,acc)=LEFT(trat,acc)</f>
        <v>1</v>
      </c>
      <c r="G110" s="207">
        <f>trat</f>
        <v>4.3676310254184628E-2</v>
      </c>
      <c r="H110" s="188">
        <f>E110/G110</f>
        <v>0.99999999870658518</v>
      </c>
      <c r="J110" s="242"/>
      <c r="K110" s="186"/>
      <c r="L110" s="189"/>
      <c r="N110" s="190"/>
    </row>
    <row r="111" spans="1:18" ht="13.15" customHeight="1">
      <c r="A111" s="186">
        <v>21</v>
      </c>
      <c r="B111" s="249" t="s">
        <v>1738</v>
      </c>
      <c r="D111" s="245" t="s">
        <v>1739</v>
      </c>
      <c r="E111" s="207">
        <f>se*Pe*E/(Px*X)</f>
        <v>0</v>
      </c>
      <c r="F111" s="202" t="b">
        <f>LEFT(b21_se,acc)=LEFT(erat,acc)</f>
        <v>1</v>
      </c>
      <c r="G111" s="207">
        <f>erat</f>
        <v>0</v>
      </c>
      <c r="H111" s="188">
        <f>IF(G111,E111/G111,0)</f>
        <v>0</v>
      </c>
      <c r="J111" s="242"/>
      <c r="K111" s="186"/>
      <c r="L111" s="189"/>
      <c r="N111" s="190"/>
    </row>
    <row r="112" spans="1:18" ht="13.15" customHeight="1">
      <c r="A112" s="186">
        <v>22</v>
      </c>
      <c r="B112" s="249" t="s">
        <v>1740</v>
      </c>
      <c r="D112" s="245" t="s">
        <v>1741</v>
      </c>
      <c r="E112" s="207">
        <f>su*Pq*Qd/(Px*X)</f>
        <v>1.5579659351036756E-2</v>
      </c>
      <c r="F112" s="202" t="b">
        <f>LEFT(b22_su,acc)=LEFT(srat,acc)</f>
        <v>1</v>
      </c>
      <c r="G112" s="207">
        <f>srat</f>
        <v>1.5579659450425616E-2</v>
      </c>
      <c r="H112" s="188">
        <f>E112/G112</f>
        <v>0.99999999362060121</v>
      </c>
      <c r="J112" s="242"/>
      <c r="K112" s="186"/>
      <c r="L112" s="189"/>
      <c r="N112" s="190"/>
    </row>
    <row r="113" spans="1:19" ht="13.15" customHeight="1">
      <c r="A113" s="186">
        <v>23</v>
      </c>
      <c r="B113" s="249" t="s">
        <v>1742</v>
      </c>
      <c r="D113" s="245" t="s">
        <v>1743</v>
      </c>
      <c r="E113" s="207">
        <f>Sg-(crat-kgr)*Px*X</f>
        <v>-1.1559448629334734</v>
      </c>
      <c r="F113" s="202" t="b">
        <f>LEFT(b23_Fbal,acc)=LEFT(fbal*Px*X,acc)</f>
        <v>1</v>
      </c>
      <c r="G113" s="207">
        <f>fbal*Px*X</f>
        <v>-1.155944952103992</v>
      </c>
      <c r="H113" s="188">
        <f>E113/G113</f>
        <v>0.99999992285919981</v>
      </c>
      <c r="J113" s="242"/>
      <c r="K113" s="186"/>
      <c r="L113" s="189"/>
      <c r="N113" s="190"/>
    </row>
    <row r="114" spans="1:19" ht="13.15" customHeight="1">
      <c r="A114" s="186" t="s">
        <v>1448</v>
      </c>
      <c r="B114" s="219" t="s">
        <v>1744</v>
      </c>
      <c r="D114" s="188"/>
      <c r="E114" s="207"/>
      <c r="G114" s="207"/>
      <c r="H114" s="188" t="s">
        <v>1448</v>
      </c>
      <c r="J114" s="242"/>
      <c r="K114" s="186"/>
      <c r="L114" s="189"/>
      <c r="N114" s="190"/>
    </row>
    <row r="115" spans="1:19" ht="13.15" customHeight="1">
      <c r="A115" s="186">
        <v>24</v>
      </c>
      <c r="B115" s="189" t="s">
        <v>1745</v>
      </c>
      <c r="D115" s="241" t="s">
        <v>1746</v>
      </c>
      <c r="E115" s="207">
        <f>MS*ve</f>
        <v>16.567945432087001</v>
      </c>
      <c r="F115" s="202" t="b">
        <f>LEFT(b24_Money,acc)=LEFT(GDP,acc)</f>
        <v>1</v>
      </c>
      <c r="G115" s="207">
        <f>GDP</f>
        <v>16.567945432086873</v>
      </c>
      <c r="H115" s="188">
        <f>E115/G115</f>
        <v>1.0000000000000078</v>
      </c>
      <c r="J115" s="242"/>
      <c r="K115" s="186"/>
    </row>
    <row r="116" spans="1:19" ht="13.15" customHeight="1">
      <c r="A116" s="186">
        <v>25</v>
      </c>
      <c r="B116" s="189" t="s">
        <v>1747</v>
      </c>
      <c r="D116" s="241" t="s">
        <v>1748</v>
      </c>
      <c r="E116" s="207">
        <f>(Cn+Z+G)*Pt+we*Er*E-wm*Er*M</f>
        <v>16.567945323252964</v>
      </c>
      <c r="F116" s="202" t="b">
        <f>LEFT(b25_GDP,acc)=LEFT(GDP,acc)</f>
        <v>1</v>
      </c>
      <c r="G116" s="207">
        <f>GDP</f>
        <v>16.567945432086873</v>
      </c>
      <c r="H116" s="188">
        <f>E116/G116</f>
        <v>0.99999999343105583</v>
      </c>
      <c r="J116" s="242"/>
      <c r="K116" s="186"/>
    </row>
    <row r="117" spans="1:19" ht="13.15" customHeight="1">
      <c r="A117" s="186">
        <v>26</v>
      </c>
      <c r="B117" s="189" t="s">
        <v>1749</v>
      </c>
      <c r="D117" s="241" t="s">
        <v>1750</v>
      </c>
      <c r="E117" s="207">
        <f>B*Er/(Px*X)</f>
        <v>0.23809169652104251</v>
      </c>
      <c r="F117" s="202" t="b">
        <f>LEFT(b26_BOR,acc)=LEFT(brat,acc)</f>
        <v>1</v>
      </c>
      <c r="G117" s="207">
        <f>brat</f>
        <v>0.23809169165698929</v>
      </c>
      <c r="H117" s="188">
        <f>E117/G117</f>
        <v>1.0000000204293278</v>
      </c>
      <c r="J117" s="242"/>
      <c r="K117" s="186"/>
    </row>
    <row r="118" spans="1:19" ht="13.15" customHeight="1">
      <c r="A118" s="186">
        <v>27</v>
      </c>
      <c r="B118" s="189" t="s">
        <v>1751</v>
      </c>
      <c r="D118" s="241" t="s">
        <v>1752</v>
      </c>
      <c r="E118" s="207">
        <f>GDP/X</f>
        <v>1.8294928578361678</v>
      </c>
      <c r="F118" s="202" t="b">
        <f>LEFT(b27_Py,acc)=LEFT(Py,acc)</f>
        <v>0</v>
      </c>
      <c r="G118" s="207">
        <f>Py</f>
        <v>1.1173482271505177</v>
      </c>
      <c r="H118" s="188">
        <f>E118/G118</f>
        <v>1.6373524505442449</v>
      </c>
      <c r="J118" s="242"/>
      <c r="K118" s="186"/>
    </row>
    <row r="119" spans="1:19" ht="24.95" customHeight="1">
      <c r="A119" s="250"/>
      <c r="B119" s="189" t="s">
        <v>2018</v>
      </c>
      <c r="D119" s="188" t="s">
        <v>1753</v>
      </c>
      <c r="E119" s="207" t="e">
        <f>Er*(1+muv)/(1+pi)</f>
        <v>#NAME?</v>
      </c>
      <c r="F119" s="202" t="s">
        <v>1935</v>
      </c>
      <c r="G119" s="207"/>
      <c r="J119" s="242"/>
      <c r="K119" s="186"/>
    </row>
    <row r="120" spans="1:19" ht="13.15" customHeight="1">
      <c r="A120" s="250"/>
      <c r="B120" s="189" t="s">
        <v>1754</v>
      </c>
      <c r="D120" s="188"/>
      <c r="E120" s="207">
        <f>(Pe*E+Pd*Ds)/X</f>
        <v>1.6295097708893382</v>
      </c>
      <c r="G120" s="207"/>
      <c r="J120" s="242"/>
      <c r="K120" s="186"/>
    </row>
    <row r="121" spans="1:19" ht="13.15" customHeight="1">
      <c r="A121" s="250"/>
      <c r="B121" s="189" t="s">
        <v>1755</v>
      </c>
      <c r="D121" s="188"/>
      <c r="E121" s="207">
        <f>1</f>
        <v>1</v>
      </c>
      <c r="F121" s="202" t="s">
        <v>1448</v>
      </c>
      <c r="G121" s="207"/>
      <c r="J121" s="242"/>
      <c r="K121" s="186"/>
    </row>
    <row r="122" spans="1:19" ht="13.15" customHeight="1">
      <c r="A122" s="250"/>
      <c r="B122" s="189" t="s">
        <v>1756</v>
      </c>
      <c r="D122" s="188" t="s">
        <v>1757</v>
      </c>
      <c r="E122" s="207">
        <f>Px*(1-su)</f>
        <v>1.6085098715471984</v>
      </c>
      <c r="F122" s="202" t="e">
        <f>LEFT(PNEQ,acc)=LEFT(Pn,acc)</f>
        <v>#NAME?</v>
      </c>
      <c r="G122" s="207" t="e">
        <f>Pn</f>
        <v>#REF!</v>
      </c>
      <c r="I122" s="207"/>
      <c r="J122" s="242"/>
      <c r="K122" s="186"/>
    </row>
    <row r="123" spans="1:19" ht="24.95" customHeight="1">
      <c r="B123" s="251" t="s">
        <v>1758</v>
      </c>
      <c r="K123" s="186"/>
      <c r="L123" s="252" t="s">
        <v>1448</v>
      </c>
    </row>
    <row r="124" spans="1:19" ht="24.95" customHeight="1">
      <c r="A124" s="186" t="s">
        <v>1448</v>
      </c>
      <c r="B124" s="189" t="s">
        <v>1759</v>
      </c>
      <c r="C124" s="188" t="s">
        <v>1760</v>
      </c>
      <c r="D124" s="207">
        <f>X0/( bt*E0^(rt)+(1-bt)*Ds0^(rt) )^(1/rt)</f>
        <v>6.093340613098289</v>
      </c>
      <c r="F124" s="207" t="s">
        <v>1448</v>
      </c>
      <c r="G124" s="207" t="s">
        <v>1448</v>
      </c>
      <c r="L124" s="186" t="s">
        <v>1448</v>
      </c>
    </row>
    <row r="125" spans="1:19" ht="13.15" customHeight="1">
      <c r="B125" s="189" t="s">
        <v>1761</v>
      </c>
      <c r="C125" s="188" t="s">
        <v>1762</v>
      </c>
      <c r="D125" s="207">
        <f>1/( 1+(Pd0/Pe0)*(E0/Ds0)^(rt-1) )</f>
        <v>0.9836808140319041</v>
      </c>
      <c r="F125" s="207"/>
      <c r="G125" s="207" t="s">
        <v>1448</v>
      </c>
      <c r="L125" s="186" t="s">
        <v>1448</v>
      </c>
    </row>
    <row r="126" spans="1:19" ht="13.15" customHeight="1">
      <c r="B126" s="189" t="s">
        <v>1763</v>
      </c>
      <c r="C126" s="188" t="s">
        <v>1764</v>
      </c>
      <c r="D126" s="207">
        <f>1/st + 1</f>
        <v>2.666666666666667</v>
      </c>
    </row>
    <row r="127" spans="1:19" ht="24.95" customHeight="1">
      <c r="B127" s="189" t="s">
        <v>1765</v>
      </c>
      <c r="C127" s="188" t="s">
        <v>1766</v>
      </c>
      <c r="D127" s="207">
        <f>Qs0/( bq*M0^(-rq)+(1-bq)*Dd0^(-rq) )^(-1/rq)</f>
        <v>3.1381293130957291</v>
      </c>
      <c r="F127" s="207" t="s">
        <v>1448</v>
      </c>
      <c r="G127" s="207" t="s">
        <v>1448</v>
      </c>
    </row>
    <row r="128" spans="1:19" ht="13.15" customHeight="1">
      <c r="B128" s="189" t="s">
        <v>1767</v>
      </c>
      <c r="C128" s="188" t="s">
        <v>1768</v>
      </c>
      <c r="D128" s="207">
        <f>( (Pm0/Pd0)*(M0/Dd0)^(1+rq) )/( 1+ (Pm0/Pd0)*(M0/Dd0)^(1+rq) )</f>
        <v>0.2647510846601776</v>
      </c>
      <c r="H128" s="253"/>
      <c r="I128" s="254"/>
      <c r="J128" s="946" t="s">
        <v>2010</v>
      </c>
      <c r="K128" s="946"/>
      <c r="L128" s="946"/>
      <c r="M128" s="946"/>
      <c r="N128" s="946"/>
      <c r="O128" s="947" t="s">
        <v>2011</v>
      </c>
      <c r="P128" s="947"/>
      <c r="Q128" s="947"/>
      <c r="R128" s="947"/>
      <c r="S128" s="947"/>
    </row>
    <row r="129" spans="1:20" ht="13.15" customHeight="1">
      <c r="B129" s="189" t="s">
        <v>1769</v>
      </c>
      <c r="C129" s="188" t="s">
        <v>1770</v>
      </c>
      <c r="D129" s="207">
        <f xml:space="preserve"> 1/sq -1</f>
        <v>0.66666666666666674</v>
      </c>
      <c r="H129" s="256" t="s">
        <v>2006</v>
      </c>
      <c r="I129" s="254" t="s">
        <v>2007</v>
      </c>
      <c r="J129" s="255" t="s">
        <v>2009</v>
      </c>
      <c r="K129" s="255" t="s">
        <v>2008</v>
      </c>
      <c r="L129" s="257" t="s">
        <v>2014</v>
      </c>
      <c r="M129" s="258" t="s">
        <v>2013</v>
      </c>
      <c r="N129" s="258" t="s">
        <v>2012</v>
      </c>
      <c r="O129" s="237" t="s">
        <v>2009</v>
      </c>
      <c r="P129" s="237" t="s">
        <v>2008</v>
      </c>
      <c r="Q129" s="259" t="s">
        <v>2014</v>
      </c>
      <c r="R129" s="236" t="s">
        <v>2013</v>
      </c>
      <c r="S129" s="236" t="s">
        <v>2012</v>
      </c>
    </row>
    <row r="130" spans="1:20" ht="30" customHeight="1">
      <c r="A130" s="260" t="str">
        <f>'internal parameters'!D1</f>
        <v>#</v>
      </c>
      <c r="B130" s="639" t="str">
        <f>'internal parameters'!E1</f>
        <v>MODELS - mode of adjustment to shocks</v>
      </c>
      <c r="C130" s="261"/>
      <c r="D130" s="261"/>
      <c r="E130" s="261"/>
      <c r="F130" s="261"/>
      <c r="G130" s="261"/>
      <c r="H130" s="229">
        <v>1</v>
      </c>
      <c r="I130" s="229">
        <f>H130+1</f>
        <v>2</v>
      </c>
      <c r="J130" s="229">
        <f t="shared" ref="J130:S130" si="9">I130+1</f>
        <v>3</v>
      </c>
      <c r="K130" s="229">
        <f t="shared" si="9"/>
        <v>4</v>
      </c>
      <c r="L130" s="229">
        <f t="shared" si="9"/>
        <v>5</v>
      </c>
      <c r="M130" s="229">
        <f t="shared" si="9"/>
        <v>6</v>
      </c>
      <c r="N130" s="229">
        <f t="shared" si="9"/>
        <v>7</v>
      </c>
      <c r="O130" s="229">
        <f t="shared" si="9"/>
        <v>8</v>
      </c>
      <c r="P130" s="229">
        <f t="shared" si="9"/>
        <v>9</v>
      </c>
      <c r="Q130" s="229">
        <f t="shared" si="9"/>
        <v>10</v>
      </c>
      <c r="R130" s="229">
        <f t="shared" si="9"/>
        <v>11</v>
      </c>
      <c r="S130" s="229">
        <f t="shared" si="9"/>
        <v>12</v>
      </c>
      <c r="T130" s="229"/>
    </row>
    <row r="131" spans="1:20" ht="30" customHeight="1">
      <c r="A131" s="262">
        <f>'internal parameters'!D2</f>
        <v>1</v>
      </c>
      <c r="B131" s="639" t="str">
        <f>'internal parameters'!E2</f>
        <v>A.   Adjust total investment                                    (savings driven)</v>
      </c>
      <c r="C131" s="261"/>
      <c r="D131" s="261"/>
      <c r="E131" s="261"/>
      <c r="F131" s="261"/>
      <c r="G131" s="608" t="s">
        <v>2015</v>
      </c>
      <c r="H131" s="602" t="s">
        <v>1918</v>
      </c>
      <c r="I131" s="602" t="s">
        <v>2019</v>
      </c>
      <c r="J131" s="602" t="s">
        <v>2020</v>
      </c>
      <c r="K131" s="602" t="s">
        <v>2021</v>
      </c>
      <c r="L131" s="602" t="s">
        <v>2029</v>
      </c>
      <c r="M131" s="602" t="s">
        <v>2022</v>
      </c>
      <c r="N131" s="602" t="s">
        <v>2023</v>
      </c>
      <c r="O131" s="602" t="s">
        <v>2024</v>
      </c>
      <c r="P131" s="602" t="s">
        <v>2025</v>
      </c>
      <c r="Q131" s="602" t="s">
        <v>2026</v>
      </c>
      <c r="R131" s="602" t="s">
        <v>2027</v>
      </c>
      <c r="S131" s="603" t="s">
        <v>2028</v>
      </c>
      <c r="T131" s="186"/>
    </row>
    <row r="132" spans="1:20" ht="13.15" customHeight="1">
      <c r="A132" s="262" t="str">
        <f>'internal parameters'!D3</f>
        <v xml:space="preserve">  </v>
      </c>
      <c r="B132" s="639" t="str">
        <f>'internal parameters'!E3</f>
        <v>B.   Seek alternative investment financing thru      (investment driven)</v>
      </c>
      <c r="C132" s="239"/>
      <c r="D132" s="239"/>
      <c r="E132" s="239"/>
      <c r="F132" s="239"/>
      <c r="G132" s="608" t="s">
        <v>2016</v>
      </c>
      <c r="H132" s="600">
        <f t="shared" ref="H132:S132" si="10">MAX($F$57)</f>
        <v>8.6391811915843988</v>
      </c>
      <c r="I132" s="600">
        <f t="shared" si="10"/>
        <v>8.6391811915843988</v>
      </c>
      <c r="J132" s="600">
        <f t="shared" si="10"/>
        <v>8.6391811915843988</v>
      </c>
      <c r="K132" s="600">
        <f t="shared" si="10"/>
        <v>8.6391811915843988</v>
      </c>
      <c r="L132" s="600">
        <f t="shared" si="10"/>
        <v>8.6391811915843988</v>
      </c>
      <c r="M132" s="600">
        <f t="shared" si="10"/>
        <v>8.6391811915843988</v>
      </c>
      <c r="N132" s="600">
        <f t="shared" si="10"/>
        <v>8.6391811915843988</v>
      </c>
      <c r="O132" s="600">
        <f t="shared" si="10"/>
        <v>8.6391811915843988</v>
      </c>
      <c r="P132" s="600">
        <f t="shared" si="10"/>
        <v>8.6391811915843988</v>
      </c>
      <c r="Q132" s="600">
        <f t="shared" si="10"/>
        <v>8.6391811915843988</v>
      </c>
      <c r="R132" s="600">
        <f t="shared" si="10"/>
        <v>8.6391811915843988</v>
      </c>
      <c r="S132" s="601">
        <f t="shared" si="10"/>
        <v>8.6391811915843988</v>
      </c>
      <c r="T132" s="187"/>
    </row>
    <row r="133" spans="1:20" ht="13.15" customHeight="1">
      <c r="A133" s="262">
        <f>'internal parameters'!D4</f>
        <v>2</v>
      </c>
      <c r="B133" s="639" t="str">
        <f>'internal parameters'!E4</f>
        <v xml:space="preserve">       i.   Foreign borrowing </v>
      </c>
      <c r="C133" s="263"/>
      <c r="D133" s="263"/>
      <c r="E133" s="263"/>
      <c r="F133" s="263"/>
      <c r="G133" s="609" t="s">
        <v>2017</v>
      </c>
      <c r="H133" s="602">
        <f>COUNT($F$49,$F$50,$F$51,$F$52,$F$53,$F$54,$F$55,$F$56,$F$57,$F$58,$F$59,$F$60,$F$61,$F$62,$F$69,$F$68,$F$34,$F$23,$F$24,$F$25,$F$66,$F$10,$F$44,$F$32,$F$42,$F$26,$F$22)</f>
        <v>27</v>
      </c>
      <c r="I133" s="602">
        <f>COUNT($F$49,$F$50,$F$51,$F$52,$F$53,$F$54,$F$55,$F$56,$F$57,$F$58,$F$59,$F$60,$F$61,$F$62,$F$69,$F$68,$F$34,$F$23,$F$24,$F$25,$F$66,$F$10,$F$44,$F$32,$F$42,$F$26,$F$22)</f>
        <v>27</v>
      </c>
      <c r="J133" s="602">
        <f>COUNT($F$49,$F$50,$F$51,$F$52,$F$53,$F$54,$F$55,$F$56,$F$57,$F$58,$F$59,$F$60,$F$61,$F$62,$F$69,$F$68,$F$34,$F$23,$F$24,$F$25,$F$66,$F$10,$F$44,$F$32,$F$42,$F$26,$F$22)</f>
        <v>27</v>
      </c>
      <c r="K133" s="602">
        <f>COUNT($F$49,$F$50,$F$51,$F$52,$F$53,$F$54,$F$55,$F$56,$F$57,$F$58,$F$59,$F$60,$F$61,$F$62,$F$69,$F$68,$F$34,$F$23,$F$24,$F$25,$F$66,$F$10,$F$44,$F$32,$F$42,$F$26,$F$70)</f>
        <v>27</v>
      </c>
      <c r="L133" s="602">
        <f>COUNT($F$49,$F$50,$F$51,$F$52,$F$53,$F$54,$F$55,$F$56,$F$57,$F$58,$F$59,$F$60,$F$61,$F$62,$F$69,$F$68,$F$34,$F$23,$F$24,$F$25,$F$66,$F$10,$F$44,$F$32,$F$42,$F$26,$F$71)</f>
        <v>27</v>
      </c>
      <c r="M133" s="602">
        <f>COUNT($F$49,$F$50,$F$51,$F$52,$F$53,$F$54,$F$55,$F$56,$F$57,$F$58,$F$59,$F$60,$F$61,$F$62,$F$69,$F$68,$F$34,$F$23,$F$24,$F$25,$F$66,$F$10,$F$44,$F$32,$F$42,$F$26,$F$20)</f>
        <v>27</v>
      </c>
      <c r="N133" s="602">
        <f>COUNT($F$49,$F$50,$F$51,$F$52,$F$53,$F$54,$F$55,$F$56,$F$57,$F$58,$F$59,$F$60,$F$61,$F$62,$F$69,$F$68,$F$34,$F$23,$F$24,$F$25,$F$66,$F$10,$F$44,$F$32,$F$42,$F$26,$F$21)</f>
        <v>27</v>
      </c>
      <c r="O133" s="602">
        <f>COUNT($F$49,$F$50,$F$51,$F$52,$F$53,$F$54,$F$55,$F$56,$F$57,$F$58,$F$59,$F$60,$F$61,$F$62,$F$69,$F$68,$F$34,$F$23,$F$24,$F$25,$F$66,$F$10,$F$44,$F$42,$F$26,$F$41,$F$22)</f>
        <v>27</v>
      </c>
      <c r="P133" s="602">
        <f>COUNT($F$49,$F$50,$F$51,$F$52,$F$53,$F$54,$F$55,$F$56,$F$57,$F$58,$F$59,$F$60,$F$61,$F$62,$F$69,$F$68,$F$34,$F$23,$F$24,$F$25,$F$66,$F$10,$F$44,$F$42,$F$26,$F$41,$F$70)</f>
        <v>27</v>
      </c>
      <c r="Q133" s="602">
        <f>COUNT($F$49,$F$50,$F$51,$F$52,$F$53,$F$54,$F$55,$F$56,$F$57,$F$58,$F$59,$F$60,$F$61,$F$62,$F$69,$F$68,$F$34,$F$23,$F$24,$F$25,$F$66,$F$10,$F$44,$F$42,$F$26,$F$41,$F$71)</f>
        <v>27</v>
      </c>
      <c r="R133" s="602">
        <f>COUNT($F$49,$F$50,$F$51,$F$52,$F$53,$F$54,$F$55,$F$56,$F$57,$F$58,$F$59,$F$60,$F$61,$F$62,$F$69,$F$68,$F$34,$F$23,$F$24,$F$25,$F$66,$F$10,$F$44,$F$42,$F$26,$F$41,$F$20)</f>
        <v>27</v>
      </c>
      <c r="S133" s="603">
        <f>COUNT($F$49,$F$50,$F$51,$F$52,$F$53,$F$54,$F$55,$F$56,$F$57,$F$58,$F$59,$F$60,$F$61,$F$62,$F$69,$F$68,$F$34,$F$23,$F$24,$F$25,$F$66,$F$10,$F$44,$F$42,$F$26,$F$41,$F$21)</f>
        <v>27</v>
      </c>
      <c r="T133" s="186"/>
    </row>
    <row r="134" spans="1:20" ht="13.15" customHeight="1">
      <c r="A134" s="262" t="str">
        <f>'internal parameters'!D5</f>
        <v xml:space="preserve">  </v>
      </c>
      <c r="B134" s="639" t="str">
        <f>'internal parameters'!E5</f>
        <v xml:space="preserve">       ii.  Government savings</v>
      </c>
      <c r="C134" s="264"/>
      <c r="D134" s="264"/>
      <c r="E134" s="264"/>
      <c r="F134" s="264"/>
      <c r="G134" s="264"/>
      <c r="H134" s="604" t="b">
        <f>$E$85='1-2-3'!$F$13</f>
        <v>0</v>
      </c>
      <c r="I134" s="604" t="b">
        <f>$E$85='1-2-3'!$F$13</f>
        <v>0</v>
      </c>
      <c r="J134" s="604" t="b">
        <f>$E$85='1-2-3'!$F$13</f>
        <v>0</v>
      </c>
      <c r="K134" s="604" t="b">
        <f>$E$85='1-2-3'!$F$13</f>
        <v>0</v>
      </c>
      <c r="L134" s="602" t="b">
        <f>$E$85='1-2-3'!$F$13</f>
        <v>0</v>
      </c>
      <c r="M134" s="605" t="b">
        <f>$E$85='1-2-3'!$F$13</f>
        <v>0</v>
      </c>
      <c r="N134" s="605" t="b">
        <f>$E$85='1-2-3'!$F$13</f>
        <v>0</v>
      </c>
      <c r="O134" s="606" t="b">
        <f>$E$85='1-2-3'!$F$13</f>
        <v>0</v>
      </c>
      <c r="P134" s="605" t="b">
        <f>$E$85='1-2-3'!$F$13</f>
        <v>0</v>
      </c>
      <c r="Q134" s="605" t="b">
        <f>$E$85='1-2-3'!$F$13</f>
        <v>0</v>
      </c>
      <c r="R134" s="605" t="b">
        <f>$E$85='1-2-3'!$F$13</f>
        <v>0</v>
      </c>
      <c r="S134" s="607" t="b">
        <f>$E$85='1-2-3'!$F$13</f>
        <v>0</v>
      </c>
      <c r="T134" s="188"/>
    </row>
    <row r="135" spans="1:20" ht="13.15" customHeight="1">
      <c r="A135" s="262">
        <f>'internal parameters'!D6</f>
        <v>3</v>
      </c>
      <c r="B135" s="639" t="str">
        <f>'internal parameters'!E6</f>
        <v xml:space="preserve">               Expenditure adjustment      (public consumption)</v>
      </c>
      <c r="C135" s="239"/>
      <c r="D135" s="239"/>
      <c r="E135" s="239"/>
      <c r="F135" s="239"/>
      <c r="G135" s="239"/>
      <c r="H135" s="604" t="b">
        <f t="shared" ref="H135:S135" si="11">$E$88=E/Ds</f>
        <v>0</v>
      </c>
      <c r="I135" s="604" t="b">
        <f t="shared" si="11"/>
        <v>0</v>
      </c>
      <c r="J135" s="604" t="b">
        <f t="shared" si="11"/>
        <v>0</v>
      </c>
      <c r="K135" s="604" t="b">
        <f t="shared" si="11"/>
        <v>0</v>
      </c>
      <c r="L135" s="602" t="b">
        <f t="shared" si="11"/>
        <v>0</v>
      </c>
      <c r="M135" s="605" t="b">
        <f t="shared" si="11"/>
        <v>0</v>
      </c>
      <c r="N135" s="605" t="b">
        <f t="shared" si="11"/>
        <v>0</v>
      </c>
      <c r="O135" s="606" t="b">
        <f t="shared" si="11"/>
        <v>0</v>
      </c>
      <c r="P135" s="605" t="b">
        <f t="shared" si="11"/>
        <v>0</v>
      </c>
      <c r="Q135" s="605" t="b">
        <f t="shared" si="11"/>
        <v>0</v>
      </c>
      <c r="R135" s="605" t="b">
        <f t="shared" si="11"/>
        <v>0</v>
      </c>
      <c r="S135" s="607" t="b">
        <f t="shared" si="11"/>
        <v>0</v>
      </c>
      <c r="T135" s="188"/>
    </row>
    <row r="136" spans="1:20" ht="13.15" customHeight="1">
      <c r="A136" s="262" t="str">
        <f>'internal parameters'!D7</f>
        <v xml:space="preserve">  </v>
      </c>
      <c r="B136" s="639" t="str">
        <f>'internal parameters'!E7</f>
        <v xml:space="preserve">               Tax adjustment</v>
      </c>
      <c r="C136" s="241"/>
      <c r="D136" s="241"/>
      <c r="E136" s="241"/>
      <c r="F136" s="241"/>
      <c r="G136" s="241"/>
      <c r="H136" s="604" t="b">
        <f>$E$86='1-2-3'!$F$53</f>
        <v>0</v>
      </c>
      <c r="I136" s="604" t="b">
        <f>$E$86='1-2-3'!$F$53</f>
        <v>0</v>
      </c>
      <c r="J136" s="604" t="b">
        <f>$E$86='1-2-3'!$F$53</f>
        <v>0</v>
      </c>
      <c r="K136" s="604" t="b">
        <f>$E$86='1-2-3'!$F$53</f>
        <v>0</v>
      </c>
      <c r="L136" s="602" t="b">
        <f>$E$86='1-2-3'!$F$53</f>
        <v>0</v>
      </c>
      <c r="M136" s="605" t="b">
        <f>$E$86='1-2-3'!$F$53</f>
        <v>0</v>
      </c>
      <c r="N136" s="605" t="b">
        <f>$E$86='1-2-3'!$F$53</f>
        <v>0</v>
      </c>
      <c r="O136" s="606" t="b">
        <f>$E$86='1-2-3'!$F$53</f>
        <v>0</v>
      </c>
      <c r="P136" s="605" t="b">
        <f>$E$86='1-2-3'!$F$53</f>
        <v>0</v>
      </c>
      <c r="Q136" s="605" t="b">
        <f>$E$86='1-2-3'!$F$53</f>
        <v>0</v>
      </c>
      <c r="R136" s="605" t="b">
        <f>$E$86='1-2-3'!$F$53</f>
        <v>0</v>
      </c>
      <c r="S136" s="607" t="b">
        <f>$E$86='1-2-3'!$F$53</f>
        <v>0</v>
      </c>
      <c r="T136" s="188"/>
    </row>
    <row r="137" spans="1:20" ht="13.15" customHeight="1">
      <c r="A137" s="262">
        <f>'internal parameters'!D8</f>
        <v>4</v>
      </c>
      <c r="B137" s="639" t="str">
        <f>'internal parameters'!E8</f>
        <v xml:space="preserve">                     all taxes (incl. import tariffs and export duties)</v>
      </c>
      <c r="C137" s="241"/>
      <c r="D137" s="241"/>
      <c r="E137" s="241"/>
      <c r="F137" s="241"/>
      <c r="G137" s="241"/>
      <c r="H137" s="604" t="b">
        <f>$E$104='1-2-3'!$F$41</f>
        <v>0</v>
      </c>
      <c r="I137" s="604" t="b">
        <f>$E$104='1-2-3'!$F$41</f>
        <v>0</v>
      </c>
      <c r="J137" s="604" t="b">
        <f>$E$104='1-2-3'!$F$41</f>
        <v>0</v>
      </c>
      <c r="K137" s="604" t="b">
        <f>$E$104='1-2-3'!$F$41</f>
        <v>0</v>
      </c>
      <c r="L137" s="602" t="b">
        <f>$E$104='1-2-3'!$F$41</f>
        <v>0</v>
      </c>
      <c r="M137" s="605" t="b">
        <f>$E$104='1-2-3'!$F$41</f>
        <v>0</v>
      </c>
      <c r="N137" s="605" t="b">
        <f>$E$104='1-2-3'!$F$41</f>
        <v>0</v>
      </c>
      <c r="O137" s="606" t="b">
        <f>$E$104='1-2-3'!$F$41</f>
        <v>0</v>
      </c>
      <c r="P137" s="605" t="b">
        <f>$E$104='1-2-3'!$F$41</f>
        <v>0</v>
      </c>
      <c r="Q137" s="605" t="b">
        <f>$E$104='1-2-3'!$F$41</f>
        <v>0</v>
      </c>
      <c r="R137" s="605" t="b">
        <f>$E$104='1-2-3'!$F$41</f>
        <v>0</v>
      </c>
      <c r="S137" s="607" t="b">
        <f>$E$104='1-2-3'!$F$41</f>
        <v>0</v>
      </c>
      <c r="T137" s="188"/>
    </row>
    <row r="138" spans="1:20" ht="13.15" customHeight="1">
      <c r="A138" s="262">
        <f>'internal parameters'!D9</f>
        <v>5</v>
      </c>
      <c r="B138" s="639" t="str">
        <f>'internal parameters'!E9</f>
        <v xml:space="preserve">                     all domestic taxes</v>
      </c>
      <c r="C138" s="241"/>
      <c r="D138" s="241"/>
      <c r="E138" s="241"/>
      <c r="F138" s="241"/>
      <c r="G138" s="241"/>
      <c r="H138" s="604" t="b">
        <f>$E$99='1-2-3'!$F$61</f>
        <v>0</v>
      </c>
      <c r="I138" s="604" t="b">
        <f>$E$99='1-2-3'!$F$61</f>
        <v>0</v>
      </c>
      <c r="J138" s="604" t="b">
        <f>$E$99='1-2-3'!$F$61</f>
        <v>0</v>
      </c>
      <c r="K138" s="604" t="b">
        <f>$E$99='1-2-3'!$F$61</f>
        <v>0</v>
      </c>
      <c r="L138" s="602" t="b">
        <f>$E$99='1-2-3'!$F$61</f>
        <v>0</v>
      </c>
      <c r="M138" s="605" t="b">
        <f>$E$99='1-2-3'!$F$61</f>
        <v>0</v>
      </c>
      <c r="N138" s="605" t="b">
        <f>$E$99='1-2-3'!$F$61</f>
        <v>0</v>
      </c>
      <c r="O138" s="606" t="b">
        <f>$E$99='1-2-3'!$F$61</f>
        <v>0</v>
      </c>
      <c r="P138" s="605" t="b">
        <f>$E$99='1-2-3'!$F$61</f>
        <v>0</v>
      </c>
      <c r="Q138" s="605" t="b">
        <f>$E$99='1-2-3'!$F$61</f>
        <v>0</v>
      </c>
      <c r="R138" s="605" t="b">
        <f>$E$99='1-2-3'!$F$61</f>
        <v>0</v>
      </c>
      <c r="S138" s="607" t="b">
        <f>$E$99='1-2-3'!$F$61</f>
        <v>0</v>
      </c>
      <c r="T138" s="188"/>
    </row>
    <row r="139" spans="1:20" ht="13.15" customHeight="1">
      <c r="A139" s="262">
        <f>'internal parameters'!D10</f>
        <v>6</v>
      </c>
      <c r="B139" s="639" t="str">
        <f>'internal parameters'!E10</f>
        <v xml:space="preserve">                     domestic indirect taxes</v>
      </c>
      <c r="C139" s="241"/>
      <c r="D139" s="241"/>
      <c r="E139" s="241"/>
      <c r="F139" s="241"/>
      <c r="G139" s="241"/>
      <c r="H139" s="604" t="b">
        <f>$E$91='1-2-3'!$F$55</f>
        <v>0</v>
      </c>
      <c r="I139" s="604" t="b">
        <f>$E$91='1-2-3'!$F$55</f>
        <v>0</v>
      </c>
      <c r="J139" s="604" t="b">
        <f>$E$91='1-2-3'!$F$55</f>
        <v>0</v>
      </c>
      <c r="K139" s="604" t="b">
        <f>$E$91='1-2-3'!$F$55</f>
        <v>0</v>
      </c>
      <c r="L139" s="602" t="b">
        <f>$E$91='1-2-3'!$F$55</f>
        <v>0</v>
      </c>
      <c r="M139" s="605" t="b">
        <f>$E$91='1-2-3'!$F$55</f>
        <v>0</v>
      </c>
      <c r="N139" s="605" t="b">
        <f>$E$91='1-2-3'!$F$55</f>
        <v>0</v>
      </c>
      <c r="O139" s="606" t="b">
        <f>$E$91='1-2-3'!$F$55</f>
        <v>0</v>
      </c>
      <c r="P139" s="605" t="b">
        <f>$E$91='1-2-3'!$F$55</f>
        <v>0</v>
      </c>
      <c r="Q139" s="605" t="b">
        <f>$E$91='1-2-3'!$F$55</f>
        <v>0</v>
      </c>
      <c r="R139" s="605" t="b">
        <f>$E$91='1-2-3'!$F$55</f>
        <v>0</v>
      </c>
      <c r="S139" s="607" t="b">
        <f>$E$91='1-2-3'!$F$55</f>
        <v>0</v>
      </c>
      <c r="T139" s="188"/>
    </row>
    <row r="140" spans="1:20" ht="13.15" customHeight="1">
      <c r="A140" s="262">
        <f>'internal parameters'!D11</f>
        <v>7</v>
      </c>
      <c r="B140" s="639" t="str">
        <f>'internal parameters'!E11</f>
        <v xml:space="preserve">                     direct taxes</v>
      </c>
      <c r="C140" s="241"/>
      <c r="D140" s="241"/>
      <c r="E140" s="241"/>
      <c r="F140" s="241"/>
      <c r="G140" s="241"/>
      <c r="H140" s="604" t="b">
        <f>$E$93='1-2-3'!$F$57</f>
        <v>0</v>
      </c>
      <c r="I140" s="604" t="b">
        <f>$E$93='1-2-3'!$F$57</f>
        <v>0</v>
      </c>
      <c r="J140" s="604" t="b">
        <f>$E$93='1-2-3'!$F$57</f>
        <v>0</v>
      </c>
      <c r="K140" s="604" t="b">
        <f>$E$93='1-2-3'!$F$57</f>
        <v>0</v>
      </c>
      <c r="L140" s="602" t="b">
        <f>$E$93='1-2-3'!$F$57</f>
        <v>0</v>
      </c>
      <c r="M140" s="605" t="b">
        <f>$E$93='1-2-3'!$F$57</f>
        <v>0</v>
      </c>
      <c r="N140" s="605" t="b">
        <f>$E$93='1-2-3'!$F$57</f>
        <v>0</v>
      </c>
      <c r="O140" s="606" t="b">
        <f>$E$93='1-2-3'!$F$57</f>
        <v>0</v>
      </c>
      <c r="P140" s="605" t="b">
        <f>$E$93='1-2-3'!$F$57</f>
        <v>0</v>
      </c>
      <c r="Q140" s="605" t="b">
        <f>$E$93='1-2-3'!$F$57</f>
        <v>0</v>
      </c>
      <c r="R140" s="605" t="b">
        <f>$E$93='1-2-3'!$F$57</f>
        <v>0</v>
      </c>
      <c r="S140" s="607" t="b">
        <f>$E$93='1-2-3'!$F$57</f>
        <v>0</v>
      </c>
      <c r="T140" s="188"/>
    </row>
    <row r="141" spans="1:20" ht="13.15" customHeight="1">
      <c r="A141" s="262" t="str">
        <f>'internal parameters'!D12</f>
        <v xml:space="preserve">  </v>
      </c>
      <c r="B141" s="639" t="str">
        <f>'internal parameters'!E12</f>
        <v xml:space="preserve">       iii. Targeted fiscal balance (foreign financing endogenous), adjusting</v>
      </c>
      <c r="C141" s="241"/>
      <c r="D141" s="241"/>
      <c r="E141" s="241"/>
      <c r="F141" s="241"/>
      <c r="G141" s="241"/>
      <c r="H141" s="604" t="b">
        <f>$E$113=fbal*Px*X</f>
        <v>0</v>
      </c>
      <c r="I141" s="604" t="b">
        <f t="shared" ref="I141:S141" si="12">$E$113=fbal*Px*X</f>
        <v>0</v>
      </c>
      <c r="J141" s="604" t="b">
        <f t="shared" si="12"/>
        <v>0</v>
      </c>
      <c r="K141" s="604" t="b">
        <f t="shared" si="12"/>
        <v>0</v>
      </c>
      <c r="L141" s="604" t="b">
        <f t="shared" si="12"/>
        <v>0</v>
      </c>
      <c r="M141" s="604" t="b">
        <f t="shared" si="12"/>
        <v>0</v>
      </c>
      <c r="N141" s="604" t="b">
        <f t="shared" si="12"/>
        <v>0</v>
      </c>
      <c r="O141" s="604" t="b">
        <f t="shared" si="12"/>
        <v>0</v>
      </c>
      <c r="P141" s="604" t="b">
        <f t="shared" si="12"/>
        <v>0</v>
      </c>
      <c r="Q141" s="604" t="b">
        <f t="shared" si="12"/>
        <v>0</v>
      </c>
      <c r="R141" s="604" t="b">
        <f t="shared" si="12"/>
        <v>0</v>
      </c>
      <c r="S141" s="604" t="b">
        <f t="shared" si="12"/>
        <v>0</v>
      </c>
      <c r="T141" s="188"/>
    </row>
    <row r="142" spans="1:20" ht="13.15" customHeight="1">
      <c r="A142" s="262">
        <f>'internal parameters'!D13</f>
        <v>8</v>
      </c>
      <c r="B142" s="639" t="str">
        <f>'internal parameters'!E13</f>
        <v xml:space="preserve">               Expenditure adjustment      (public consumption)</v>
      </c>
      <c r="C142" s="239"/>
      <c r="D142" s="239"/>
      <c r="E142" s="239"/>
      <c r="F142" s="239"/>
      <c r="G142" s="239"/>
      <c r="H142" s="604" t="b">
        <f>$E$87='1-2-3'!$F$54</f>
        <v>1</v>
      </c>
      <c r="I142" s="604" t="b">
        <f>$E$87='1-2-3'!$F$54</f>
        <v>1</v>
      </c>
      <c r="J142" s="604" t="b">
        <f>$E$87='1-2-3'!$F$54</f>
        <v>1</v>
      </c>
      <c r="K142" s="604" t="b">
        <f>$E$87='1-2-3'!$F$54</f>
        <v>1</v>
      </c>
      <c r="L142" s="602" t="b">
        <f>$E$87='1-2-3'!$F$54</f>
        <v>1</v>
      </c>
      <c r="M142" s="605" t="b">
        <f>$E$87='1-2-3'!$F$54</f>
        <v>1</v>
      </c>
      <c r="N142" s="605" t="b">
        <f>$E$87='1-2-3'!$F$54</f>
        <v>1</v>
      </c>
      <c r="O142" s="606" t="b">
        <f>$E$87='1-2-3'!$F$54</f>
        <v>1</v>
      </c>
      <c r="P142" s="605" t="b">
        <f>$E$87='1-2-3'!$F$54</f>
        <v>1</v>
      </c>
      <c r="Q142" s="605" t="b">
        <f>$E$87='1-2-3'!$F$54</f>
        <v>1</v>
      </c>
      <c r="R142" s="605" t="b">
        <f>$E$87='1-2-3'!$F$54</f>
        <v>1</v>
      </c>
      <c r="S142" s="607" t="b">
        <f>$E$87='1-2-3'!$F$54</f>
        <v>1</v>
      </c>
      <c r="T142" s="188"/>
    </row>
    <row r="143" spans="1:20" ht="13.15" customHeight="1">
      <c r="A143" s="262" t="str">
        <f>'internal parameters'!D14</f>
        <v xml:space="preserve">  </v>
      </c>
      <c r="B143" s="639" t="str">
        <f>'internal parameters'!E14</f>
        <v xml:space="preserve">               Tax adjustment</v>
      </c>
      <c r="C143" s="241"/>
      <c r="D143" s="241"/>
      <c r="E143" s="241"/>
      <c r="F143" s="241"/>
      <c r="G143" s="241"/>
      <c r="H143" s="604" t="b">
        <f>$E$108='1-2-3'!$F$68</f>
        <v>0</v>
      </c>
      <c r="I143" s="604" t="b">
        <f>$E$108='1-2-3'!$F$68</f>
        <v>0</v>
      </c>
      <c r="J143" s="604" t="b">
        <f>$E$108='1-2-3'!$F$68</f>
        <v>0</v>
      </c>
      <c r="K143" s="604" t="b">
        <f>$E$108='1-2-3'!$F$68</f>
        <v>0</v>
      </c>
      <c r="L143" s="602" t="b">
        <f>$E$108='1-2-3'!$F$68</f>
        <v>0</v>
      </c>
      <c r="M143" s="605" t="b">
        <f>$E$108='1-2-3'!$F$68</f>
        <v>0</v>
      </c>
      <c r="N143" s="605" t="b">
        <f>$E$108='1-2-3'!$F$68</f>
        <v>0</v>
      </c>
      <c r="O143" s="606" t="b">
        <f>$E$108='1-2-3'!$F$68</f>
        <v>0</v>
      </c>
      <c r="P143" s="605" t="b">
        <f>$E$108='1-2-3'!$F$68</f>
        <v>0</v>
      </c>
      <c r="Q143" s="605" t="b">
        <f>$E$108='1-2-3'!$F$68</f>
        <v>0</v>
      </c>
      <c r="R143" s="605" t="b">
        <f>$E$108='1-2-3'!$F$68</f>
        <v>0</v>
      </c>
      <c r="S143" s="607" t="b">
        <f>$E$108='1-2-3'!$F$68</f>
        <v>0</v>
      </c>
      <c r="T143" s="188"/>
    </row>
    <row r="144" spans="1:20" ht="13.15" customHeight="1">
      <c r="A144" s="262">
        <f>'internal parameters'!D15</f>
        <v>9</v>
      </c>
      <c r="B144" s="639" t="str">
        <f>'internal parameters'!E15</f>
        <v xml:space="preserve">                     all taxes (incl. import tariffs and export duties)</v>
      </c>
      <c r="C144" s="241"/>
      <c r="D144" s="241"/>
      <c r="E144" s="241"/>
      <c r="F144" s="241"/>
      <c r="G144" s="241"/>
      <c r="H144" s="604" t="b">
        <f>$E$107='1-2-3'!$F$69</f>
        <v>0</v>
      </c>
      <c r="I144" s="604" t="b">
        <f>$E$107='1-2-3'!$F$69</f>
        <v>0</v>
      </c>
      <c r="J144" s="604" t="b">
        <f>$E$107='1-2-3'!$F$69</f>
        <v>0</v>
      </c>
      <c r="K144" s="604" t="b">
        <f>$E$107='1-2-3'!$F$69</f>
        <v>0</v>
      </c>
      <c r="L144" s="602" t="b">
        <f>$E$107='1-2-3'!$F$69</f>
        <v>0</v>
      </c>
      <c r="M144" s="605" t="b">
        <f>$E$107='1-2-3'!$F$69</f>
        <v>0</v>
      </c>
      <c r="N144" s="605" t="b">
        <f>$E$107='1-2-3'!$F$69</f>
        <v>0</v>
      </c>
      <c r="O144" s="606" t="b">
        <f>$E$107='1-2-3'!$F$69</f>
        <v>0</v>
      </c>
      <c r="P144" s="605" t="b">
        <f>$E$107='1-2-3'!$F$69</f>
        <v>0</v>
      </c>
      <c r="Q144" s="605" t="b">
        <f>$E$107='1-2-3'!$F$69</f>
        <v>0</v>
      </c>
      <c r="R144" s="605" t="b">
        <f>$E$107='1-2-3'!$F$69</f>
        <v>0</v>
      </c>
      <c r="S144" s="607" t="b">
        <f>$E$107='1-2-3'!$F$69</f>
        <v>0</v>
      </c>
      <c r="T144" s="188"/>
    </row>
    <row r="145" spans="1:20" ht="13.15" customHeight="1">
      <c r="A145" s="262">
        <f>'internal parameters'!D16</f>
        <v>10</v>
      </c>
      <c r="B145" s="639" t="str">
        <f>'internal parameters'!E16</f>
        <v xml:space="preserve">                     all domestic taxes</v>
      </c>
      <c r="C145" s="241"/>
      <c r="D145" s="241"/>
      <c r="E145" s="241"/>
      <c r="F145" s="241"/>
      <c r="G145" s="241"/>
      <c r="H145" s="604" t="b">
        <f>$E$92='1-2-3'!$F$56</f>
        <v>0</v>
      </c>
      <c r="I145" s="604" t="b">
        <f>$E$92='1-2-3'!$F$56</f>
        <v>0</v>
      </c>
      <c r="J145" s="604" t="b">
        <f>$E$92='1-2-3'!$F$56</f>
        <v>0</v>
      </c>
      <c r="K145" s="604" t="b">
        <f>$E$92='1-2-3'!$F$56</f>
        <v>0</v>
      </c>
      <c r="L145" s="602" t="b">
        <f>$E$92='1-2-3'!$F$56</f>
        <v>0</v>
      </c>
      <c r="M145" s="605" t="b">
        <f>$E$92='1-2-3'!$F$56</f>
        <v>0</v>
      </c>
      <c r="N145" s="605" t="b">
        <f>$E$92='1-2-3'!$F$56</f>
        <v>0</v>
      </c>
      <c r="O145" s="606" t="b">
        <f>$E$92='1-2-3'!$F$56</f>
        <v>0</v>
      </c>
      <c r="P145" s="605" t="b">
        <f>$E$92='1-2-3'!$F$56</f>
        <v>0</v>
      </c>
      <c r="Q145" s="605" t="b">
        <f>$E$92='1-2-3'!$F$56</f>
        <v>0</v>
      </c>
      <c r="R145" s="605" t="b">
        <f>$E$92='1-2-3'!$F$56</f>
        <v>0</v>
      </c>
      <c r="S145" s="607" t="b">
        <f>$E$92='1-2-3'!$F$56</f>
        <v>0</v>
      </c>
      <c r="T145" s="188"/>
    </row>
    <row r="146" spans="1:20" ht="13.15" customHeight="1">
      <c r="A146" s="262">
        <f>'internal parameters'!D17</f>
        <v>11</v>
      </c>
      <c r="B146" s="639" t="str">
        <f>'internal parameters'!E17</f>
        <v xml:space="preserve">                     domestic indirect taxes</v>
      </c>
      <c r="C146" s="241"/>
      <c r="D146" s="241"/>
      <c r="E146" s="241"/>
      <c r="F146" s="241"/>
      <c r="G146" s="241"/>
      <c r="H146" s="604" t="b">
        <f>$E$95='1-2-3'!$F$58</f>
        <v>1</v>
      </c>
      <c r="I146" s="604" t="b">
        <f>$E$95='1-2-3'!$F$58</f>
        <v>1</v>
      </c>
      <c r="J146" s="604" t="b">
        <f>$E$95='1-2-3'!$F$58</f>
        <v>1</v>
      </c>
      <c r="K146" s="604" t="b">
        <f>$E$95='1-2-3'!$F$58</f>
        <v>1</v>
      </c>
      <c r="L146" s="602" t="b">
        <f>$E$95='1-2-3'!$F$58</f>
        <v>1</v>
      </c>
      <c r="M146" s="605" t="b">
        <f>$E$95='1-2-3'!$F$58</f>
        <v>1</v>
      </c>
      <c r="N146" s="605" t="b">
        <f>$E$95='1-2-3'!$F$58</f>
        <v>1</v>
      </c>
      <c r="O146" s="606" t="b">
        <f>$E$95='1-2-3'!$F$58</f>
        <v>1</v>
      </c>
      <c r="P146" s="605" t="b">
        <f>$E$95='1-2-3'!$F$58</f>
        <v>1</v>
      </c>
      <c r="Q146" s="605" t="b">
        <f>$E$95='1-2-3'!$F$58</f>
        <v>1</v>
      </c>
      <c r="R146" s="605" t="b">
        <f>$E$95='1-2-3'!$F$58</f>
        <v>1</v>
      </c>
      <c r="S146" s="607" t="b">
        <f>$E$95='1-2-3'!$F$58</f>
        <v>1</v>
      </c>
      <c r="T146" s="188"/>
    </row>
    <row r="147" spans="1:20" ht="13.15" customHeight="1">
      <c r="A147" s="262">
        <f>'internal parameters'!D18</f>
        <v>12</v>
      </c>
      <c r="B147" s="639" t="str">
        <f>'internal parameters'!E18</f>
        <v xml:space="preserve">                     direct taxes</v>
      </c>
      <c r="C147" s="241"/>
      <c r="D147" s="241"/>
      <c r="E147" s="241"/>
      <c r="F147" s="241"/>
      <c r="G147" s="241"/>
      <c r="H147" s="604" t="b">
        <f>$E$96='1-2-3'!$F$59</f>
        <v>1</v>
      </c>
      <c r="I147" s="604" t="b">
        <f>$E$96='1-2-3'!$F$59</f>
        <v>1</v>
      </c>
      <c r="J147" s="604" t="b">
        <f>$E$96='1-2-3'!$F$59</f>
        <v>1</v>
      </c>
      <c r="K147" s="604" t="b">
        <f>$E$96='1-2-3'!$F$59</f>
        <v>1</v>
      </c>
      <c r="L147" s="602" t="b">
        <f>$E$96='1-2-3'!$F$59</f>
        <v>1</v>
      </c>
      <c r="M147" s="605" t="b">
        <f>$E$96='1-2-3'!$F$59</f>
        <v>1</v>
      </c>
      <c r="N147" s="605" t="b">
        <f>$E$96='1-2-3'!$F$59</f>
        <v>1</v>
      </c>
      <c r="O147" s="606" t="b">
        <f>$E$96='1-2-3'!$F$59</f>
        <v>1</v>
      </c>
      <c r="P147" s="605" t="b">
        <f>$E$96='1-2-3'!$F$59</f>
        <v>1</v>
      </c>
      <c r="Q147" s="605" t="b">
        <f>$E$96='1-2-3'!$F$59</f>
        <v>1</v>
      </c>
      <c r="R147" s="605" t="b">
        <f>$E$96='1-2-3'!$F$59</f>
        <v>1</v>
      </c>
      <c r="S147" s="607" t="b">
        <f>$E$96='1-2-3'!$F$59</f>
        <v>1</v>
      </c>
      <c r="T147" s="188"/>
    </row>
    <row r="148" spans="1:20" ht="13.15" customHeight="1">
      <c r="A148" s="260" t="str">
        <f>'internal parameters'!D19</f>
        <v xml:space="preserve">  </v>
      </c>
      <c r="B148" s="260" t="str">
        <f>'internal parameters'!E19</f>
        <v xml:space="preserve">  </v>
      </c>
      <c r="C148" s="241"/>
      <c r="D148" s="241"/>
      <c r="E148" s="241"/>
      <c r="F148" s="241"/>
      <c r="G148" s="241"/>
      <c r="H148" s="604" t="b">
        <f>$E$97='1-2-3'!$F$60</f>
        <v>0</v>
      </c>
      <c r="I148" s="604" t="b">
        <f>$E$97='1-2-3'!$F$60</f>
        <v>0</v>
      </c>
      <c r="J148" s="604" t="b">
        <f>$E$97='1-2-3'!$F$60</f>
        <v>0</v>
      </c>
      <c r="K148" s="604" t="b">
        <f>$E$97='1-2-3'!$F$60</f>
        <v>0</v>
      </c>
      <c r="L148" s="602" t="b">
        <f>$E$97='1-2-3'!$F$60</f>
        <v>0</v>
      </c>
      <c r="M148" s="605" t="b">
        <f>$E$97='1-2-3'!$F$60</f>
        <v>0</v>
      </c>
      <c r="N148" s="605" t="b">
        <f>$E$97='1-2-3'!$F$60</f>
        <v>0</v>
      </c>
      <c r="O148" s="606" t="b">
        <f>$E$97='1-2-3'!$F$60</f>
        <v>0</v>
      </c>
      <c r="P148" s="605" t="b">
        <f>$E$97='1-2-3'!$F$60</f>
        <v>0</v>
      </c>
      <c r="Q148" s="605" t="b">
        <f>$E$97='1-2-3'!$F$60</f>
        <v>0</v>
      </c>
      <c r="R148" s="605" t="b">
        <f>$E$97='1-2-3'!$F$60</f>
        <v>0</v>
      </c>
      <c r="S148" s="607" t="b">
        <f>$E$97='1-2-3'!$F$60</f>
        <v>0</v>
      </c>
      <c r="T148" s="188"/>
    </row>
    <row r="149" spans="1:20" ht="13.15" customHeight="1">
      <c r="A149" s="250"/>
      <c r="B149" s="241"/>
      <c r="H149" s="604" t="b">
        <f t="shared" ref="H149:S149" si="13">$E$102=0</f>
        <v>1</v>
      </c>
      <c r="I149" s="604" t="b">
        <f t="shared" si="13"/>
        <v>1</v>
      </c>
      <c r="J149" s="604" t="b">
        <f t="shared" si="13"/>
        <v>1</v>
      </c>
      <c r="K149" s="604" t="b">
        <f t="shared" si="13"/>
        <v>1</v>
      </c>
      <c r="L149" s="602" t="b">
        <f t="shared" si="13"/>
        <v>1</v>
      </c>
      <c r="M149" s="605" t="b">
        <f t="shared" si="13"/>
        <v>1</v>
      </c>
      <c r="N149" s="605" t="b">
        <f t="shared" si="13"/>
        <v>1</v>
      </c>
      <c r="O149" s="606" t="b">
        <f t="shared" si="13"/>
        <v>1</v>
      </c>
      <c r="P149" s="605" t="b">
        <f t="shared" si="13"/>
        <v>1</v>
      </c>
      <c r="Q149" s="605" t="b">
        <f t="shared" si="13"/>
        <v>1</v>
      </c>
      <c r="R149" s="605" t="b">
        <f t="shared" si="13"/>
        <v>1</v>
      </c>
      <c r="S149" s="607" t="b">
        <f t="shared" si="13"/>
        <v>1</v>
      </c>
      <c r="T149" s="188"/>
    </row>
    <row r="150" spans="1:20" ht="13.15" customHeight="1">
      <c r="A150" s="250"/>
      <c r="B150" s="241"/>
      <c r="H150" s="604" t="b">
        <f t="shared" ref="H150:S150" si="14">$E$101=0</f>
        <v>1</v>
      </c>
      <c r="I150" s="604" t="b">
        <f t="shared" si="14"/>
        <v>1</v>
      </c>
      <c r="J150" s="604" t="b">
        <f t="shared" si="14"/>
        <v>1</v>
      </c>
      <c r="K150" s="604" t="b">
        <f t="shared" si="14"/>
        <v>1</v>
      </c>
      <c r="L150" s="602" t="b">
        <f t="shared" si="14"/>
        <v>1</v>
      </c>
      <c r="M150" s="605" t="b">
        <f t="shared" si="14"/>
        <v>1</v>
      </c>
      <c r="N150" s="605" t="b">
        <f t="shared" si="14"/>
        <v>1</v>
      </c>
      <c r="O150" s="606" t="b">
        <f t="shared" si="14"/>
        <v>1</v>
      </c>
      <c r="P150" s="605" t="b">
        <f t="shared" si="14"/>
        <v>1</v>
      </c>
      <c r="Q150" s="605" t="b">
        <f t="shared" si="14"/>
        <v>1</v>
      </c>
      <c r="R150" s="605" t="b">
        <f t="shared" si="14"/>
        <v>1</v>
      </c>
      <c r="S150" s="607" t="b">
        <f t="shared" si="14"/>
        <v>1</v>
      </c>
      <c r="T150" s="188"/>
    </row>
    <row r="151" spans="1:20" ht="13.15" customHeight="1">
      <c r="A151" s="250"/>
      <c r="H151" s="604" t="b">
        <f>$E$98='1-2-3'!$F$14</f>
        <v>0</v>
      </c>
      <c r="I151" s="604" t="b">
        <f>$E$98='1-2-3'!$F$14</f>
        <v>0</v>
      </c>
      <c r="J151" s="604" t="b">
        <f>$E$98='1-2-3'!$F$14</f>
        <v>0</v>
      </c>
      <c r="K151" s="604" t="b">
        <f>$E$98='1-2-3'!$F$14</f>
        <v>0</v>
      </c>
      <c r="L151" s="602" t="b">
        <f>$E$98='1-2-3'!$F$14</f>
        <v>0</v>
      </c>
      <c r="M151" s="605" t="b">
        <f>$E$98='1-2-3'!$F$14</f>
        <v>0</v>
      </c>
      <c r="N151" s="605" t="b">
        <f>$E$98='1-2-3'!$F$14</f>
        <v>0</v>
      </c>
      <c r="O151" s="606" t="b">
        <f>$E$98='1-2-3'!$F$14</f>
        <v>0</v>
      </c>
      <c r="P151" s="605" t="b">
        <f>$E$98='1-2-3'!$F$14</f>
        <v>0</v>
      </c>
      <c r="Q151" s="605" t="b">
        <f>$E$98='1-2-3'!$F$14</f>
        <v>0</v>
      </c>
      <c r="R151" s="605" t="b">
        <f>$E$98='1-2-3'!$F$14</f>
        <v>0</v>
      </c>
      <c r="S151" s="607" t="b">
        <f>$E$98='1-2-3'!$F$14</f>
        <v>0</v>
      </c>
      <c r="T151" s="188"/>
    </row>
    <row r="152" spans="1:20" ht="13.15" customHeight="1">
      <c r="A152" s="250"/>
      <c r="H152" s="604" t="b">
        <f>$E$109='1-2-3'!$F$26</f>
        <v>0</v>
      </c>
      <c r="I152" s="604" t="b">
        <f>$E$109='1-2-3'!$F$26</f>
        <v>0</v>
      </c>
      <c r="J152" s="604" t="b">
        <f>$E$109='1-2-3'!$F$26</f>
        <v>0</v>
      </c>
      <c r="K152" s="604" t="b">
        <f>$E$109='1-2-3'!$F$26</f>
        <v>0</v>
      </c>
      <c r="L152" s="602" t="b">
        <f>$E$109='1-2-3'!$F$26</f>
        <v>0</v>
      </c>
      <c r="M152" s="605" t="b">
        <f>$E$109='1-2-3'!$F$26</f>
        <v>0</v>
      </c>
      <c r="N152" s="605" t="b">
        <f>$E$109='1-2-3'!$F$26</f>
        <v>0</v>
      </c>
      <c r="O152" s="606" t="b">
        <f>$E$109='1-2-3'!$F$26</f>
        <v>0</v>
      </c>
      <c r="P152" s="605" t="b">
        <f>$E$109='1-2-3'!$F$26</f>
        <v>0</v>
      </c>
      <c r="Q152" s="605" t="b">
        <f>$E$109='1-2-3'!$F$26</f>
        <v>0</v>
      </c>
      <c r="R152" s="605" t="b">
        <f>$E$109='1-2-3'!$F$26</f>
        <v>0</v>
      </c>
      <c r="S152" s="607" t="b">
        <f>$E$109='1-2-3'!$F$26</f>
        <v>0</v>
      </c>
      <c r="T152" s="188"/>
    </row>
    <row r="153" spans="1:20" ht="13.15" customHeight="1">
      <c r="A153" s="250"/>
      <c r="H153" s="604" t="b">
        <f>$E$110='1-2-3'!$F$27</f>
        <v>0</v>
      </c>
      <c r="I153" s="604" t="b">
        <f>$E$110='1-2-3'!$F$27</f>
        <v>0</v>
      </c>
      <c r="J153" s="604" t="b">
        <f>$E$110='1-2-3'!$F$27</f>
        <v>0</v>
      </c>
      <c r="K153" s="604" t="b">
        <f>$E$110='1-2-3'!$F$27</f>
        <v>0</v>
      </c>
      <c r="L153" s="602" t="b">
        <f>$E$110='1-2-3'!$F$27</f>
        <v>0</v>
      </c>
      <c r="M153" s="605" t="b">
        <f>$E$110='1-2-3'!$F$27</f>
        <v>0</v>
      </c>
      <c r="N153" s="605" t="b">
        <f>$E$110='1-2-3'!$F$27</f>
        <v>0</v>
      </c>
      <c r="O153" s="606" t="b">
        <f>$E$110='1-2-3'!$F$27</f>
        <v>0</v>
      </c>
      <c r="P153" s="605" t="b">
        <f>$E$110='1-2-3'!$F$27</f>
        <v>0</v>
      </c>
      <c r="Q153" s="605" t="b">
        <f>$E$110='1-2-3'!$F$27</f>
        <v>0</v>
      </c>
      <c r="R153" s="605" t="b">
        <f>$E$110='1-2-3'!$F$27</f>
        <v>0</v>
      </c>
      <c r="S153" s="607" t="b">
        <f>$E$110='1-2-3'!$F$27</f>
        <v>0</v>
      </c>
      <c r="T153" s="188"/>
    </row>
    <row r="154" spans="1:20" ht="13.15" customHeight="1">
      <c r="A154" s="250"/>
      <c r="H154" s="604" t="b">
        <f>$E$111='1-2-3'!$F$28</f>
        <v>1</v>
      </c>
      <c r="I154" s="604" t="b">
        <f>$E$111='1-2-3'!$F$28</f>
        <v>1</v>
      </c>
      <c r="J154" s="604" t="b">
        <f>$E$111='1-2-3'!$F$28</f>
        <v>1</v>
      </c>
      <c r="K154" s="604" t="b">
        <f>$E$111='1-2-3'!$F$28</f>
        <v>1</v>
      </c>
      <c r="L154" s="602" t="b">
        <f>$E$111='1-2-3'!$F$28</f>
        <v>1</v>
      </c>
      <c r="M154" s="605" t="b">
        <f>$E$111='1-2-3'!$F$28</f>
        <v>1</v>
      </c>
      <c r="N154" s="605" t="b">
        <f>$E$111='1-2-3'!$F$28</f>
        <v>1</v>
      </c>
      <c r="O154" s="606" t="b">
        <f>$E$111='1-2-3'!$F$28</f>
        <v>1</v>
      </c>
      <c r="P154" s="605" t="b">
        <f>$E$111='1-2-3'!$F$28</f>
        <v>1</v>
      </c>
      <c r="Q154" s="605" t="b">
        <f>$E$111='1-2-3'!$F$28</f>
        <v>1</v>
      </c>
      <c r="R154" s="605" t="b">
        <f>$E$111='1-2-3'!$F$28</f>
        <v>1</v>
      </c>
      <c r="S154" s="607" t="b">
        <f>$E$111='1-2-3'!$F$28</f>
        <v>1</v>
      </c>
      <c r="T154" s="188"/>
    </row>
    <row r="155" spans="1:20" ht="13.15" customHeight="1">
      <c r="H155" s="604" t="b">
        <f>$E$112='1-2-3'!$F$29</f>
        <v>0</v>
      </c>
      <c r="I155" s="604" t="b">
        <f>$E$112='1-2-3'!$F$29</f>
        <v>0</v>
      </c>
      <c r="J155" s="604" t="b">
        <f>$E$112='1-2-3'!$F$29</f>
        <v>0</v>
      </c>
      <c r="K155" s="604" t="b">
        <f>$E$112='1-2-3'!$F$29</f>
        <v>0</v>
      </c>
      <c r="L155" s="602" t="b">
        <f>$E$112='1-2-3'!$F$29</f>
        <v>0</v>
      </c>
      <c r="M155" s="605" t="b">
        <f>$E$112='1-2-3'!$F$29</f>
        <v>0</v>
      </c>
      <c r="N155" s="605" t="b">
        <f>$E$112='1-2-3'!$F$29</f>
        <v>0</v>
      </c>
      <c r="O155" s="606" t="b">
        <f>$E$112='1-2-3'!$F$29</f>
        <v>0</v>
      </c>
      <c r="P155" s="605" t="b">
        <f>$E$112='1-2-3'!$F$29</f>
        <v>0</v>
      </c>
      <c r="Q155" s="605" t="b">
        <f>$E$112='1-2-3'!$F$29</f>
        <v>0</v>
      </c>
      <c r="R155" s="605" t="b">
        <f>$E$112='1-2-3'!$F$29</f>
        <v>0</v>
      </c>
      <c r="S155" s="607" t="b">
        <f>$E$112='1-2-3'!$F$29</f>
        <v>0</v>
      </c>
      <c r="T155" s="188"/>
    </row>
    <row r="156" spans="1:20" ht="13.15" customHeight="1">
      <c r="H156" s="604" t="b">
        <f>$E$116='1-2-3'!$F$10</f>
        <v>0</v>
      </c>
      <c r="I156" s="604" t="b">
        <f>$E$116='1-2-3'!$F$10</f>
        <v>0</v>
      </c>
      <c r="J156" s="604" t="b">
        <f>$E$116='1-2-3'!$F$10</f>
        <v>0</v>
      </c>
      <c r="K156" s="604" t="b">
        <f>$E$116='1-2-3'!$F$10</f>
        <v>0</v>
      </c>
      <c r="L156" s="602" t="b">
        <f>$E$116='1-2-3'!$F$10</f>
        <v>0</v>
      </c>
      <c r="M156" s="605" t="b">
        <f>$E$116='1-2-3'!$F$10</f>
        <v>0</v>
      </c>
      <c r="N156" s="605" t="b">
        <f>$E$116='1-2-3'!$F$10</f>
        <v>0</v>
      </c>
      <c r="O156" s="606" t="b">
        <f>$E$116='1-2-3'!$F$10</f>
        <v>0</v>
      </c>
      <c r="P156" s="605" t="b">
        <f>$E$116='1-2-3'!$F$10</f>
        <v>0</v>
      </c>
      <c r="Q156" s="605" t="b">
        <f>$E$116='1-2-3'!$F$10</f>
        <v>0</v>
      </c>
      <c r="R156" s="605" t="b">
        <f>$E$116='1-2-3'!$F$10</f>
        <v>0</v>
      </c>
      <c r="S156" s="607" t="b">
        <f>$E$116='1-2-3'!$F$10</f>
        <v>0</v>
      </c>
      <c r="T156" s="188"/>
    </row>
    <row r="157" spans="1:20" ht="13.15" customHeight="1">
      <c r="H157" s="602" t="b">
        <f>$E$117='1-2-3'!$F$42</f>
        <v>0</v>
      </c>
      <c r="I157" s="602" t="b">
        <f>$E$117='1-2-3'!$F$42</f>
        <v>0</v>
      </c>
      <c r="J157" s="602" t="b">
        <f>$E$117='1-2-3'!$F$42</f>
        <v>0</v>
      </c>
      <c r="K157" s="602" t="b">
        <f>$E$117='1-2-3'!$F$42</f>
        <v>0</v>
      </c>
      <c r="L157" s="602" t="b">
        <f>$E$117='1-2-3'!$F$42</f>
        <v>0</v>
      </c>
      <c r="M157" s="602" t="b">
        <f>$E$117='1-2-3'!$F$42</f>
        <v>0</v>
      </c>
      <c r="N157" s="602" t="b">
        <f>$E$117='1-2-3'!$F$42</f>
        <v>0</v>
      </c>
      <c r="O157" s="602" t="b">
        <f>$E$117='1-2-3'!$F$42</f>
        <v>0</v>
      </c>
      <c r="P157" s="602" t="b">
        <f>$E$117='1-2-3'!$F$42</f>
        <v>0</v>
      </c>
      <c r="Q157" s="605" t="b">
        <f>$E$117='1-2-3'!$F$42</f>
        <v>0</v>
      </c>
      <c r="R157" s="605" t="b">
        <f>$E$117='1-2-3'!$F$42</f>
        <v>0</v>
      </c>
      <c r="S157" s="607" t="b">
        <f>$E$117='1-2-3'!$F$42</f>
        <v>0</v>
      </c>
      <c r="T157" s="186"/>
    </row>
    <row r="158" spans="1:20" ht="13.15" customHeight="1">
      <c r="H158" s="604" t="b">
        <f>$E$115='1-2-3'!$F$10</f>
        <v>0</v>
      </c>
      <c r="I158" s="604" t="b">
        <f>$E$115='1-2-3'!$F$10</f>
        <v>0</v>
      </c>
      <c r="J158" s="604" t="b">
        <f>$E$115='1-2-3'!$F$10</f>
        <v>0</v>
      </c>
      <c r="K158" s="604" t="b">
        <f>$E$115='1-2-3'!$F$10</f>
        <v>0</v>
      </c>
      <c r="L158" s="602" t="b">
        <f>$E$115='1-2-3'!$F$10</f>
        <v>0</v>
      </c>
      <c r="M158" s="605" t="b">
        <f>$E$115='1-2-3'!$F$10</f>
        <v>0</v>
      </c>
      <c r="N158" s="605" t="b">
        <f>$E$115='1-2-3'!$F$10</f>
        <v>0</v>
      </c>
      <c r="O158" s="606" t="b">
        <f>$E$115='1-2-3'!$F$10</f>
        <v>0</v>
      </c>
      <c r="P158" s="605" t="b">
        <f>$E$115='1-2-3'!$F$10</f>
        <v>0</v>
      </c>
      <c r="Q158" s="605" t="b">
        <f>$E$115='1-2-3'!$F$10</f>
        <v>0</v>
      </c>
      <c r="R158" s="605" t="b">
        <f>$E$115='1-2-3'!$F$10</f>
        <v>0</v>
      </c>
      <c r="S158" s="607" t="b">
        <f>$E$115='1-2-3'!$F$10</f>
        <v>0</v>
      </c>
      <c r="T158" s="188"/>
    </row>
    <row r="159" spans="1:20" ht="13.15" customHeight="1">
      <c r="H159" s="604" t="b">
        <f>$E$105='1-2-3'!$F$44</f>
        <v>1</v>
      </c>
      <c r="I159" s="604" t="b">
        <f>$E$105='1-2-3'!$F$44</f>
        <v>1</v>
      </c>
      <c r="J159" s="604" t="b">
        <f>$E$105='1-2-3'!$F$44</f>
        <v>1</v>
      </c>
      <c r="K159" s="604" t="b">
        <f>$E$105='1-2-3'!$F$44</f>
        <v>1</v>
      </c>
      <c r="L159" s="602" t="b">
        <f>$E$105='1-2-3'!$F$44</f>
        <v>1</v>
      </c>
      <c r="M159" s="605" t="b">
        <f>$E$105='1-2-3'!$F$44</f>
        <v>1</v>
      </c>
      <c r="N159" s="605" t="b">
        <f>$E$105='1-2-3'!$F$44</f>
        <v>1</v>
      </c>
      <c r="O159" s="606" t="b">
        <f>$E$105='1-2-3'!$F$44</f>
        <v>1</v>
      </c>
      <c r="P159" s="605" t="b">
        <f>$E$105='1-2-3'!$F$44</f>
        <v>1</v>
      </c>
      <c r="Q159" s="605" t="b">
        <f>$E$105='1-2-3'!$F$44</f>
        <v>1</v>
      </c>
      <c r="R159" s="605" t="b">
        <f>$E$105='1-2-3'!$F$44</f>
        <v>1</v>
      </c>
      <c r="S159" s="607" t="b">
        <f>$E$105='1-2-3'!$F$44</f>
        <v>1</v>
      </c>
      <c r="T159" s="188"/>
    </row>
    <row r="160" spans="1:20" ht="13.15" customHeight="1">
      <c r="H160" s="604" t="b">
        <f t="shared" ref="H160:S160" si="15">$E$89=M/Dd</f>
        <v>0</v>
      </c>
      <c r="I160" s="604" t="b">
        <f t="shared" si="15"/>
        <v>0</v>
      </c>
      <c r="J160" s="604" t="b">
        <f t="shared" si="15"/>
        <v>0</v>
      </c>
      <c r="K160" s="604" t="b">
        <f t="shared" si="15"/>
        <v>0</v>
      </c>
      <c r="L160" s="602" t="b">
        <f t="shared" si="15"/>
        <v>0</v>
      </c>
      <c r="M160" s="605" t="b">
        <f t="shared" si="15"/>
        <v>0</v>
      </c>
      <c r="N160" s="605" t="b">
        <f t="shared" si="15"/>
        <v>0</v>
      </c>
      <c r="O160" s="606" t="b">
        <f t="shared" si="15"/>
        <v>0</v>
      </c>
      <c r="P160" s="605" t="b">
        <f t="shared" si="15"/>
        <v>0</v>
      </c>
      <c r="Q160" s="605" t="b">
        <f t="shared" si="15"/>
        <v>0</v>
      </c>
      <c r="R160" s="605" t="b">
        <f t="shared" si="15"/>
        <v>0</v>
      </c>
      <c r="S160" s="607" t="b">
        <f t="shared" si="15"/>
        <v>0</v>
      </c>
      <c r="T160" s="188"/>
    </row>
    <row r="161" spans="8:20" ht="13.15" customHeight="1">
      <c r="H161" s="604">
        <f>{100,100,0.000001,0.05,FALSE,FALSE,FALSE,1,1,1,0.001,FALSE}</f>
        <v>100</v>
      </c>
      <c r="I161" s="604">
        <f>{100,100,0.000001,0.05,FALSE,FALSE,FALSE,1,1,1,0.001,FALSE}</f>
        <v>100</v>
      </c>
      <c r="J161" s="604">
        <f>{100,100,0.000001,0.05,FALSE,FALSE,FALSE,1,1,1,0.001,FALSE}</f>
        <v>100</v>
      </c>
      <c r="K161" s="604">
        <f>{100,100,0.000001,0.05,FALSE,FALSE,FALSE,1,1,1,0.001,FALSE}</f>
        <v>100</v>
      </c>
      <c r="L161" s="602">
        <f>{100,100,0.000001,0.05,FALSE,FALSE,FALSE,1,1,1,0.001,FALSE}</f>
        <v>100</v>
      </c>
      <c r="M161" s="605">
        <f>{100,100,0.000001,0.05,FALSE,FALSE,FALSE,1,1,1,0.001,FALSE}</f>
        <v>100</v>
      </c>
      <c r="N161" s="605">
        <f>{100,100,0.000001,0.05,FALSE,FALSE,FALSE,1,1,1,0.001,FALSE}</f>
        <v>100</v>
      </c>
      <c r="O161" s="606">
        <f>{100,100,0.000001,0.05,FALSE,FALSE,FALSE,1,1,1,0.001,FALSE}</f>
        <v>100</v>
      </c>
      <c r="P161" s="605">
        <f>{100,100,0.000001,0.05,FALSE,FALSE,FALSE,1,1,1,0.001,FALSE}</f>
        <v>100</v>
      </c>
      <c r="Q161" s="605">
        <f>{100,100,0.000001,0.05,FALSE,FALSE,FALSE,1,1,1,0.001,FALSE}</f>
        <v>100</v>
      </c>
      <c r="R161" s="605">
        <f>{100,100,0.000001,0.05,FALSE,FALSE,FALSE,1,1,1,0.001,FALSE}</f>
        <v>100</v>
      </c>
      <c r="S161" s="607">
        <f>{100,100,0.000001,0.05,FALSE,FALSE,FALSE,1,1,1,0.001,FALSE}</f>
        <v>100</v>
      </c>
      <c r="T161" s="188"/>
    </row>
  </sheetData>
  <scenarios current="0">
    <scenario name="tria" count="27" user="World Bank User" comment="Created by World Bank User on 9/4/00">
      <inputCells r="F49" val="0.842" numFmtId="166"/>
      <inputCells r="F50" val="1.169" numFmtId="166"/>
      <inputCells r="F51" val="4.721404" numFmtId="166"/>
      <inputCells r="F52" val="4.721404" numFmtId="166"/>
      <inputCells r="F53" val="8" numFmtId="166"/>
      <inputCells r="F54" val="7.849976" numFmtId="166"/>
      <inputCells r="F55" val="6.542752" numFmtId="166"/>
      <inputCells r="F56" val="1.0831824" numFmtId="166"/>
      <inputCells r="F57" val="6.1432820970401" numFmtId="166"/>
      <inputCells r="F58" val="2.67628058169376" numFmtId="166"/>
      <inputCells r="F59" val="2.388" numFmtId="166"/>
      <inputCells r="F60" val="1.05770718279903" numFmtId="166"/>
      <inputCells r="F61" val="1" numFmtId="166"/>
      <inputCells r="F62" val="1" numFmtId="166"/>
      <inputCells r="F69" val="1.273" numFmtId="166"/>
      <inputCells r="F68" val="0.332" numFmtId="166"/>
      <inputCells r="F34" val="2.388" numFmtId="166"/>
      <inputCells r="F23" val="0.112" numFmtId="166"/>
      <inputCells r="F24" val="0" numFmtId="166"/>
      <inputCells r="F25" val="0.0021656117165199" numFmtId="166"/>
      <inputCells r="F66" val="1.428" numFmtId="168"/>
      <inputCells r="F10" val="7.5221" numFmtId="166"/>
      <inputCells r="F44" val="0" numFmtId="166"/>
      <inputCells r="F32" val="-0.0225783930719983" numFmtId="166"/>
      <inputCells r="F42" val="0.176649782385883" numFmtId="166"/>
      <inputCells r="F26" val="0.107247367091992" numFmtId="166"/>
      <inputCells r="F15" val="2" numFmtId="166"/>
    </scenario>
  </scenarios>
  <mergeCells count="4">
    <mergeCell ref="C2:D2"/>
    <mergeCell ref="J128:N128"/>
    <mergeCell ref="O128:S128"/>
    <mergeCell ref="I2:J2"/>
  </mergeCells>
  <printOptions horizontalCentered="1" headings="1" gridLines="1"/>
  <pageMargins left="0.5" right="0.5" top="1" bottom="1" header="0.5" footer="0.5"/>
  <pageSetup orientation="landscape" blackAndWhite="1" horizontalDpi="4294967292" verticalDpi="4294967292" r:id="rId1"/>
  <headerFooter alignWithMargins="0">
    <oddFooter>Page &amp;P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AZ120"/>
  <sheetViews>
    <sheetView zoomScale="75" zoomScaleNormal="130" zoomScaleSheetLayoutView="100" workbookViewId="0">
      <pane xSplit="3" ySplit="1" topLeftCell="D83" activePane="bottomRight" state="frozen"/>
      <selection activeCell="F25" sqref="F25"/>
      <selection pane="topRight" activeCell="F25" sqref="F25"/>
      <selection pane="bottomLeft" activeCell="F25" sqref="F25"/>
      <selection pane="bottomRight" activeCell="H1" sqref="H1:AZ65536"/>
    </sheetView>
  </sheetViews>
  <sheetFormatPr defaultColWidth="8.42578125" defaultRowHeight="12.75"/>
  <cols>
    <col min="1" max="1" width="10.140625" style="3" customWidth="1"/>
    <col min="2" max="2" width="18.7109375" style="3" customWidth="1"/>
    <col min="3" max="3" width="23.7109375" style="3" customWidth="1"/>
    <col min="4" max="4" width="8.42578125" style="3" customWidth="1"/>
    <col min="5" max="5" width="10.42578125" style="3" customWidth="1"/>
    <col min="6" max="7" width="9.28515625" style="3" customWidth="1"/>
    <col min="8" max="52" width="8.42578125" style="3" hidden="1" customWidth="1"/>
    <col min="53" max="16384" width="8.42578125" style="3"/>
  </cols>
  <sheetData>
    <row r="1" spans="1:17" s="2" customFormat="1">
      <c r="A1" s="1" t="s">
        <v>1787</v>
      </c>
      <c r="B1" s="11" t="s">
        <v>1788</v>
      </c>
      <c r="C1" s="1" t="s">
        <v>1789</v>
      </c>
      <c r="D1" s="17">
        <f>'MACRO DATA'!D7</f>
        <v>2000</v>
      </c>
      <c r="E1" s="17">
        <f t="shared" ref="E1:J1" si="0">D1+1</f>
        <v>2001</v>
      </c>
      <c r="F1" s="17">
        <f t="shared" si="0"/>
        <v>2002</v>
      </c>
      <c r="G1" s="17">
        <f t="shared" si="0"/>
        <v>2003</v>
      </c>
      <c r="H1" s="17">
        <f t="shared" si="0"/>
        <v>2004</v>
      </c>
      <c r="I1" s="17">
        <f t="shared" si="0"/>
        <v>2005</v>
      </c>
      <c r="J1" s="17">
        <f t="shared" si="0"/>
        <v>2006</v>
      </c>
      <c r="K1" s="17">
        <f t="shared" ref="K1:Q1" si="1">J1+1</f>
        <v>2007</v>
      </c>
      <c r="L1" s="17">
        <f t="shared" si="1"/>
        <v>2008</v>
      </c>
      <c r="M1" s="17">
        <f t="shared" si="1"/>
        <v>2009</v>
      </c>
      <c r="N1" s="17">
        <f t="shared" si="1"/>
        <v>2010</v>
      </c>
      <c r="O1" s="17">
        <f t="shared" si="1"/>
        <v>2011</v>
      </c>
      <c r="P1" s="17">
        <f t="shared" si="1"/>
        <v>2012</v>
      </c>
      <c r="Q1" s="17">
        <f t="shared" si="1"/>
        <v>2013</v>
      </c>
    </row>
    <row r="2" spans="1:17" s="2" customFormat="1">
      <c r="A2" s="4" t="s">
        <v>1790</v>
      </c>
      <c r="B2" s="12" t="s">
        <v>1791</v>
      </c>
      <c r="C2" s="4" t="s">
        <v>1792</v>
      </c>
      <c r="D2" s="99">
        <f t="shared" ref="D2:J2" si="2">D3+D4</f>
        <v>2527.9991668682223</v>
      </c>
      <c r="E2" s="99">
        <f t="shared" si="2"/>
        <v>3446.6615340481053</v>
      </c>
      <c r="F2" s="99">
        <f t="shared" si="2"/>
        <v>3667.8788372265876</v>
      </c>
      <c r="G2" s="99">
        <f t="shared" si="2"/>
        <v>4285.0266798181538</v>
      </c>
      <c r="H2" s="99" t="e">
        <f t="shared" si="2"/>
        <v>#VALUE!</v>
      </c>
      <c r="I2" s="99" t="e">
        <f t="shared" si="2"/>
        <v>#VALUE!</v>
      </c>
      <c r="J2" s="99" t="e">
        <f t="shared" si="2"/>
        <v>#VALUE!</v>
      </c>
      <c r="K2" s="99" t="e">
        <f t="shared" ref="K2:Q2" si="3">K3+K4</f>
        <v>#VALUE!</v>
      </c>
      <c r="L2" s="99" t="e">
        <f t="shared" si="3"/>
        <v>#VALUE!</v>
      </c>
      <c r="M2" s="99" t="e">
        <f t="shared" si="3"/>
        <v>#VALUE!</v>
      </c>
      <c r="N2" s="99" t="e">
        <f t="shared" si="3"/>
        <v>#VALUE!</v>
      </c>
      <c r="O2" s="99" t="e">
        <f t="shared" si="3"/>
        <v>#VALUE!</v>
      </c>
      <c r="P2" s="99" t="e">
        <f t="shared" si="3"/>
        <v>#VALUE!</v>
      </c>
      <c r="Q2" s="99" t="e">
        <f t="shared" si="3"/>
        <v>#VALUE!</v>
      </c>
    </row>
    <row r="3" spans="1:17">
      <c r="A3" s="4" t="s">
        <v>1790</v>
      </c>
      <c r="B3" s="12" t="s">
        <v>1791</v>
      </c>
      <c r="C3" s="4" t="s">
        <v>1793</v>
      </c>
      <c r="D3" s="3">
        <f>SCENARIO!D28</f>
        <v>575</v>
      </c>
      <c r="E3" s="3">
        <f>SCENARIO!E28</f>
        <v>1228</v>
      </c>
      <c r="F3" s="3">
        <f>SCENARIO!F28</f>
        <v>931</v>
      </c>
      <c r="G3" s="3">
        <f>SCENARIO!G28</f>
        <v>1027</v>
      </c>
      <c r="H3" s="3">
        <f>SCENARIO!H28</f>
        <v>0</v>
      </c>
      <c r="I3" s="3">
        <f>SCENARIO!I28</f>
        <v>0</v>
      </c>
      <c r="J3" s="3">
        <f>SCENARIO!J28</f>
        <v>0</v>
      </c>
      <c r="K3" s="3">
        <f>SCENARIO!K28</f>
        <v>0</v>
      </c>
      <c r="L3" s="3">
        <f>SCENARIO!L28</f>
        <v>0</v>
      </c>
      <c r="M3" s="3">
        <f>SCENARIO!M28</f>
        <v>0</v>
      </c>
      <c r="N3" s="3">
        <f>SCENARIO!N28</f>
        <v>0</v>
      </c>
      <c r="O3" s="3">
        <f>SCENARIO!O28</f>
        <v>0</v>
      </c>
      <c r="P3" s="3">
        <f>SCENARIO!P28</f>
        <v>0</v>
      </c>
      <c r="Q3" s="3">
        <f>SCENARIO!Q28</f>
        <v>0</v>
      </c>
    </row>
    <row r="4" spans="1:17">
      <c r="A4" s="4" t="s">
        <v>1790</v>
      </c>
      <c r="B4" s="12" t="s">
        <v>1791</v>
      </c>
      <c r="C4" s="2" t="s">
        <v>1794</v>
      </c>
      <c r="D4" s="3">
        <f t="shared" ref="D4:I4" si="4">D6+D7</f>
        <v>1952.9991668682223</v>
      </c>
      <c r="E4" s="3">
        <f>E6+E7</f>
        <v>2218.6615340481053</v>
      </c>
      <c r="F4" s="3">
        <f t="shared" si="4"/>
        <v>2736.8788372265876</v>
      </c>
      <c r="G4" s="3">
        <f t="shared" si="4"/>
        <v>3258.0266798181538</v>
      </c>
      <c r="H4" s="3" t="e">
        <f t="shared" si="4"/>
        <v>#VALUE!</v>
      </c>
      <c r="I4" s="3" t="e">
        <f t="shared" si="4"/>
        <v>#VALUE!</v>
      </c>
      <c r="J4" s="3" t="e">
        <f>J6+J7</f>
        <v>#VALUE!</v>
      </c>
      <c r="K4" s="3" t="e">
        <f t="shared" ref="K4:Q4" si="5">K6+K7</f>
        <v>#VALUE!</v>
      </c>
      <c r="L4" s="3" t="e">
        <f t="shared" si="5"/>
        <v>#VALUE!</v>
      </c>
      <c r="M4" s="3" t="e">
        <f t="shared" si="5"/>
        <v>#VALUE!</v>
      </c>
      <c r="N4" s="3" t="e">
        <f t="shared" si="5"/>
        <v>#VALUE!</v>
      </c>
      <c r="O4" s="3" t="e">
        <f t="shared" si="5"/>
        <v>#VALUE!</v>
      </c>
      <c r="P4" s="3" t="e">
        <f t="shared" si="5"/>
        <v>#VALUE!</v>
      </c>
      <c r="Q4" s="3" t="e">
        <f t="shared" si="5"/>
        <v>#VALUE!</v>
      </c>
    </row>
    <row r="5" spans="1:17">
      <c r="A5" s="4" t="s">
        <v>1790</v>
      </c>
      <c r="B5" s="12" t="s">
        <v>1791</v>
      </c>
      <c r="C5" s="4" t="s">
        <v>1795</v>
      </c>
      <c r="D5" s="46">
        <f t="shared" ref="D5:J5" si="6">D4/D$56*100</f>
        <v>21.568185177334549</v>
      </c>
      <c r="E5" s="46">
        <f t="shared" si="6"/>
        <v>18.999044606322769</v>
      </c>
      <c r="F5" s="46">
        <f t="shared" si="6"/>
        <v>19.174012346072882</v>
      </c>
      <c r="G5" s="46">
        <f t="shared" si="6"/>
        <v>19.3365621490743</v>
      </c>
      <c r="H5" s="46" t="e">
        <f t="shared" si="6"/>
        <v>#VALUE!</v>
      </c>
      <c r="I5" s="46" t="e">
        <f t="shared" si="6"/>
        <v>#VALUE!</v>
      </c>
      <c r="J5" s="46" t="e">
        <f t="shared" si="6"/>
        <v>#VALUE!</v>
      </c>
      <c r="K5" s="46" t="e">
        <f t="shared" ref="K5:Q5" si="7">K4/K$56*100</f>
        <v>#VALUE!</v>
      </c>
      <c r="L5" s="46" t="e">
        <f t="shared" si="7"/>
        <v>#VALUE!</v>
      </c>
      <c r="M5" s="46" t="e">
        <f t="shared" si="7"/>
        <v>#VALUE!</v>
      </c>
      <c r="N5" s="46" t="e">
        <f t="shared" si="7"/>
        <v>#VALUE!</v>
      </c>
      <c r="O5" s="46" t="e">
        <f t="shared" si="7"/>
        <v>#VALUE!</v>
      </c>
      <c r="P5" s="46" t="e">
        <f t="shared" si="7"/>
        <v>#VALUE!</v>
      </c>
      <c r="Q5" s="46" t="e">
        <f t="shared" si="7"/>
        <v>#VALUE!</v>
      </c>
    </row>
    <row r="6" spans="1:17">
      <c r="A6" s="4" t="s">
        <v>1790</v>
      </c>
      <c r="B6" s="12" t="s">
        <v>1791</v>
      </c>
      <c r="C6" s="4" t="s">
        <v>1796</v>
      </c>
      <c r="D6" s="3">
        <f>SCENARIO!D25*'1-2-3'!I13*'1-2-3'!I14*scale</f>
        <v>22</v>
      </c>
      <c r="E6" s="3">
        <f>SCENARIO!E25*'1-2-3'!J13*'1-2-3'!J14*scale</f>
        <v>37.000000000000007</v>
      </c>
      <c r="F6" s="3">
        <f>SCENARIO!F25*'1-2-3'!K13*'1-2-3'!K14*scale</f>
        <v>64.000000000000028</v>
      </c>
      <c r="G6" s="3">
        <f>SCENARIO!G25*'1-2-3'!L13*'1-2-3'!L14*scale</f>
        <v>77.000000000000014</v>
      </c>
      <c r="H6" s="3" t="e">
        <f>SCENARIO!H25*'1-2-3'!M13*'1-2-3'!M14*scale</f>
        <v>#VALUE!</v>
      </c>
      <c r="I6" s="3" t="e">
        <f>SCENARIO!I25*'1-2-3'!N13*'1-2-3'!N14*scale</f>
        <v>#VALUE!</v>
      </c>
      <c r="J6" s="3" t="e">
        <f>SCENARIO!J25*'1-2-3'!O13*'1-2-3'!O14*scale</f>
        <v>#VALUE!</v>
      </c>
      <c r="K6" s="3" t="e">
        <f>SCENARIO!K25*'1-2-3'!P13*'1-2-3'!P14*scale</f>
        <v>#VALUE!</v>
      </c>
      <c r="L6" s="3" t="e">
        <f>SCENARIO!L25*'1-2-3'!Q13*'1-2-3'!Q14*scale</f>
        <v>#VALUE!</v>
      </c>
      <c r="M6" s="3" t="e">
        <f>SCENARIO!M25*'1-2-3'!R13*'1-2-3'!R14*scale</f>
        <v>#VALUE!</v>
      </c>
      <c r="N6" s="3" t="e">
        <f>SCENARIO!N25*'1-2-3'!S13*'1-2-3'!S14*scale</f>
        <v>#VALUE!</v>
      </c>
      <c r="O6" s="3" t="e">
        <f>SCENARIO!O25*'1-2-3'!T13*'1-2-3'!T14*scale</f>
        <v>#VALUE!</v>
      </c>
      <c r="P6" s="3" t="e">
        <f>SCENARIO!P25*'1-2-3'!U13*'1-2-3'!U14*scale</f>
        <v>#VALUE!</v>
      </c>
      <c r="Q6" s="3" t="e">
        <f>SCENARIO!Q25*'1-2-3'!V13*'1-2-3'!V14*scale</f>
        <v>#VALUE!</v>
      </c>
    </row>
    <row r="7" spans="1:17">
      <c r="A7" s="4" t="s">
        <v>1790</v>
      </c>
      <c r="B7" s="12" t="s">
        <v>1791</v>
      </c>
      <c r="C7" s="4" t="s">
        <v>1797</v>
      </c>
      <c r="D7" s="3">
        <f t="shared" ref="D7:I7" si="8">D9+D10+D11+D12</f>
        <v>1930.9991668682223</v>
      </c>
      <c r="E7" s="3">
        <f>E9+E10+E11+E12</f>
        <v>2181.6615340481053</v>
      </c>
      <c r="F7" s="3">
        <f t="shared" si="8"/>
        <v>2672.8788372265876</v>
      </c>
      <c r="G7" s="3">
        <f t="shared" si="8"/>
        <v>3181.0266798181538</v>
      </c>
      <c r="H7" s="3" t="e">
        <f t="shared" si="8"/>
        <v>#VALUE!</v>
      </c>
      <c r="I7" s="3" t="e">
        <f t="shared" si="8"/>
        <v>#VALUE!</v>
      </c>
      <c r="J7" s="3" t="e">
        <f>J9+J10+J11+J12</f>
        <v>#VALUE!</v>
      </c>
      <c r="K7" s="3" t="e">
        <f t="shared" ref="K7:Q7" si="9">K9+K10+K11+K12</f>
        <v>#VALUE!</v>
      </c>
      <c r="L7" s="3" t="e">
        <f t="shared" si="9"/>
        <v>#VALUE!</v>
      </c>
      <c r="M7" s="3" t="e">
        <f t="shared" si="9"/>
        <v>#VALUE!</v>
      </c>
      <c r="N7" s="3" t="e">
        <f t="shared" si="9"/>
        <v>#VALUE!</v>
      </c>
      <c r="O7" s="3" t="e">
        <f t="shared" si="9"/>
        <v>#VALUE!</v>
      </c>
      <c r="P7" s="3" t="e">
        <f t="shared" si="9"/>
        <v>#VALUE!</v>
      </c>
      <c r="Q7" s="3" t="e">
        <f t="shared" si="9"/>
        <v>#VALUE!</v>
      </c>
    </row>
    <row r="8" spans="1:17" customFormat="1">
      <c r="A8" s="4" t="s">
        <v>1790</v>
      </c>
      <c r="B8" s="12" t="s">
        <v>1791</v>
      </c>
      <c r="C8" s="4" t="s">
        <v>1798</v>
      </c>
      <c r="D8" s="46">
        <f t="shared" ref="D8:J8" si="10">D7/D56*100</f>
        <v>21.325225486439106</v>
      </c>
      <c r="E8" s="46">
        <f t="shared" si="10"/>
        <v>18.682202834990782</v>
      </c>
      <c r="F8" s="46">
        <f t="shared" si="10"/>
        <v>18.725641459697737</v>
      </c>
      <c r="G8" s="46">
        <f t="shared" si="10"/>
        <v>18.879563041393016</v>
      </c>
      <c r="H8" s="46" t="e">
        <f t="shared" si="10"/>
        <v>#VALUE!</v>
      </c>
      <c r="I8" s="46" t="e">
        <f t="shared" si="10"/>
        <v>#VALUE!</v>
      </c>
      <c r="J8" s="46" t="e">
        <f t="shared" si="10"/>
        <v>#VALUE!</v>
      </c>
      <c r="K8" s="46" t="e">
        <f t="shared" ref="K8:Q8" si="11">K7/K56*100</f>
        <v>#VALUE!</v>
      </c>
      <c r="L8" s="46" t="e">
        <f t="shared" si="11"/>
        <v>#VALUE!</v>
      </c>
      <c r="M8" s="46" t="e">
        <f t="shared" si="11"/>
        <v>#VALUE!</v>
      </c>
      <c r="N8" s="46" t="e">
        <f t="shared" si="11"/>
        <v>#VALUE!</v>
      </c>
      <c r="O8" s="46" t="e">
        <f t="shared" si="11"/>
        <v>#VALUE!</v>
      </c>
      <c r="P8" s="46" t="e">
        <f t="shared" si="11"/>
        <v>#VALUE!</v>
      </c>
      <c r="Q8" s="46" t="e">
        <f t="shared" si="11"/>
        <v>#VALUE!</v>
      </c>
    </row>
    <row r="9" spans="1:17">
      <c r="A9" s="4" t="s">
        <v>1790</v>
      </c>
      <c r="B9" s="12" t="s">
        <v>1791</v>
      </c>
      <c r="C9" s="4" t="s">
        <v>1799</v>
      </c>
      <c r="D9" s="3">
        <f>'1-2-3'!I74*'1-2-3'!I54*'1-2-3'!I61*scale</f>
        <v>507.99999366531466</v>
      </c>
      <c r="E9" s="3">
        <f>'1-2-3'!J74*'1-2-3'!J54*'1-2-3'!J61*scale</f>
        <v>821.68979697443012</v>
      </c>
      <c r="F9" s="3">
        <f>'1-2-3'!K74*'1-2-3'!K54*'1-2-3'!K61*scale</f>
        <v>1058.1449261074797</v>
      </c>
      <c r="G9" s="3">
        <f>'1-2-3'!L74*'1-2-3'!L54*'1-2-3'!L61*scale</f>
        <v>1286.6822009838852</v>
      </c>
      <c r="H9" s="3">
        <f>'1-2-3'!M74*'1-2-3'!M54*'1-2-3'!M61*scale</f>
        <v>0</v>
      </c>
      <c r="I9" s="3">
        <f>'1-2-3'!N74*'1-2-3'!N54*'1-2-3'!N61*scale</f>
        <v>0</v>
      </c>
      <c r="J9" s="3">
        <f>'1-2-3'!O74*'1-2-3'!O54*'1-2-3'!O61*scale</f>
        <v>0</v>
      </c>
      <c r="K9" s="3">
        <f>'1-2-3'!P74*'1-2-3'!P54*'1-2-3'!P61*scale</f>
        <v>0</v>
      </c>
      <c r="L9" s="3">
        <f>'1-2-3'!Q74*'1-2-3'!Q54*'1-2-3'!Q61*scale</f>
        <v>0</v>
      </c>
      <c r="M9" s="3">
        <f>'1-2-3'!R74*'1-2-3'!R54*'1-2-3'!R61*scale</f>
        <v>0</v>
      </c>
      <c r="N9" s="3">
        <f>'1-2-3'!S74*'1-2-3'!S54*'1-2-3'!S61*scale</f>
        <v>0</v>
      </c>
      <c r="O9" s="3">
        <f>'1-2-3'!T74*'1-2-3'!T54*'1-2-3'!T61*scale</f>
        <v>0</v>
      </c>
      <c r="P9" s="3">
        <f>'1-2-3'!U74*'1-2-3'!U54*'1-2-3'!U61*scale</f>
        <v>0</v>
      </c>
      <c r="Q9" s="3">
        <f>'1-2-3'!V74*'1-2-3'!V54*'1-2-3'!V61*scale</f>
        <v>0</v>
      </c>
    </row>
    <row r="10" spans="1:17">
      <c r="A10" s="4" t="s">
        <v>1790</v>
      </c>
      <c r="B10" s="12" t="s">
        <v>1791</v>
      </c>
      <c r="C10" s="4" t="s">
        <v>1800</v>
      </c>
      <c r="D10" s="3">
        <f>'1-2-3'!I72*'1-2-3'!I35*'1-2-3'!I50*'1-2-3'!I34*scale</f>
        <v>597.00000463164247</v>
      </c>
      <c r="E10" s="3">
        <f>'1-2-3'!J72*'1-2-3'!J35*'1-2-3'!J50*'1-2-3'!J34*scale</f>
        <v>574.62033064240541</v>
      </c>
      <c r="F10" s="3">
        <f>'1-2-3'!K72*'1-2-3'!K35*'1-2-3'!K50*'1-2-3'!K34*scale</f>
        <v>690.0064459377744</v>
      </c>
      <c r="G10" s="3">
        <f>'1-2-3'!L72*'1-2-3'!L35*'1-2-3'!L50*'1-2-3'!L34*scale</f>
        <v>776.78225790409329</v>
      </c>
      <c r="H10" s="3" t="e">
        <f>'1-2-3'!M72*'1-2-3'!M35*'1-2-3'!M50*'1-2-3'!M34*scale</f>
        <v>#VALUE!</v>
      </c>
      <c r="I10" s="3" t="e">
        <f>'1-2-3'!N72*'1-2-3'!N35*'1-2-3'!N50*'1-2-3'!N34*scale</f>
        <v>#VALUE!</v>
      </c>
      <c r="J10" s="3" t="e">
        <f>'1-2-3'!O72*'1-2-3'!O35*'1-2-3'!O50*'1-2-3'!O34*scale</f>
        <v>#VALUE!</v>
      </c>
      <c r="K10" s="3" t="e">
        <f>'1-2-3'!P72*'1-2-3'!P35*'1-2-3'!P50*'1-2-3'!P34*scale</f>
        <v>#VALUE!</v>
      </c>
      <c r="L10" s="3" t="e">
        <f>'1-2-3'!Q72*'1-2-3'!Q35*'1-2-3'!Q50*'1-2-3'!Q34*scale</f>
        <v>#VALUE!</v>
      </c>
      <c r="M10" s="3" t="e">
        <f>'1-2-3'!R72*'1-2-3'!R35*'1-2-3'!R50*'1-2-3'!R34*scale</f>
        <v>#VALUE!</v>
      </c>
      <c r="N10" s="3" t="e">
        <f>'1-2-3'!S72*'1-2-3'!S35*'1-2-3'!S50*'1-2-3'!S34*scale</f>
        <v>#VALUE!</v>
      </c>
      <c r="O10" s="3" t="e">
        <f>'1-2-3'!T72*'1-2-3'!T35*'1-2-3'!T50*'1-2-3'!T34*scale</f>
        <v>#VALUE!</v>
      </c>
      <c r="P10" s="3" t="e">
        <f>'1-2-3'!U72*'1-2-3'!U35*'1-2-3'!U50*'1-2-3'!U34*scale</f>
        <v>#VALUE!</v>
      </c>
      <c r="Q10" s="3" t="e">
        <f>'1-2-3'!V72*'1-2-3'!V35*'1-2-3'!V50*'1-2-3'!V34*scale</f>
        <v>#VALUE!</v>
      </c>
    </row>
    <row r="11" spans="1:17">
      <c r="A11" s="4" t="s">
        <v>1790</v>
      </c>
      <c r="B11" s="12" t="s">
        <v>1791</v>
      </c>
      <c r="C11" s="2" t="s">
        <v>1801</v>
      </c>
      <c r="D11" s="3">
        <f>'1-2-3'!I73*'1-2-3'!I59*'1-2-3'!I49*scale</f>
        <v>0</v>
      </c>
      <c r="E11" s="3">
        <f>'1-2-3'!J73*'1-2-3'!J59*'1-2-3'!J49*scale</f>
        <v>0</v>
      </c>
      <c r="F11" s="3">
        <f>'1-2-3'!K73*'1-2-3'!K59*'1-2-3'!K49*scale</f>
        <v>0</v>
      </c>
      <c r="G11" s="3">
        <f>'1-2-3'!L73*'1-2-3'!L59*'1-2-3'!L49*scale</f>
        <v>0</v>
      </c>
      <c r="H11" s="3">
        <f>'1-2-3'!M73*'1-2-3'!M59*'1-2-3'!M49*scale</f>
        <v>0</v>
      </c>
      <c r="I11" s="3">
        <f>'1-2-3'!N73*'1-2-3'!N59*'1-2-3'!N49*scale</f>
        <v>0</v>
      </c>
      <c r="J11" s="3">
        <f>'1-2-3'!O73*'1-2-3'!O59*'1-2-3'!O49*scale</f>
        <v>0</v>
      </c>
      <c r="K11" s="3">
        <f>'1-2-3'!P73*'1-2-3'!P59*'1-2-3'!P49*scale</f>
        <v>0</v>
      </c>
      <c r="L11" s="3">
        <f>'1-2-3'!Q73*'1-2-3'!Q59*'1-2-3'!Q49*scale</f>
        <v>0</v>
      </c>
      <c r="M11" s="3">
        <f>'1-2-3'!R73*'1-2-3'!R59*'1-2-3'!R49*scale</f>
        <v>0</v>
      </c>
      <c r="N11" s="3">
        <f>'1-2-3'!S73*'1-2-3'!S59*'1-2-3'!S49*scale</f>
        <v>0</v>
      </c>
      <c r="O11" s="3">
        <f>'1-2-3'!T73*'1-2-3'!T59*'1-2-3'!T49*scale</f>
        <v>0</v>
      </c>
      <c r="P11" s="3">
        <f>'1-2-3'!U73*'1-2-3'!U59*'1-2-3'!U49*scale</f>
        <v>0</v>
      </c>
      <c r="Q11" s="3">
        <f>'1-2-3'!V73*'1-2-3'!V59*'1-2-3'!V49*scale</f>
        <v>0</v>
      </c>
    </row>
    <row r="12" spans="1:17">
      <c r="A12" s="4" t="s">
        <v>1790</v>
      </c>
      <c r="B12" s="12" t="s">
        <v>1791</v>
      </c>
      <c r="C12" s="4" t="s">
        <v>1802</v>
      </c>
      <c r="D12" s="2">
        <f>'1-2-3'!I75*'1-2-3'!I55*scale</f>
        <v>825.99916857126516</v>
      </c>
      <c r="E12" s="2">
        <f>'1-2-3'!J75*'1-2-3'!J55*scale</f>
        <v>785.35140643126988</v>
      </c>
      <c r="F12" s="2">
        <f>'1-2-3'!K75*'1-2-3'!K55*scale</f>
        <v>924.72746518133374</v>
      </c>
      <c r="G12" s="2">
        <f>'1-2-3'!L75*'1-2-3'!L55*scale</f>
        <v>1117.5622209301755</v>
      </c>
      <c r="H12" s="2">
        <f>'1-2-3'!M75*'1-2-3'!M55*scale</f>
        <v>0</v>
      </c>
      <c r="I12" s="2">
        <f>'1-2-3'!N75*'1-2-3'!N55*scale</f>
        <v>0</v>
      </c>
      <c r="J12" s="2">
        <f>'1-2-3'!O75*'1-2-3'!O55*scale</f>
        <v>0</v>
      </c>
      <c r="K12" s="2">
        <f>'1-2-3'!P75*'1-2-3'!P55*scale</f>
        <v>0</v>
      </c>
      <c r="L12" s="2">
        <f>'1-2-3'!Q75*'1-2-3'!Q55*scale</f>
        <v>0</v>
      </c>
      <c r="M12" s="2">
        <f>'1-2-3'!R75*'1-2-3'!R55*scale</f>
        <v>0</v>
      </c>
      <c r="N12" s="2">
        <f>'1-2-3'!S75*'1-2-3'!S55*scale</f>
        <v>0</v>
      </c>
      <c r="O12" s="2">
        <f>'1-2-3'!T75*'1-2-3'!T55*scale</f>
        <v>0</v>
      </c>
      <c r="P12" s="2">
        <f>'1-2-3'!U75*'1-2-3'!U55*scale</f>
        <v>0</v>
      </c>
      <c r="Q12" s="2">
        <f>'1-2-3'!V75*'1-2-3'!V55*scale</f>
        <v>0</v>
      </c>
    </row>
    <row r="13" spans="1:17">
      <c r="A13" s="4" t="s">
        <v>1790</v>
      </c>
      <c r="B13" s="12" t="s">
        <v>1803</v>
      </c>
      <c r="C13" s="4" t="s">
        <v>1804</v>
      </c>
      <c r="D13" s="3">
        <f t="shared" ref="D13:I13" si="12">D14+D17+D21</f>
        <v>1526.9919527640925</v>
      </c>
      <c r="E13" s="3">
        <f>E14+E17+E21</f>
        <v>2223.7655981751032</v>
      </c>
      <c r="F13" s="3">
        <f t="shared" si="12"/>
        <v>2694.0877171227539</v>
      </c>
      <c r="G13" s="3">
        <f t="shared" si="12"/>
        <v>3112.6707410632425</v>
      </c>
      <c r="H13" s="3" t="e">
        <f t="shared" si="12"/>
        <v>#VALUE!</v>
      </c>
      <c r="I13" s="3" t="e">
        <f t="shared" si="12"/>
        <v>#VALUE!</v>
      </c>
      <c r="J13" s="3" t="e">
        <f>J14+J17+J21</f>
        <v>#VALUE!</v>
      </c>
      <c r="K13" s="3" t="e">
        <f t="shared" ref="K13:Q13" si="13">K14+K17+K21</f>
        <v>#VALUE!</v>
      </c>
      <c r="L13" s="3" t="e">
        <f t="shared" si="13"/>
        <v>#VALUE!</v>
      </c>
      <c r="M13" s="3" t="e">
        <f t="shared" si="13"/>
        <v>#VALUE!</v>
      </c>
      <c r="N13" s="3" t="e">
        <f t="shared" si="13"/>
        <v>#VALUE!</v>
      </c>
      <c r="O13" s="3" t="e">
        <f t="shared" si="13"/>
        <v>#VALUE!</v>
      </c>
      <c r="P13" s="3" t="e">
        <f t="shared" si="13"/>
        <v>#VALUE!</v>
      </c>
      <c r="Q13" s="3" t="e">
        <f t="shared" si="13"/>
        <v>#VALUE!</v>
      </c>
    </row>
    <row r="14" spans="1:17">
      <c r="A14" s="4" t="s">
        <v>1790</v>
      </c>
      <c r="B14" s="12" t="s">
        <v>1803</v>
      </c>
      <c r="C14" s="4" t="s">
        <v>1805</v>
      </c>
      <c r="D14" s="3">
        <f>'1-2-3'!I76*'1-2-3'!I60*scale</f>
        <v>912.99998809297188</v>
      </c>
      <c r="E14" s="3">
        <f>'1-2-3'!J76*'1-2-3'!J60*scale</f>
        <v>1327.7656107553712</v>
      </c>
      <c r="F14" s="3">
        <f>'1-2-3'!K76*'1-2-3'!K60*scale</f>
        <v>1688.0749793165983</v>
      </c>
      <c r="G14" s="3">
        <f>'1-2-3'!L76*'1-2-3'!L60*scale</f>
        <v>1993.6707434045018</v>
      </c>
      <c r="H14" s="3">
        <f>'1-2-3'!M76*'1-2-3'!M60*scale</f>
        <v>0</v>
      </c>
      <c r="I14" s="3">
        <f>'1-2-3'!N76*'1-2-3'!N60*scale</f>
        <v>0</v>
      </c>
      <c r="J14" s="3">
        <f>'1-2-3'!O76*'1-2-3'!O60*scale</f>
        <v>0</v>
      </c>
      <c r="K14" s="3">
        <f>'1-2-3'!P76*'1-2-3'!P60*scale</f>
        <v>0</v>
      </c>
      <c r="L14" s="3">
        <f>'1-2-3'!Q76*'1-2-3'!Q60*scale</f>
        <v>0</v>
      </c>
      <c r="M14" s="3">
        <f>'1-2-3'!R76*'1-2-3'!R60*scale</f>
        <v>0</v>
      </c>
      <c r="N14" s="3">
        <f>'1-2-3'!S76*'1-2-3'!S60*scale</f>
        <v>0</v>
      </c>
      <c r="O14" s="3">
        <f>'1-2-3'!T76*'1-2-3'!T60*scale</f>
        <v>0</v>
      </c>
      <c r="P14" s="3">
        <f>'1-2-3'!U76*'1-2-3'!U60*scale</f>
        <v>0</v>
      </c>
      <c r="Q14" s="3">
        <f>'1-2-3'!V76*'1-2-3'!V60*scale</f>
        <v>0</v>
      </c>
    </row>
    <row r="15" spans="1:17" customFormat="1">
      <c r="A15" s="4" t="s">
        <v>1790</v>
      </c>
      <c r="B15" s="12" t="s">
        <v>1803</v>
      </c>
      <c r="C15" s="4" t="s">
        <v>1806</v>
      </c>
      <c r="D15" s="3">
        <f>SCENARIO!D38*'1-2-3'!I13*'1-2-3'!I14*scale</f>
        <v>538</v>
      </c>
      <c r="E15" s="3">
        <f>SCENARIO!E38*'1-2-3'!J13*'1-2-3'!J14*scale</f>
        <v>741</v>
      </c>
      <c r="F15" s="3">
        <f>SCENARIO!F38*'1-2-3'!K13*'1-2-3'!K14*scale</f>
        <v>1064.4934867993438</v>
      </c>
      <c r="G15" s="3">
        <f>SCENARIO!G38*'1-2-3'!L13*'1-2-3'!L14*scale</f>
        <v>1100.8101420046239</v>
      </c>
      <c r="H15" s="3" t="e">
        <f>SCENARIO!H38*'1-2-3'!M13*'1-2-3'!M14*scale</f>
        <v>#VALUE!</v>
      </c>
      <c r="I15" s="3" t="e">
        <f>SCENARIO!I38*'1-2-3'!N13*'1-2-3'!N14*scale</f>
        <v>#VALUE!</v>
      </c>
      <c r="J15" s="3" t="e">
        <f>SCENARIO!J38*'1-2-3'!O13*'1-2-3'!O14*scale</f>
        <v>#VALUE!</v>
      </c>
      <c r="K15" s="3" t="e">
        <f>SCENARIO!K38*'1-2-3'!P13*'1-2-3'!P14*scale</f>
        <v>#VALUE!</v>
      </c>
      <c r="L15" s="3" t="e">
        <f>SCENARIO!L38*'1-2-3'!Q13*'1-2-3'!Q14*scale</f>
        <v>#VALUE!</v>
      </c>
      <c r="M15" s="3" t="e">
        <f>SCENARIO!M38*'1-2-3'!R13*'1-2-3'!R14*scale</f>
        <v>#VALUE!</v>
      </c>
      <c r="N15" s="3" t="e">
        <f>SCENARIO!N38*'1-2-3'!S13*'1-2-3'!S14*scale</f>
        <v>#VALUE!</v>
      </c>
      <c r="O15" s="3" t="e">
        <f>SCENARIO!O38*'1-2-3'!T13*'1-2-3'!T14*scale</f>
        <v>#VALUE!</v>
      </c>
      <c r="P15" s="3" t="e">
        <f>SCENARIO!P38*'1-2-3'!U13*'1-2-3'!U14*scale</f>
        <v>#VALUE!</v>
      </c>
      <c r="Q15" s="3" t="e">
        <f>SCENARIO!Q38*'1-2-3'!V13*'1-2-3'!V14*scale</f>
        <v>#VALUE!</v>
      </c>
    </row>
    <row r="16" spans="1:17" customFormat="1">
      <c r="A16" s="4" t="s">
        <v>1790</v>
      </c>
      <c r="B16" s="12" t="s">
        <v>1803</v>
      </c>
      <c r="C16" s="4" t="s">
        <v>1807</v>
      </c>
      <c r="D16" s="3">
        <f t="shared" ref="D16:I16" si="14">D14-D15</f>
        <v>374.99998809297188</v>
      </c>
      <c r="E16" s="3">
        <f t="shared" si="14"/>
        <v>586.7656107553712</v>
      </c>
      <c r="F16" s="3">
        <f t="shared" si="14"/>
        <v>623.58149251725445</v>
      </c>
      <c r="G16" s="3">
        <f t="shared" si="14"/>
        <v>892.86060139987785</v>
      </c>
      <c r="H16" s="3" t="e">
        <f t="shared" si="14"/>
        <v>#VALUE!</v>
      </c>
      <c r="I16" s="3" t="e">
        <f t="shared" si="14"/>
        <v>#VALUE!</v>
      </c>
      <c r="J16" s="3" t="e">
        <f>J14-J15</f>
        <v>#VALUE!</v>
      </c>
      <c r="K16" s="3" t="e">
        <f t="shared" ref="K16:Q16" si="15">K14-K15</f>
        <v>#VALUE!</v>
      </c>
      <c r="L16" s="3" t="e">
        <f t="shared" si="15"/>
        <v>#VALUE!</v>
      </c>
      <c r="M16" s="3" t="e">
        <f t="shared" si="15"/>
        <v>#VALUE!</v>
      </c>
      <c r="N16" s="3" t="e">
        <f t="shared" si="15"/>
        <v>#VALUE!</v>
      </c>
      <c r="O16" s="3" t="e">
        <f t="shared" si="15"/>
        <v>#VALUE!</v>
      </c>
      <c r="P16" s="3" t="e">
        <f t="shared" si="15"/>
        <v>#VALUE!</v>
      </c>
      <c r="Q16" s="3" t="e">
        <f t="shared" si="15"/>
        <v>#VALUE!</v>
      </c>
    </row>
    <row r="17" spans="1:17">
      <c r="A17" s="4" t="s">
        <v>1790</v>
      </c>
      <c r="B17" s="12" t="s">
        <v>1803</v>
      </c>
      <c r="C17" s="12" t="s">
        <v>1808</v>
      </c>
      <c r="D17" s="3">
        <f t="shared" ref="D17:I17" si="16">D18+D19+D20</f>
        <v>306.99196467112068</v>
      </c>
      <c r="E17" s="3">
        <f>E18+E19+E20</f>
        <v>615.99998741973184</v>
      </c>
      <c r="F17" s="3">
        <f t="shared" si="16"/>
        <v>744.01273780615566</v>
      </c>
      <c r="G17" s="3">
        <f t="shared" si="16"/>
        <v>886.99999765874065</v>
      </c>
      <c r="H17" s="3" t="e">
        <f t="shared" si="16"/>
        <v>#VALUE!</v>
      </c>
      <c r="I17" s="3" t="e">
        <f t="shared" si="16"/>
        <v>#VALUE!</v>
      </c>
      <c r="J17" s="3" t="e">
        <f>J18+J19+J20</f>
        <v>#VALUE!</v>
      </c>
      <c r="K17" s="3" t="e">
        <f t="shared" ref="K17:Q17" si="17">K18+K19+K20</f>
        <v>#VALUE!</v>
      </c>
      <c r="L17" s="3" t="e">
        <f t="shared" si="17"/>
        <v>#VALUE!</v>
      </c>
      <c r="M17" s="3" t="e">
        <f t="shared" si="17"/>
        <v>#VALUE!</v>
      </c>
      <c r="N17" s="3" t="e">
        <f t="shared" si="17"/>
        <v>#VALUE!</v>
      </c>
      <c r="O17" s="3" t="e">
        <f t="shared" si="17"/>
        <v>#VALUE!</v>
      </c>
      <c r="P17" s="3" t="e">
        <f t="shared" si="17"/>
        <v>#VALUE!</v>
      </c>
      <c r="Q17" s="3" t="e">
        <f t="shared" si="17"/>
        <v>#VALUE!</v>
      </c>
    </row>
    <row r="18" spans="1:17">
      <c r="A18" s="4" t="s">
        <v>1790</v>
      </c>
      <c r="B18" s="12" t="s">
        <v>1803</v>
      </c>
      <c r="C18" s="4" t="s">
        <v>1809</v>
      </c>
      <c r="D18" s="3">
        <f>'1-2-3'!I78*'1-2-3'!I59*'1-2-3'!I49*scale</f>
        <v>2.5629513847822117E-6</v>
      </c>
      <c r="E18" s="3">
        <f>'1-2-3'!J78*'1-2-3'!J59*'1-2-3'!J49*scale</f>
        <v>0</v>
      </c>
      <c r="F18" s="3">
        <f>'1-2-3'!K78*'1-2-3'!K59*'1-2-3'!K49*scale</f>
        <v>-6.1825334333914931E-12</v>
      </c>
      <c r="G18" s="3">
        <f>'1-2-3'!L78*'1-2-3'!L59*'1-2-3'!L49*scale</f>
        <v>0</v>
      </c>
      <c r="H18" s="3">
        <f>'1-2-3'!M78*'1-2-3'!M59*'1-2-3'!M49*scale</f>
        <v>0</v>
      </c>
      <c r="I18" s="3">
        <f>'1-2-3'!N78*'1-2-3'!N59*'1-2-3'!N49*scale</f>
        <v>0</v>
      </c>
      <c r="J18" s="3">
        <f>'1-2-3'!O78*'1-2-3'!O59*'1-2-3'!O49*scale</f>
        <v>0</v>
      </c>
      <c r="K18" s="3">
        <f>'1-2-3'!P78*'1-2-3'!P59*'1-2-3'!P49*scale</f>
        <v>0</v>
      </c>
      <c r="L18" s="3">
        <f>'1-2-3'!Q78*'1-2-3'!Q59*'1-2-3'!Q49*scale</f>
        <v>0</v>
      </c>
      <c r="M18" s="3">
        <f>'1-2-3'!R78*'1-2-3'!R59*'1-2-3'!R49*scale</f>
        <v>0</v>
      </c>
      <c r="N18" s="3">
        <f>'1-2-3'!S78*'1-2-3'!S59*'1-2-3'!S49*scale</f>
        <v>0</v>
      </c>
      <c r="O18" s="3">
        <f>'1-2-3'!T78*'1-2-3'!T59*'1-2-3'!T49*scale</f>
        <v>0</v>
      </c>
      <c r="P18" s="3">
        <f>'1-2-3'!U78*'1-2-3'!U59*'1-2-3'!U49*scale</f>
        <v>0</v>
      </c>
      <c r="Q18" s="3">
        <f>'1-2-3'!V78*'1-2-3'!V59*'1-2-3'!V49*scale</f>
        <v>0</v>
      </c>
    </row>
    <row r="19" spans="1:17">
      <c r="A19" s="4" t="s">
        <v>1790</v>
      </c>
      <c r="B19" s="12" t="s">
        <v>1803</v>
      </c>
      <c r="C19" s="4" t="s">
        <v>1810</v>
      </c>
      <c r="D19" s="3">
        <f>'1-2-3'!I79*'1-2-3'!I54*'1-2-3'!I61*scale</f>
        <v>88.000000089593058</v>
      </c>
      <c r="E19" s="3">
        <f>'1-2-3'!J79*'1-2-3'!J54*'1-2-3'!J61*scale</f>
        <v>191.99999740080716</v>
      </c>
      <c r="F19" s="3">
        <f>'1-2-3'!K79*'1-2-3'!K54*'1-2-3'!K61*scale</f>
        <v>212.99999906019991</v>
      </c>
      <c r="G19" s="3">
        <f>'1-2-3'!L79*'1-2-3'!L54*'1-2-3'!L61*scale</f>
        <v>233.99999850722077</v>
      </c>
      <c r="H19" s="3">
        <f>'1-2-3'!M79*'1-2-3'!M54*'1-2-3'!M61*scale</f>
        <v>0</v>
      </c>
      <c r="I19" s="3">
        <f>'1-2-3'!N79*'1-2-3'!N54*'1-2-3'!N61*scale</f>
        <v>0</v>
      </c>
      <c r="J19" s="3">
        <f>'1-2-3'!O79*'1-2-3'!O54*'1-2-3'!O61*scale</f>
        <v>0</v>
      </c>
      <c r="K19" s="3">
        <f>'1-2-3'!P79*'1-2-3'!P54*'1-2-3'!P61*scale</f>
        <v>0</v>
      </c>
      <c r="L19" s="3">
        <f>'1-2-3'!Q79*'1-2-3'!Q54*'1-2-3'!Q61*scale</f>
        <v>0</v>
      </c>
      <c r="M19" s="3">
        <f>'1-2-3'!R79*'1-2-3'!R54*'1-2-3'!R61*scale</f>
        <v>0</v>
      </c>
      <c r="N19" s="3">
        <f>'1-2-3'!S79*'1-2-3'!S54*'1-2-3'!S61*scale</f>
        <v>0</v>
      </c>
      <c r="O19" s="3">
        <f>'1-2-3'!T79*'1-2-3'!T54*'1-2-3'!T61*scale</f>
        <v>0</v>
      </c>
      <c r="P19" s="3">
        <f>'1-2-3'!U79*'1-2-3'!U54*'1-2-3'!U61*scale</f>
        <v>0</v>
      </c>
      <c r="Q19" s="3">
        <f>'1-2-3'!V79*'1-2-3'!V54*'1-2-3'!V61*scale</f>
        <v>0</v>
      </c>
    </row>
    <row r="20" spans="1:17">
      <c r="A20" s="4" t="s">
        <v>1790</v>
      </c>
      <c r="B20" s="12" t="s">
        <v>1803</v>
      </c>
      <c r="C20" s="4" t="s">
        <v>1811</v>
      </c>
      <c r="D20" s="3">
        <f>'1-2-3'!I77*'1-2-3'!I61*scale-RESULTS!D23+RESULTS!D6+SCENARIO!D32</f>
        <v>218.99196201857626</v>
      </c>
      <c r="E20" s="3">
        <f>'1-2-3'!J77*'1-2-3'!J61*scale-RESULTS!E23+RESULTS!E6</f>
        <v>423.99999001892468</v>
      </c>
      <c r="F20" s="3">
        <f>'1-2-3'!K77*'1-2-3'!K61*scale-RESULTS!F23+RESULTS!F6</f>
        <v>531.01273874596188</v>
      </c>
      <c r="G20" s="3">
        <f>'1-2-3'!L77*'1-2-3'!L61*scale-RESULTS!G23+RESULTS!G6</f>
        <v>652.99999915151989</v>
      </c>
      <c r="H20" s="3" t="e">
        <f>'1-2-3'!M77*'1-2-3'!M61*scale-RESULTS!H23+RESULTS!H6</f>
        <v>#VALUE!</v>
      </c>
      <c r="I20" s="3" t="e">
        <f>'1-2-3'!N77*'1-2-3'!N61*scale-RESULTS!I23+RESULTS!I6</f>
        <v>#VALUE!</v>
      </c>
      <c r="J20" s="3" t="e">
        <f>'1-2-3'!O77*'1-2-3'!O61*scale-RESULTS!J23+RESULTS!J6</f>
        <v>#VALUE!</v>
      </c>
      <c r="K20" s="3" t="e">
        <f>'1-2-3'!P77*'1-2-3'!P61*scale-RESULTS!K23+RESULTS!K6</f>
        <v>#VALUE!</v>
      </c>
      <c r="L20" s="3" t="e">
        <f>'1-2-3'!Q77*'1-2-3'!Q61*scale-RESULTS!L23+RESULTS!L6</f>
        <v>#VALUE!</v>
      </c>
      <c r="M20" s="3" t="e">
        <f>'1-2-3'!R77*'1-2-3'!R61*scale-RESULTS!M23+RESULTS!M6</f>
        <v>#VALUE!</v>
      </c>
      <c r="N20" s="3" t="e">
        <f>'1-2-3'!S77*'1-2-3'!S61*scale-RESULTS!N23+RESULTS!N6</f>
        <v>#VALUE!</v>
      </c>
      <c r="O20" s="3" t="e">
        <f>'1-2-3'!T77*'1-2-3'!T61*scale-RESULTS!O23+RESULTS!O6</f>
        <v>#VALUE!</v>
      </c>
      <c r="P20" s="3" t="e">
        <f>'1-2-3'!U77*'1-2-3'!U61*scale-RESULTS!P23+RESULTS!P6</f>
        <v>#VALUE!</v>
      </c>
      <c r="Q20" s="3" t="e">
        <f>'1-2-3'!V77*'1-2-3'!V61*scale-RESULTS!Q23+RESULTS!Q6</f>
        <v>#VALUE!</v>
      </c>
    </row>
    <row r="21" spans="1:17">
      <c r="A21" s="4" t="s">
        <v>1790</v>
      </c>
      <c r="B21" s="12" t="s">
        <v>1803</v>
      </c>
      <c r="C21" s="4" t="s">
        <v>1812</v>
      </c>
      <c r="D21" s="3">
        <f t="shared" ref="D21:I21" si="18">D22+D23</f>
        <v>307</v>
      </c>
      <c r="E21" s="3">
        <f>E22+E23</f>
        <v>280</v>
      </c>
      <c r="F21" s="3">
        <f t="shared" si="18"/>
        <v>262</v>
      </c>
      <c r="G21" s="3">
        <f t="shared" si="18"/>
        <v>232</v>
      </c>
      <c r="H21" s="3" t="e">
        <f t="shared" si="18"/>
        <v>#VALUE!</v>
      </c>
      <c r="I21" s="3" t="e">
        <f t="shared" si="18"/>
        <v>#VALUE!</v>
      </c>
      <c r="J21" s="3" t="e">
        <f>J22+J23</f>
        <v>#VALUE!</v>
      </c>
      <c r="K21" s="3" t="e">
        <f t="shared" ref="K21:Q21" si="19">K22+K23</f>
        <v>#VALUE!</v>
      </c>
      <c r="L21" s="3" t="e">
        <f t="shared" si="19"/>
        <v>#VALUE!</v>
      </c>
      <c r="M21" s="3" t="e">
        <f t="shared" si="19"/>
        <v>#VALUE!</v>
      </c>
      <c r="N21" s="3" t="e">
        <f t="shared" si="19"/>
        <v>#VALUE!</v>
      </c>
      <c r="O21" s="3" t="e">
        <f t="shared" si="19"/>
        <v>#VALUE!</v>
      </c>
      <c r="P21" s="3" t="e">
        <f t="shared" si="19"/>
        <v>#VALUE!</v>
      </c>
      <c r="Q21" s="3" t="e">
        <f t="shared" si="19"/>
        <v>#VALUE!</v>
      </c>
    </row>
    <row r="22" spans="1:17">
      <c r="A22" s="4" t="s">
        <v>1790</v>
      </c>
      <c r="B22" s="12" t="s">
        <v>1803</v>
      </c>
      <c r="C22" s="4" t="s">
        <v>1987</v>
      </c>
      <c r="D22" s="3">
        <f>SCENARIO!D50</f>
        <v>167</v>
      </c>
      <c r="E22" s="3">
        <f>SCENARIO!E50</f>
        <v>111</v>
      </c>
      <c r="F22" s="3">
        <f>SCENARIO!F50</f>
        <v>132</v>
      </c>
      <c r="G22" s="3">
        <f>SCENARIO!G50</f>
        <v>152</v>
      </c>
      <c r="H22" s="3">
        <f>SCENARIO!H50</f>
        <v>0</v>
      </c>
      <c r="I22" s="3">
        <f>SCENARIO!I50</f>
        <v>0</v>
      </c>
      <c r="J22" s="3">
        <f>SCENARIO!J50</f>
        <v>0</v>
      </c>
      <c r="K22" s="3">
        <f>SCENARIO!K50</f>
        <v>0</v>
      </c>
      <c r="L22" s="3">
        <f>SCENARIO!L50</f>
        <v>0</v>
      </c>
      <c r="M22" s="3">
        <f>SCENARIO!M50</f>
        <v>0</v>
      </c>
      <c r="N22" s="3">
        <f>SCENARIO!N50</f>
        <v>0</v>
      </c>
      <c r="O22" s="3">
        <f>SCENARIO!O50</f>
        <v>0</v>
      </c>
      <c r="P22" s="3">
        <f>SCENARIO!P50</f>
        <v>0</v>
      </c>
      <c r="Q22" s="3">
        <f>SCENARIO!Q50</f>
        <v>0</v>
      </c>
    </row>
    <row r="23" spans="1:17">
      <c r="A23" s="4" t="s">
        <v>1790</v>
      </c>
      <c r="B23" s="12" t="s">
        <v>1803</v>
      </c>
      <c r="C23" s="4" t="s">
        <v>1988</v>
      </c>
      <c r="D23" s="3">
        <f>SCENARIO!D51*'1-2-3'!I13*'1-2-3'!I14*scale</f>
        <v>140</v>
      </c>
      <c r="E23" s="3">
        <f>SCENARIO!E51*'1-2-3'!J13*'1-2-3'!J14*scale</f>
        <v>169.00000000000003</v>
      </c>
      <c r="F23" s="3">
        <f>SCENARIO!F51*'1-2-3'!K13*'1-2-3'!K14*scale</f>
        <v>130.00000000000003</v>
      </c>
      <c r="G23" s="3">
        <f>SCENARIO!G51*'1-2-3'!L13*'1-2-3'!L14*scale</f>
        <v>80</v>
      </c>
      <c r="H23" s="3" t="e">
        <f>SCENARIO!H51*'1-2-3'!M13*'1-2-3'!M14*scale</f>
        <v>#VALUE!</v>
      </c>
      <c r="I23" s="3" t="e">
        <f>SCENARIO!I51*'1-2-3'!N13*'1-2-3'!N14*scale</f>
        <v>#VALUE!</v>
      </c>
      <c r="J23" s="3" t="e">
        <f>SCENARIO!J51*'1-2-3'!O13*'1-2-3'!O14*scale</f>
        <v>#VALUE!</v>
      </c>
      <c r="K23" s="3" t="e">
        <f>SCENARIO!K51*'1-2-3'!P13*'1-2-3'!P14*scale</f>
        <v>#VALUE!</v>
      </c>
      <c r="L23" s="3" t="e">
        <f>SCENARIO!L51*'1-2-3'!Q13*'1-2-3'!Q14*scale</f>
        <v>#VALUE!</v>
      </c>
      <c r="M23" s="3" t="e">
        <f>SCENARIO!M51*'1-2-3'!R13*'1-2-3'!R14*scale</f>
        <v>#VALUE!</v>
      </c>
      <c r="N23" s="3" t="e">
        <f>SCENARIO!N51*'1-2-3'!S13*'1-2-3'!S14*scale</f>
        <v>#VALUE!</v>
      </c>
      <c r="O23" s="3" t="e">
        <f>SCENARIO!O51*'1-2-3'!T13*'1-2-3'!T14*scale</f>
        <v>#VALUE!</v>
      </c>
      <c r="P23" s="3" t="e">
        <f>SCENARIO!P51*'1-2-3'!U13*'1-2-3'!U14*scale</f>
        <v>#VALUE!</v>
      </c>
      <c r="Q23" s="3" t="e">
        <f>SCENARIO!Q51*'1-2-3'!V13*'1-2-3'!V14*scale</f>
        <v>#VALUE!</v>
      </c>
    </row>
    <row r="24" spans="1:17">
      <c r="A24" s="4" t="s">
        <v>1790</v>
      </c>
      <c r="B24" s="12" t="s">
        <v>1813</v>
      </c>
      <c r="C24" s="2" t="s">
        <v>1986</v>
      </c>
      <c r="D24" s="3">
        <f t="shared" ref="D24:I24" si="20">D25+D26</f>
        <v>1422</v>
      </c>
      <c r="E24" s="3">
        <f>E25+E26</f>
        <v>1826.0000000000002</v>
      </c>
      <c r="F24" s="3">
        <f t="shared" si="20"/>
        <v>2138.0000000000005</v>
      </c>
      <c r="G24" s="3">
        <f t="shared" si="20"/>
        <v>2360.0000000000005</v>
      </c>
      <c r="H24" s="3" t="e">
        <f t="shared" si="20"/>
        <v>#VALUE!</v>
      </c>
      <c r="I24" s="3" t="e">
        <f t="shared" si="20"/>
        <v>#VALUE!</v>
      </c>
      <c r="J24" s="3" t="e">
        <f>J25+J26</f>
        <v>#VALUE!</v>
      </c>
      <c r="K24" s="3" t="e">
        <f t="shared" ref="K24:Q24" si="21">K25+K26</f>
        <v>#VALUE!</v>
      </c>
      <c r="L24" s="3" t="e">
        <f t="shared" si="21"/>
        <v>#VALUE!</v>
      </c>
      <c r="M24" s="3" t="e">
        <f t="shared" si="21"/>
        <v>#VALUE!</v>
      </c>
      <c r="N24" s="3" t="e">
        <f t="shared" si="21"/>
        <v>#VALUE!</v>
      </c>
      <c r="O24" s="3" t="e">
        <f t="shared" si="21"/>
        <v>#VALUE!</v>
      </c>
      <c r="P24" s="3" t="e">
        <f t="shared" si="21"/>
        <v>#VALUE!</v>
      </c>
      <c r="Q24" s="3" t="e">
        <f t="shared" si="21"/>
        <v>#VALUE!</v>
      </c>
    </row>
    <row r="25" spans="1:17">
      <c r="A25" s="4" t="s">
        <v>1790</v>
      </c>
      <c r="B25" s="12" t="s">
        <v>1813</v>
      </c>
      <c r="C25" s="4" t="s">
        <v>1989</v>
      </c>
      <c r="D25" s="3">
        <f>SCENARIO!D54*'1-2-3'!I13*'1-2-3'!I14*scale</f>
        <v>1009.0000000000001</v>
      </c>
      <c r="E25" s="3">
        <f>SCENARIO!E54*'1-2-3'!J13*'1-2-3'!J14*scale</f>
        <v>1649.0000000000002</v>
      </c>
      <c r="F25" s="3">
        <f>SCENARIO!F54*'1-2-3'!K13*'1-2-3'!K14*scale</f>
        <v>1938.0000000000005</v>
      </c>
      <c r="G25" s="3">
        <f>SCENARIO!G54*'1-2-3'!L13*'1-2-3'!L14*scale</f>
        <v>2210.0000000000005</v>
      </c>
      <c r="H25" s="3" t="e">
        <f>SCENARIO!H54*'1-2-3'!M13*'1-2-3'!M14*scale</f>
        <v>#VALUE!</v>
      </c>
      <c r="I25" s="3" t="e">
        <f>SCENARIO!I54*'1-2-3'!N13*'1-2-3'!N14*scale</f>
        <v>#VALUE!</v>
      </c>
      <c r="J25" s="3" t="e">
        <f>SCENARIO!J54*'1-2-3'!O13*'1-2-3'!O14*scale</f>
        <v>#VALUE!</v>
      </c>
      <c r="K25" s="3" t="e">
        <f>SCENARIO!K54*'1-2-3'!P13*'1-2-3'!P14*scale</f>
        <v>#VALUE!</v>
      </c>
      <c r="L25" s="3" t="e">
        <f>SCENARIO!L54*'1-2-3'!Q13*'1-2-3'!Q14*scale</f>
        <v>#VALUE!</v>
      </c>
      <c r="M25" s="3" t="e">
        <f>SCENARIO!M54*'1-2-3'!R13*'1-2-3'!R14*scale</f>
        <v>#VALUE!</v>
      </c>
      <c r="N25" s="3" t="e">
        <f>SCENARIO!N54*'1-2-3'!S13*'1-2-3'!S14*scale</f>
        <v>#VALUE!</v>
      </c>
      <c r="O25" s="3" t="e">
        <f>SCENARIO!O54*'1-2-3'!T13*'1-2-3'!T14*scale</f>
        <v>#VALUE!</v>
      </c>
      <c r="P25" s="3" t="e">
        <f>SCENARIO!P54*'1-2-3'!U13*'1-2-3'!U14*scale</f>
        <v>#VALUE!</v>
      </c>
      <c r="Q25" s="3" t="e">
        <f>SCENARIO!Q54*'1-2-3'!V13*'1-2-3'!V14*scale</f>
        <v>#VALUE!</v>
      </c>
    </row>
    <row r="26" spans="1:17">
      <c r="A26" s="4" t="s">
        <v>1790</v>
      </c>
      <c r="B26" s="12" t="s">
        <v>1813</v>
      </c>
      <c r="C26" s="4" t="s">
        <v>1990</v>
      </c>
      <c r="D26" s="3">
        <f>SCENARIO!D58*'1-2-3'!I13*'1-2-3'!I14*scale</f>
        <v>413</v>
      </c>
      <c r="E26" s="3">
        <f>SCENARIO!E58*'1-2-3'!J13*'1-2-3'!J14*scale</f>
        <v>177.00000000000006</v>
      </c>
      <c r="F26" s="3">
        <f>SCENARIO!F58*'1-2-3'!K13*'1-2-3'!K14*scale</f>
        <v>200.00000000000006</v>
      </c>
      <c r="G26" s="3">
        <f>SCENARIO!G58*'1-2-3'!L13*'1-2-3'!L14*scale</f>
        <v>150.00000000000003</v>
      </c>
      <c r="H26" s="3" t="e">
        <f>SCENARIO!H58*'1-2-3'!M13*'1-2-3'!M14*scale</f>
        <v>#VALUE!</v>
      </c>
      <c r="I26" s="3" t="e">
        <f>SCENARIO!I58*'1-2-3'!N13*'1-2-3'!N14*scale</f>
        <v>#VALUE!</v>
      </c>
      <c r="J26" s="3" t="e">
        <f>SCENARIO!J58*'1-2-3'!O13*'1-2-3'!O14*scale</f>
        <v>#VALUE!</v>
      </c>
      <c r="K26" s="3" t="e">
        <f>SCENARIO!K58*'1-2-3'!P13*'1-2-3'!P14*scale</f>
        <v>#VALUE!</v>
      </c>
      <c r="L26" s="3" t="e">
        <f>SCENARIO!L58*'1-2-3'!Q13*'1-2-3'!Q14*scale</f>
        <v>#VALUE!</v>
      </c>
      <c r="M26" s="3" t="e">
        <f>SCENARIO!M58*'1-2-3'!R13*'1-2-3'!R14*scale</f>
        <v>#VALUE!</v>
      </c>
      <c r="N26" s="3" t="e">
        <f>SCENARIO!N58*'1-2-3'!S13*'1-2-3'!S14*scale</f>
        <v>#VALUE!</v>
      </c>
      <c r="O26" s="3" t="e">
        <f>SCENARIO!O58*'1-2-3'!T13*'1-2-3'!T14*scale</f>
        <v>#VALUE!</v>
      </c>
      <c r="P26" s="3" t="e">
        <f>SCENARIO!P58*'1-2-3'!U13*'1-2-3'!U14*scale</f>
        <v>#VALUE!</v>
      </c>
      <c r="Q26" s="3" t="e">
        <f>SCENARIO!Q58*'1-2-3'!V13*'1-2-3'!V14*scale</f>
        <v>#VALUE!</v>
      </c>
    </row>
    <row r="27" spans="1:17">
      <c r="A27" s="4" t="s">
        <v>1790</v>
      </c>
      <c r="B27" s="2" t="s">
        <v>1814</v>
      </c>
      <c r="C27" s="4" t="s">
        <v>1991</v>
      </c>
      <c r="D27" s="3">
        <f t="shared" ref="D27:J27" si="22">D2-D13-D24</f>
        <v>-420.99278589587016</v>
      </c>
      <c r="E27" s="3">
        <f t="shared" si="22"/>
        <v>-603.10406412699808</v>
      </c>
      <c r="F27" s="3">
        <f t="shared" si="22"/>
        <v>-1164.2088798961668</v>
      </c>
      <c r="G27" s="3">
        <f t="shared" si="22"/>
        <v>-1187.6440612450892</v>
      </c>
      <c r="H27" s="3" t="e">
        <f t="shared" si="22"/>
        <v>#VALUE!</v>
      </c>
      <c r="I27" s="3" t="e">
        <f t="shared" si="22"/>
        <v>#VALUE!</v>
      </c>
      <c r="J27" s="3" t="e">
        <f t="shared" si="22"/>
        <v>#VALUE!</v>
      </c>
      <c r="K27" s="3" t="e">
        <f t="shared" ref="K27:Q27" si="23">K2-K13-K24</f>
        <v>#VALUE!</v>
      </c>
      <c r="L27" s="3" t="e">
        <f t="shared" si="23"/>
        <v>#VALUE!</v>
      </c>
      <c r="M27" s="3" t="e">
        <f t="shared" si="23"/>
        <v>#VALUE!</v>
      </c>
      <c r="N27" s="3" t="e">
        <f t="shared" si="23"/>
        <v>#VALUE!</v>
      </c>
      <c r="O27" s="3" t="e">
        <f t="shared" si="23"/>
        <v>#VALUE!</v>
      </c>
      <c r="P27" s="3" t="e">
        <f t="shared" si="23"/>
        <v>#VALUE!</v>
      </c>
      <c r="Q27" s="3" t="e">
        <f t="shared" si="23"/>
        <v>#VALUE!</v>
      </c>
    </row>
    <row r="28" spans="1:17">
      <c r="A28" s="4" t="s">
        <v>1790</v>
      </c>
      <c r="B28" s="2" t="s">
        <v>1814</v>
      </c>
      <c r="C28" s="4" t="s">
        <v>1992</v>
      </c>
      <c r="D28" s="46">
        <f t="shared" ref="D28:J28" si="24">D27/D$56*100</f>
        <v>-4.6492853241123555</v>
      </c>
      <c r="E28" s="46">
        <f t="shared" si="24"/>
        <v>-5.1645556750139887</v>
      </c>
      <c r="F28" s="46">
        <f t="shared" si="24"/>
        <v>-8.1562088657009433</v>
      </c>
      <c r="G28" s="46">
        <f t="shared" si="24"/>
        <v>-7.0487308601556515</v>
      </c>
      <c r="H28" s="46" t="e">
        <f t="shared" si="24"/>
        <v>#VALUE!</v>
      </c>
      <c r="I28" s="46" t="e">
        <f t="shared" si="24"/>
        <v>#VALUE!</v>
      </c>
      <c r="J28" s="46" t="e">
        <f t="shared" si="24"/>
        <v>#VALUE!</v>
      </c>
      <c r="K28" s="46" t="e">
        <f t="shared" ref="K28:Q28" si="25">K27/K$56*100</f>
        <v>#VALUE!</v>
      </c>
      <c r="L28" s="46" t="e">
        <f t="shared" si="25"/>
        <v>#VALUE!</v>
      </c>
      <c r="M28" s="46" t="e">
        <f t="shared" si="25"/>
        <v>#VALUE!</v>
      </c>
      <c r="N28" s="46" t="e">
        <f t="shared" si="25"/>
        <v>#VALUE!</v>
      </c>
      <c r="O28" s="46" t="e">
        <f t="shared" si="25"/>
        <v>#VALUE!</v>
      </c>
      <c r="P28" s="46" t="e">
        <f t="shared" si="25"/>
        <v>#VALUE!</v>
      </c>
      <c r="Q28" s="46" t="e">
        <f t="shared" si="25"/>
        <v>#VALUE!</v>
      </c>
    </row>
    <row r="29" spans="1:17">
      <c r="A29" s="4" t="s">
        <v>1790</v>
      </c>
      <c r="B29" s="2" t="s">
        <v>1814</v>
      </c>
      <c r="C29" s="4" t="s">
        <v>1993</v>
      </c>
      <c r="D29" s="3">
        <f t="shared" ref="D29:J29" si="26">D27-D3</f>
        <v>-995.99278589587016</v>
      </c>
      <c r="E29" s="3">
        <f t="shared" si="26"/>
        <v>-1831.1040641269981</v>
      </c>
      <c r="F29" s="3">
        <f t="shared" si="26"/>
        <v>-2095.2088798961668</v>
      </c>
      <c r="G29" s="3">
        <f t="shared" si="26"/>
        <v>-2214.6440612450892</v>
      </c>
      <c r="H29" s="3" t="e">
        <f t="shared" si="26"/>
        <v>#VALUE!</v>
      </c>
      <c r="I29" s="3" t="e">
        <f t="shared" si="26"/>
        <v>#VALUE!</v>
      </c>
      <c r="J29" s="3" t="e">
        <f t="shared" si="26"/>
        <v>#VALUE!</v>
      </c>
      <c r="K29" s="3" t="e">
        <f t="shared" ref="K29:Q29" si="27">K27-K3</f>
        <v>#VALUE!</v>
      </c>
      <c r="L29" s="3" t="e">
        <f t="shared" si="27"/>
        <v>#VALUE!</v>
      </c>
      <c r="M29" s="3" t="e">
        <f t="shared" si="27"/>
        <v>#VALUE!</v>
      </c>
      <c r="N29" s="3" t="e">
        <f t="shared" si="27"/>
        <v>#VALUE!</v>
      </c>
      <c r="O29" s="3" t="e">
        <f t="shared" si="27"/>
        <v>#VALUE!</v>
      </c>
      <c r="P29" s="3" t="e">
        <f t="shared" si="27"/>
        <v>#VALUE!</v>
      </c>
      <c r="Q29" s="3" t="e">
        <f t="shared" si="27"/>
        <v>#VALUE!</v>
      </c>
    </row>
    <row r="30" spans="1:17">
      <c r="A30" s="4" t="s">
        <v>1790</v>
      </c>
      <c r="B30" s="2" t="s">
        <v>1814</v>
      </c>
      <c r="C30" s="4" t="s">
        <v>1994</v>
      </c>
      <c r="D30" s="46">
        <f t="shared" ref="D30:J30" si="28">D29/D$56*100</f>
        <v>-10.999368154334148</v>
      </c>
      <c r="E30" s="46">
        <f t="shared" si="28"/>
        <v>-15.680277166789081</v>
      </c>
      <c r="F30" s="46">
        <f t="shared" si="28"/>
        <v>-14.678604103439399</v>
      </c>
      <c r="G30" s="46">
        <f t="shared" si="28"/>
        <v>-13.144030647021642</v>
      </c>
      <c r="H30" s="46" t="e">
        <f t="shared" si="28"/>
        <v>#VALUE!</v>
      </c>
      <c r="I30" s="46" t="e">
        <f t="shared" si="28"/>
        <v>#VALUE!</v>
      </c>
      <c r="J30" s="46" t="e">
        <f t="shared" si="28"/>
        <v>#VALUE!</v>
      </c>
      <c r="K30" s="46" t="e">
        <f t="shared" ref="K30:Q30" si="29">K29/K$56*100</f>
        <v>#VALUE!</v>
      </c>
      <c r="L30" s="46" t="e">
        <f t="shared" si="29"/>
        <v>#VALUE!</v>
      </c>
      <c r="M30" s="46" t="e">
        <f t="shared" si="29"/>
        <v>#VALUE!</v>
      </c>
      <c r="N30" s="46" t="e">
        <f t="shared" si="29"/>
        <v>#VALUE!</v>
      </c>
      <c r="O30" s="46" t="e">
        <f t="shared" si="29"/>
        <v>#VALUE!</v>
      </c>
      <c r="P30" s="46" t="e">
        <f t="shared" si="29"/>
        <v>#VALUE!</v>
      </c>
      <c r="Q30" s="46" t="e">
        <f t="shared" si="29"/>
        <v>#VALUE!</v>
      </c>
    </row>
    <row r="31" spans="1:17">
      <c r="A31" s="4" t="s">
        <v>1790</v>
      </c>
      <c r="B31" s="2" t="s">
        <v>1814</v>
      </c>
      <c r="C31" s="4" t="s">
        <v>1995</v>
      </c>
      <c r="D31" s="3">
        <f t="shared" ref="D31:J31" si="30">D27-D36+D38+D39</f>
        <v>-708.99278589587016</v>
      </c>
      <c r="E31" s="3">
        <f>E27-E36+E38+E39</f>
        <v>-653.10406412699808</v>
      </c>
      <c r="F31" s="3">
        <f t="shared" si="30"/>
        <v>-1226.2088798961668</v>
      </c>
      <c r="G31" s="3">
        <f t="shared" si="30"/>
        <v>-1260.6440612450892</v>
      </c>
      <c r="H31" s="3" t="e">
        <f t="shared" si="30"/>
        <v>#VALUE!</v>
      </c>
      <c r="I31" s="3" t="e">
        <f t="shared" si="30"/>
        <v>#VALUE!</v>
      </c>
      <c r="J31" s="3" t="e">
        <f t="shared" si="30"/>
        <v>#VALUE!</v>
      </c>
      <c r="K31" s="3" t="e">
        <f t="shared" ref="K31:Q31" si="31">K27-K36+K38+K39</f>
        <v>#VALUE!</v>
      </c>
      <c r="L31" s="3" t="e">
        <f t="shared" si="31"/>
        <v>#VALUE!</v>
      </c>
      <c r="M31" s="3" t="e">
        <f t="shared" si="31"/>
        <v>#VALUE!</v>
      </c>
      <c r="N31" s="3" t="e">
        <f t="shared" si="31"/>
        <v>#VALUE!</v>
      </c>
      <c r="O31" s="3" t="e">
        <f t="shared" si="31"/>
        <v>#VALUE!</v>
      </c>
      <c r="P31" s="3" t="e">
        <f t="shared" si="31"/>
        <v>#VALUE!</v>
      </c>
      <c r="Q31" s="3" t="e">
        <f t="shared" si="31"/>
        <v>#VALUE!</v>
      </c>
    </row>
    <row r="32" spans="1:17">
      <c r="A32" s="4" t="s">
        <v>1790</v>
      </c>
      <c r="B32" s="2" t="s">
        <v>1814</v>
      </c>
      <c r="C32" s="4" t="s">
        <v>1996</v>
      </c>
      <c r="D32" s="46">
        <f>D31/D$56*100</f>
        <v>-7.8298485503799666</v>
      </c>
      <c r="E32" s="46">
        <f t="shared" ref="E32:J32" si="32">E31/E$56*100</f>
        <v>-5.5927202308680233</v>
      </c>
      <c r="F32" s="46">
        <f t="shared" si="32"/>
        <v>-8.5905681618768668</v>
      </c>
      <c r="G32" s="46">
        <f t="shared" si="32"/>
        <v>-7.481989754450896</v>
      </c>
      <c r="H32" s="46" t="e">
        <f t="shared" si="32"/>
        <v>#VALUE!</v>
      </c>
      <c r="I32" s="46" t="e">
        <f t="shared" si="32"/>
        <v>#VALUE!</v>
      </c>
      <c r="J32" s="46" t="e">
        <f t="shared" si="32"/>
        <v>#VALUE!</v>
      </c>
      <c r="K32" s="46" t="e">
        <f t="shared" ref="K32:Q32" si="33">K31/K$56*100</f>
        <v>#VALUE!</v>
      </c>
      <c r="L32" s="46" t="e">
        <f t="shared" si="33"/>
        <v>#VALUE!</v>
      </c>
      <c r="M32" s="46" t="e">
        <f t="shared" si="33"/>
        <v>#VALUE!</v>
      </c>
      <c r="N32" s="46" t="e">
        <f t="shared" si="33"/>
        <v>#VALUE!</v>
      </c>
      <c r="O32" s="46" t="e">
        <f t="shared" si="33"/>
        <v>#VALUE!</v>
      </c>
      <c r="P32" s="46" t="e">
        <f t="shared" si="33"/>
        <v>#VALUE!</v>
      </c>
      <c r="Q32" s="46" t="e">
        <f t="shared" si="33"/>
        <v>#VALUE!</v>
      </c>
    </row>
    <row r="33" spans="1:17">
      <c r="A33" s="4" t="s">
        <v>1790</v>
      </c>
      <c r="B33" s="2" t="s">
        <v>1814</v>
      </c>
      <c r="C33" s="4" t="s">
        <v>1997</v>
      </c>
      <c r="D33" s="3">
        <f>D31-D3+D22+SCENARIO!D57+SCENARIO!D61</f>
        <v>-335.99278589587016</v>
      </c>
      <c r="E33" s="3">
        <f>E31-E3+E22+SCENARIO!E57+SCENARIO!E61</f>
        <v>-435.10406412699808</v>
      </c>
      <c r="F33" s="3">
        <f>F31-F3+F22+SCENARIO!F57+SCENARIO!F61</f>
        <v>-522.20887989616676</v>
      </c>
      <c r="G33" s="3">
        <f>G31-G3+G22+SCENARIO!G57+SCENARIO!G61</f>
        <v>-483.64406124508923</v>
      </c>
      <c r="H33" s="3" t="e">
        <f>H31-H3+H22+SCENARIO!H57+SCENARIO!H61</f>
        <v>#VALUE!</v>
      </c>
      <c r="I33" s="3" t="e">
        <f>I31-I3+I22+SCENARIO!I57+SCENARIO!I61</f>
        <v>#VALUE!</v>
      </c>
      <c r="J33" s="3" t="e">
        <f>J31-J3+J22+SCENARIO!J57+SCENARIO!J61</f>
        <v>#VALUE!</v>
      </c>
      <c r="K33" s="3" t="e">
        <f>K31-K3+K22+SCENARIO!K57+SCENARIO!K61</f>
        <v>#VALUE!</v>
      </c>
      <c r="L33" s="3" t="e">
        <f>L31-L3+L22+SCENARIO!L57+SCENARIO!L61</f>
        <v>#VALUE!</v>
      </c>
      <c r="M33" s="3" t="e">
        <f>M31-M3+M22+SCENARIO!M57+SCENARIO!M61</f>
        <v>#VALUE!</v>
      </c>
      <c r="N33" s="3" t="e">
        <f>N31-N3+N22+SCENARIO!N57+SCENARIO!N61</f>
        <v>#VALUE!</v>
      </c>
      <c r="O33" s="3" t="e">
        <f>O31-O3+O22+SCENARIO!O57+SCENARIO!O61</f>
        <v>#VALUE!</v>
      </c>
      <c r="P33" s="3" t="e">
        <f>P31-P3+P22+SCENARIO!P57+SCENARIO!P61</f>
        <v>#VALUE!</v>
      </c>
      <c r="Q33" s="3" t="e">
        <f>Q31-Q3+Q22+SCENARIO!Q57+SCENARIO!Q61</f>
        <v>#VALUE!</v>
      </c>
    </row>
    <row r="34" spans="1:17">
      <c r="A34" s="4" t="s">
        <v>1790</v>
      </c>
      <c r="B34" s="2" t="s">
        <v>1814</v>
      </c>
      <c r="C34" s="4" t="s">
        <v>1998</v>
      </c>
      <c r="D34" s="46">
        <f t="shared" ref="D34:J34" si="34">D33/D$56*100</f>
        <v>-3.7105774274708727</v>
      </c>
      <c r="E34" s="46">
        <f t="shared" si="34"/>
        <v>-3.7259227673444322</v>
      </c>
      <c r="F34" s="46">
        <f t="shared" si="34"/>
        <v>-3.658488411750259</v>
      </c>
      <c r="G34" s="46">
        <f t="shared" si="34"/>
        <v>-2.8704533042124587</v>
      </c>
      <c r="H34" s="46" t="e">
        <f t="shared" si="34"/>
        <v>#VALUE!</v>
      </c>
      <c r="I34" s="46" t="e">
        <f t="shared" si="34"/>
        <v>#VALUE!</v>
      </c>
      <c r="J34" s="46" t="e">
        <f t="shared" si="34"/>
        <v>#VALUE!</v>
      </c>
      <c r="K34" s="46" t="e">
        <f t="shared" ref="K34:Q34" si="35">K33/K$56*100</f>
        <v>#VALUE!</v>
      </c>
      <c r="L34" s="46" t="e">
        <f t="shared" si="35"/>
        <v>#VALUE!</v>
      </c>
      <c r="M34" s="46" t="e">
        <f t="shared" si="35"/>
        <v>#VALUE!</v>
      </c>
      <c r="N34" s="46" t="e">
        <f t="shared" si="35"/>
        <v>#VALUE!</v>
      </c>
      <c r="O34" s="46" t="e">
        <f t="shared" si="35"/>
        <v>#VALUE!</v>
      </c>
      <c r="P34" s="46" t="e">
        <f t="shared" si="35"/>
        <v>#VALUE!</v>
      </c>
      <c r="Q34" s="46" t="e">
        <f t="shared" si="35"/>
        <v>#VALUE!</v>
      </c>
    </row>
    <row r="35" spans="1:17">
      <c r="A35" s="4" t="s">
        <v>1790</v>
      </c>
      <c r="B35" s="2" t="s">
        <v>1815</v>
      </c>
      <c r="C35" s="4" t="str">
        <f>"1.  " &amp; 'MACRO DATA'!B55</f>
        <v>1.  Total financing</v>
      </c>
      <c r="D35" s="3">
        <f t="shared" ref="D35:J35" si="36">D36+D38+D39+D40+D43+D47</f>
        <v>584</v>
      </c>
      <c r="E35" s="3">
        <f t="shared" si="36"/>
        <v>697</v>
      </c>
      <c r="F35" s="3">
        <f t="shared" si="36"/>
        <v>-36.5065132006564</v>
      </c>
      <c r="G35" s="3">
        <f t="shared" si="36"/>
        <v>-4.1898579953763289</v>
      </c>
      <c r="H35" s="3" t="e">
        <f t="shared" si="36"/>
        <v>#VALUE!</v>
      </c>
      <c r="I35" s="3" t="e">
        <f t="shared" si="36"/>
        <v>#VALUE!</v>
      </c>
      <c r="J35" s="3" t="e">
        <f t="shared" si="36"/>
        <v>#VALUE!</v>
      </c>
      <c r="K35" s="3" t="e">
        <f t="shared" ref="K35:Q35" si="37">K36+K38+K39+K40+K43+K47</f>
        <v>#VALUE!</v>
      </c>
      <c r="L35" s="3" t="e">
        <f t="shared" si="37"/>
        <v>#VALUE!</v>
      </c>
      <c r="M35" s="3" t="e">
        <f t="shared" si="37"/>
        <v>#VALUE!</v>
      </c>
      <c r="N35" s="3" t="e">
        <f t="shared" si="37"/>
        <v>#VALUE!</v>
      </c>
      <c r="O35" s="3" t="e">
        <f t="shared" si="37"/>
        <v>#VALUE!</v>
      </c>
      <c r="P35" s="3" t="e">
        <f t="shared" si="37"/>
        <v>#VALUE!</v>
      </c>
      <c r="Q35" s="3" t="e">
        <f t="shared" si="37"/>
        <v>#VALUE!</v>
      </c>
    </row>
    <row r="36" spans="1:17">
      <c r="A36" s="4" t="s">
        <v>1790</v>
      </c>
      <c r="B36" s="2" t="s">
        <v>1815</v>
      </c>
      <c r="C36" s="4" t="str">
        <f>"2.  " &amp; 'MACRO DATA'!B56</f>
        <v>2.  Contingency</v>
      </c>
      <c r="D36" s="3">
        <f>SCENARIO!D65</f>
        <v>82</v>
      </c>
      <c r="E36" s="3">
        <f>SCENARIO!E65</f>
        <v>50</v>
      </c>
      <c r="F36" s="3">
        <f>SCENARIO!F65</f>
        <v>62</v>
      </c>
      <c r="G36" s="3">
        <f>SCENARIO!G65</f>
        <v>73</v>
      </c>
      <c r="H36" s="3">
        <f>SCENARIO!H65</f>
        <v>0</v>
      </c>
      <c r="I36" s="3">
        <f>SCENARIO!I65</f>
        <v>0</v>
      </c>
      <c r="J36" s="3">
        <f>SCENARIO!J65</f>
        <v>0</v>
      </c>
      <c r="K36" s="3">
        <f>SCENARIO!K65</f>
        <v>0</v>
      </c>
      <c r="L36" s="3">
        <f>SCENARIO!L65</f>
        <v>0</v>
      </c>
      <c r="M36" s="3">
        <f>SCENARIO!M65</f>
        <v>0</v>
      </c>
      <c r="N36" s="3">
        <f>SCENARIO!N65</f>
        <v>0</v>
      </c>
      <c r="O36" s="3">
        <f>SCENARIO!O65</f>
        <v>0</v>
      </c>
      <c r="P36" s="3">
        <f>SCENARIO!P65</f>
        <v>0</v>
      </c>
      <c r="Q36" s="3">
        <f>SCENARIO!Q65</f>
        <v>0</v>
      </c>
    </row>
    <row r="37" spans="1:17">
      <c r="A37" s="4" t="s">
        <v>1790</v>
      </c>
      <c r="B37" s="2" t="s">
        <v>1815</v>
      </c>
      <c r="C37" s="4" t="str">
        <f>"3.  " &amp; 'MACRO DATA'!B57</f>
        <v>3.      of which : payments of domestic arreas</v>
      </c>
      <c r="D37" s="3">
        <f>SCENARIO!D66</f>
        <v>0</v>
      </c>
      <c r="E37" s="3">
        <f>SCENARIO!E66</f>
        <v>0</v>
      </c>
      <c r="F37" s="3">
        <f>SCENARIO!F66</f>
        <v>0</v>
      </c>
      <c r="G37" s="3">
        <f>SCENARIO!G66</f>
        <v>0</v>
      </c>
      <c r="H37" s="3">
        <f>SCENARIO!H66</f>
        <v>0</v>
      </c>
      <c r="I37" s="3">
        <f>SCENARIO!I66</f>
        <v>0</v>
      </c>
      <c r="J37" s="3">
        <f>SCENARIO!J66</f>
        <v>0</v>
      </c>
      <c r="K37" s="3">
        <f>SCENARIO!K66</f>
        <v>0</v>
      </c>
      <c r="L37" s="3">
        <f>SCENARIO!L66</f>
        <v>0</v>
      </c>
      <c r="M37" s="3">
        <f>SCENARIO!M66</f>
        <v>0</v>
      </c>
      <c r="N37" s="3">
        <f>SCENARIO!N66</f>
        <v>0</v>
      </c>
      <c r="O37" s="3">
        <f>SCENARIO!O66</f>
        <v>0</v>
      </c>
      <c r="P37" s="3">
        <f>SCENARIO!P66</f>
        <v>0</v>
      </c>
      <c r="Q37" s="3">
        <f>SCENARIO!Q66</f>
        <v>0</v>
      </c>
    </row>
    <row r="38" spans="1:17">
      <c r="A38" s="4" t="s">
        <v>1790</v>
      </c>
      <c r="B38" s="2" t="s">
        <v>1815</v>
      </c>
      <c r="C38" s="4" t="str">
        <f>"4.  " &amp; 'MACRO DATA'!B58</f>
        <v xml:space="preserve">4.  Change in balances/other </v>
      </c>
      <c r="D38" s="3">
        <f>SCENARIO!D67</f>
        <v>-114</v>
      </c>
      <c r="E38" s="3">
        <f>SCENARIO!E67</f>
        <v>0</v>
      </c>
      <c r="F38" s="3">
        <f>SCENARIO!F67</f>
        <v>0</v>
      </c>
      <c r="G38" s="3">
        <f>SCENARIO!G67</f>
        <v>0</v>
      </c>
      <c r="H38" s="3">
        <f>SCENARIO!H67</f>
        <v>0</v>
      </c>
      <c r="I38" s="3">
        <f>SCENARIO!I67</f>
        <v>0</v>
      </c>
      <c r="J38" s="3">
        <f>SCENARIO!J67</f>
        <v>0</v>
      </c>
      <c r="K38" s="3">
        <f>SCENARIO!K67</f>
        <v>0</v>
      </c>
      <c r="L38" s="3">
        <f>SCENARIO!L67</f>
        <v>0</v>
      </c>
      <c r="M38" s="3">
        <f>SCENARIO!M67</f>
        <v>0</v>
      </c>
      <c r="N38" s="3">
        <f>SCENARIO!N67</f>
        <v>0</v>
      </c>
      <c r="O38" s="3">
        <f>SCENARIO!O67</f>
        <v>0</v>
      </c>
      <c r="P38" s="3">
        <f>SCENARIO!P67</f>
        <v>0</v>
      </c>
      <c r="Q38" s="3">
        <f>SCENARIO!Q67</f>
        <v>0</v>
      </c>
    </row>
    <row r="39" spans="1:17">
      <c r="A39" s="4" t="s">
        <v>1790</v>
      </c>
      <c r="B39" s="2" t="s">
        <v>1815</v>
      </c>
      <c r="C39" s="4" t="str">
        <f>"5.  " &amp; 'MACRO DATA'!B59</f>
        <v>5.  Payment of domestic arrears</v>
      </c>
      <c r="D39" s="3">
        <f>SCENARIO!D68</f>
        <v>-92</v>
      </c>
      <c r="E39" s="3">
        <f>SCENARIO!E68</f>
        <v>0</v>
      </c>
      <c r="F39" s="3">
        <f>SCENARIO!F68</f>
        <v>0</v>
      </c>
      <c r="G39" s="3">
        <f>SCENARIO!G68</f>
        <v>0</v>
      </c>
      <c r="H39" s="3">
        <f>SCENARIO!H68</f>
        <v>0</v>
      </c>
      <c r="I39" s="3">
        <f>SCENARIO!I68</f>
        <v>0</v>
      </c>
      <c r="J39" s="3">
        <f>SCENARIO!J68</f>
        <v>0</v>
      </c>
      <c r="K39" s="3">
        <f>SCENARIO!K68</f>
        <v>0</v>
      </c>
      <c r="L39" s="3">
        <f>SCENARIO!L68</f>
        <v>0</v>
      </c>
      <c r="M39" s="3">
        <f>SCENARIO!M68</f>
        <v>0</v>
      </c>
      <c r="N39" s="3">
        <f>SCENARIO!N68</f>
        <v>0</v>
      </c>
      <c r="O39" s="3">
        <f>SCENARIO!O68</f>
        <v>0</v>
      </c>
      <c r="P39" s="3">
        <f>SCENARIO!P68</f>
        <v>0</v>
      </c>
      <c r="Q39" s="3">
        <f>SCENARIO!Q68</f>
        <v>0</v>
      </c>
    </row>
    <row r="40" spans="1:17">
      <c r="A40" s="4" t="s">
        <v>1790</v>
      </c>
      <c r="B40" s="2" t="s">
        <v>1815</v>
      </c>
      <c r="C40" s="4" t="str">
        <f>"6.  " &amp; 'MACRO DATA'!B60</f>
        <v>6.  Domestic financing</v>
      </c>
      <c r="D40" s="3">
        <f>SCENARIO!D69</f>
        <v>177</v>
      </c>
      <c r="E40" s="3">
        <f>SCENARIO!E69</f>
        <v>-75</v>
      </c>
      <c r="F40" s="3">
        <f>SCENARIO!F69</f>
        <v>-171</v>
      </c>
      <c r="G40" s="3">
        <f>SCENARIO!G69</f>
        <v>-92</v>
      </c>
      <c r="H40" s="3">
        <f>SCENARIO!H69</f>
        <v>0</v>
      </c>
      <c r="I40" s="3">
        <f>SCENARIO!I69</f>
        <v>0</v>
      </c>
      <c r="J40" s="3">
        <f>SCENARIO!J69</f>
        <v>0</v>
      </c>
      <c r="K40" s="3">
        <f>SCENARIO!K69</f>
        <v>0</v>
      </c>
      <c r="L40" s="3">
        <f>SCENARIO!L69</f>
        <v>0</v>
      </c>
      <c r="M40" s="3">
        <f>SCENARIO!M69</f>
        <v>0</v>
      </c>
      <c r="N40" s="3">
        <f>SCENARIO!N69</f>
        <v>0</v>
      </c>
      <c r="O40" s="3">
        <f>SCENARIO!O69</f>
        <v>0</v>
      </c>
      <c r="P40" s="3">
        <f>SCENARIO!P69</f>
        <v>0</v>
      </c>
      <c r="Q40" s="3">
        <f>SCENARIO!Q69</f>
        <v>0</v>
      </c>
    </row>
    <row r="41" spans="1:17">
      <c r="A41" s="4" t="s">
        <v>1790</v>
      </c>
      <c r="B41" s="2" t="s">
        <v>1815</v>
      </c>
      <c r="C41" s="4" t="str">
        <f>"7.  " &amp; 'MACRO DATA'!B61</f>
        <v>7.        Bank</v>
      </c>
      <c r="D41" s="3">
        <f>SCENARIO!D70</f>
        <v>139</v>
      </c>
      <c r="E41" s="3">
        <f>SCENARIO!E70</f>
        <v>-100</v>
      </c>
      <c r="F41" s="3">
        <f>SCENARIO!F70</f>
        <v>-171</v>
      </c>
      <c r="G41" s="3">
        <f>SCENARIO!G70</f>
        <v>-92</v>
      </c>
      <c r="H41" s="3">
        <f>SCENARIO!H70</f>
        <v>0</v>
      </c>
      <c r="I41" s="3">
        <f>SCENARIO!I70</f>
        <v>0</v>
      </c>
      <c r="J41" s="3">
        <f>SCENARIO!J70</f>
        <v>0</v>
      </c>
      <c r="K41" s="3">
        <f>SCENARIO!K70</f>
        <v>0</v>
      </c>
      <c r="L41" s="3">
        <f>SCENARIO!L70</f>
        <v>0</v>
      </c>
      <c r="M41" s="3">
        <f>SCENARIO!M70</f>
        <v>0</v>
      </c>
      <c r="N41" s="3">
        <f>SCENARIO!N70</f>
        <v>0</v>
      </c>
      <c r="O41" s="3">
        <f>SCENARIO!O70</f>
        <v>0</v>
      </c>
      <c r="P41" s="3">
        <f>SCENARIO!P70</f>
        <v>0</v>
      </c>
      <c r="Q41" s="3">
        <f>SCENARIO!Q70</f>
        <v>0</v>
      </c>
    </row>
    <row r="42" spans="1:17">
      <c r="A42" s="4" t="s">
        <v>1790</v>
      </c>
      <c r="B42" s="2" t="s">
        <v>1815</v>
      </c>
      <c r="C42" s="4" t="str">
        <f>"8.  " &amp; 'MACRO DATA'!B62</f>
        <v>8.        Nonbank and others per RMSM (accrual)</v>
      </c>
      <c r="D42" s="3">
        <f>SCENARIO!D71</f>
        <v>38</v>
      </c>
      <c r="E42" s="3">
        <f>SCENARIO!E71</f>
        <v>25</v>
      </c>
      <c r="F42" s="3">
        <f>SCENARIO!F71</f>
        <v>0</v>
      </c>
      <c r="G42" s="3">
        <f>SCENARIO!G71</f>
        <v>0</v>
      </c>
      <c r="H42" s="3">
        <f>SCENARIO!H71</f>
        <v>0</v>
      </c>
      <c r="I42" s="3">
        <f>SCENARIO!I71</f>
        <v>0</v>
      </c>
      <c r="J42" s="3">
        <f>SCENARIO!J71</f>
        <v>0</v>
      </c>
      <c r="K42" s="3">
        <f>SCENARIO!K71</f>
        <v>0</v>
      </c>
      <c r="L42" s="3">
        <f>SCENARIO!L71</f>
        <v>0</v>
      </c>
      <c r="M42" s="3">
        <f>SCENARIO!M71</f>
        <v>0</v>
      </c>
      <c r="N42" s="3">
        <f>SCENARIO!N71</f>
        <v>0</v>
      </c>
      <c r="O42" s="3">
        <f>SCENARIO!O71</f>
        <v>0</v>
      </c>
      <c r="P42" s="3">
        <f>SCENARIO!P71</f>
        <v>0</v>
      </c>
      <c r="Q42" s="3">
        <f>SCENARIO!Q71</f>
        <v>0</v>
      </c>
    </row>
    <row r="43" spans="1:17">
      <c r="A43" s="4" t="s">
        <v>1790</v>
      </c>
      <c r="B43" s="2" t="s">
        <v>1815</v>
      </c>
      <c r="C43" s="4" t="str">
        <f>"9.  " &amp; 'MACRO DATA'!B63</f>
        <v>9.  External financing</v>
      </c>
      <c r="D43" s="3">
        <f>SCENARIO!D72</f>
        <v>531</v>
      </c>
      <c r="E43" s="3">
        <f>SCENARIO!E72</f>
        <v>722</v>
      </c>
      <c r="F43" s="3">
        <f>SCENARIO!F72</f>
        <v>-80</v>
      </c>
      <c r="G43" s="3">
        <f>SCENARIO!G72</f>
        <v>3</v>
      </c>
      <c r="H43" s="3">
        <f>SCENARIO!H72</f>
        <v>0</v>
      </c>
      <c r="I43" s="3">
        <f>SCENARIO!I72</f>
        <v>0</v>
      </c>
      <c r="J43" s="3">
        <f>SCENARIO!J72</f>
        <v>0</v>
      </c>
      <c r="K43" s="3">
        <f>SCENARIO!K72</f>
        <v>0</v>
      </c>
      <c r="L43" s="3">
        <f>SCENARIO!L72</f>
        <v>0</v>
      </c>
      <c r="M43" s="3">
        <f>SCENARIO!M72</f>
        <v>0</v>
      </c>
      <c r="N43" s="3">
        <f>SCENARIO!N72</f>
        <v>0</v>
      </c>
      <c r="O43" s="3">
        <f>SCENARIO!O72</f>
        <v>0</v>
      </c>
      <c r="P43" s="3">
        <f>SCENARIO!P72</f>
        <v>0</v>
      </c>
      <c r="Q43" s="3">
        <f>SCENARIO!Q72</f>
        <v>0</v>
      </c>
    </row>
    <row r="44" spans="1:17">
      <c r="A44" s="4" t="s">
        <v>1790</v>
      </c>
      <c r="B44" s="2" t="s">
        <v>1815</v>
      </c>
      <c r="C44" s="4" t="str">
        <f>"10." &amp; 'MACRO DATA'!B64</f>
        <v>10.      Program loans</v>
      </c>
      <c r="D44" s="3">
        <f>SCENARIO!D73</f>
        <v>479</v>
      </c>
      <c r="E44" s="3">
        <f>SCENARIO!E73</f>
        <v>447</v>
      </c>
      <c r="F44" s="3">
        <f>SCENARIO!F73</f>
        <v>0</v>
      </c>
      <c r="G44" s="3">
        <f>SCENARIO!G73</f>
        <v>0</v>
      </c>
      <c r="H44" s="3">
        <f>SCENARIO!H73</f>
        <v>0</v>
      </c>
      <c r="I44" s="3">
        <f>SCENARIO!I73</f>
        <v>0</v>
      </c>
      <c r="J44" s="3">
        <f>SCENARIO!J73</f>
        <v>0</v>
      </c>
      <c r="K44" s="3">
        <f>SCENARIO!K73</f>
        <v>0</v>
      </c>
      <c r="L44" s="3">
        <f>SCENARIO!L73</f>
        <v>0</v>
      </c>
      <c r="M44" s="3">
        <f>SCENARIO!M73</f>
        <v>0</v>
      </c>
      <c r="N44" s="3">
        <f>SCENARIO!N73</f>
        <v>0</v>
      </c>
      <c r="O44" s="3">
        <f>SCENARIO!O73</f>
        <v>0</v>
      </c>
      <c r="P44" s="3">
        <f>SCENARIO!P73</f>
        <v>0</v>
      </c>
      <c r="Q44" s="3">
        <f>SCENARIO!Q73</f>
        <v>0</v>
      </c>
    </row>
    <row r="45" spans="1:17">
      <c r="A45" s="4" t="s">
        <v>1790</v>
      </c>
      <c r="B45" s="2" t="s">
        <v>1815</v>
      </c>
      <c r="C45" s="4" t="str">
        <f>"11." &amp; 'MACRO DATA'!B65</f>
        <v>11.      Project loans</v>
      </c>
      <c r="D45" s="3">
        <f>SCENARIO!D74</f>
        <v>289</v>
      </c>
      <c r="E45" s="3">
        <f>SCENARIO!E74</f>
        <v>513</v>
      </c>
      <c r="F45" s="3">
        <f>SCENARIO!F74</f>
        <v>510</v>
      </c>
      <c r="G45" s="3">
        <f>SCENARIO!G74</f>
        <v>574</v>
      </c>
      <c r="H45" s="3">
        <f>SCENARIO!H74</f>
        <v>0</v>
      </c>
      <c r="I45" s="3">
        <f>SCENARIO!I74</f>
        <v>0</v>
      </c>
      <c r="J45" s="3">
        <f>SCENARIO!J74</f>
        <v>0</v>
      </c>
      <c r="K45" s="3">
        <f>SCENARIO!K74</f>
        <v>0</v>
      </c>
      <c r="L45" s="3">
        <f>SCENARIO!L74</f>
        <v>0</v>
      </c>
      <c r="M45" s="3">
        <f>SCENARIO!M74</f>
        <v>0</v>
      </c>
      <c r="N45" s="3">
        <f>SCENARIO!N74</f>
        <v>0</v>
      </c>
      <c r="O45" s="3">
        <f>SCENARIO!O74</f>
        <v>0</v>
      </c>
      <c r="P45" s="3">
        <f>SCENARIO!P74</f>
        <v>0</v>
      </c>
      <c r="Q45" s="3">
        <f>SCENARIO!Q74</f>
        <v>0</v>
      </c>
    </row>
    <row r="46" spans="1:17">
      <c r="A46" s="4" t="s">
        <v>1790</v>
      </c>
      <c r="B46" s="2" t="s">
        <v>1815</v>
      </c>
      <c r="C46" s="4" t="str">
        <f>"12." &amp; 'MACRO DATA'!B66</f>
        <v>12.      Amortization due</v>
      </c>
      <c r="D46" s="3">
        <f>SCENARIO!D75</f>
        <v>-237</v>
      </c>
      <c r="E46" s="3">
        <f>SCENARIO!E75</f>
        <v>-238</v>
      </c>
      <c r="F46" s="3">
        <f>SCENARIO!F75</f>
        <v>-590</v>
      </c>
      <c r="G46" s="3">
        <f>SCENARIO!G75</f>
        <v>-571</v>
      </c>
      <c r="H46" s="3">
        <f>SCENARIO!H75</f>
        <v>0</v>
      </c>
      <c r="I46" s="3">
        <f>SCENARIO!I75</f>
        <v>0</v>
      </c>
      <c r="J46" s="3">
        <f>SCENARIO!J75</f>
        <v>0</v>
      </c>
      <c r="K46" s="3">
        <f>SCENARIO!K75</f>
        <v>0</v>
      </c>
      <c r="L46" s="3">
        <f>SCENARIO!L75</f>
        <v>0</v>
      </c>
      <c r="M46" s="3">
        <f>SCENARIO!M75</f>
        <v>0</v>
      </c>
      <c r="N46" s="3">
        <f>SCENARIO!N75</f>
        <v>0</v>
      </c>
      <c r="O46" s="3">
        <f>SCENARIO!O75</f>
        <v>0</v>
      </c>
      <c r="P46" s="3">
        <f>SCENARIO!P75</f>
        <v>0</v>
      </c>
      <c r="Q46" s="3">
        <f>SCENARIO!Q75</f>
        <v>0</v>
      </c>
    </row>
    <row r="47" spans="1:17">
      <c r="A47" s="4" t="s">
        <v>1790</v>
      </c>
      <c r="B47" s="2" t="s">
        <v>1815</v>
      </c>
      <c r="C47" s="4" t="str">
        <f>"13." &amp; 'MACRO DATA'!B67</f>
        <v>13.Other fiscal financing</v>
      </c>
      <c r="D47" s="3">
        <f t="shared" ref="D47:J47" si="38">SUM(D48:D50)</f>
        <v>0</v>
      </c>
      <c r="E47" s="3">
        <f t="shared" si="38"/>
        <v>0</v>
      </c>
      <c r="F47" s="3">
        <f t="shared" si="38"/>
        <v>152.4934867993436</v>
      </c>
      <c r="G47" s="3">
        <f t="shared" si="38"/>
        <v>11.810142004623671</v>
      </c>
      <c r="H47" s="3" t="e">
        <f t="shared" si="38"/>
        <v>#VALUE!</v>
      </c>
      <c r="I47" s="3" t="e">
        <f t="shared" si="38"/>
        <v>#VALUE!</v>
      </c>
      <c r="J47" s="3" t="e">
        <f t="shared" si="38"/>
        <v>#VALUE!</v>
      </c>
      <c r="K47" s="3" t="e">
        <f t="shared" ref="K47:Q47" si="39">SUM(K48:K50)</f>
        <v>#VALUE!</v>
      </c>
      <c r="L47" s="3" t="e">
        <f t="shared" si="39"/>
        <v>#VALUE!</v>
      </c>
      <c r="M47" s="3" t="e">
        <f t="shared" si="39"/>
        <v>#VALUE!</v>
      </c>
      <c r="N47" s="3" t="e">
        <f t="shared" si="39"/>
        <v>#VALUE!</v>
      </c>
      <c r="O47" s="3" t="e">
        <f t="shared" si="39"/>
        <v>#VALUE!</v>
      </c>
      <c r="P47" s="3" t="e">
        <f t="shared" si="39"/>
        <v>#VALUE!</v>
      </c>
      <c r="Q47" s="3" t="e">
        <f t="shared" si="39"/>
        <v>#VALUE!</v>
      </c>
    </row>
    <row r="48" spans="1:17">
      <c r="A48" s="4" t="s">
        <v>1790</v>
      </c>
      <c r="B48" s="2" t="s">
        <v>1815</v>
      </c>
      <c r="C48" s="4" t="str">
        <f>"14." &amp; 'MACRO DATA'!B68</f>
        <v>14.       source 1</v>
      </c>
      <c r="D48" s="3">
        <f>SCENARIO!D77</f>
        <v>0</v>
      </c>
      <c r="E48" s="3">
        <f>SCENARIO!E77</f>
        <v>0</v>
      </c>
      <c r="F48" s="3">
        <f>SCENARIO!F77</f>
        <v>152.4934867993436</v>
      </c>
      <c r="G48" s="3">
        <f>SCENARIO!G77</f>
        <v>11.810142004623671</v>
      </c>
      <c r="H48" s="3" t="e">
        <f>SCENARIO!H77</f>
        <v>#VALUE!</v>
      </c>
      <c r="I48" s="3" t="e">
        <f>SCENARIO!I77</f>
        <v>#VALUE!</v>
      </c>
      <c r="J48" s="3" t="e">
        <f>SCENARIO!J77</f>
        <v>#VALUE!</v>
      </c>
      <c r="K48" s="3" t="e">
        <f>SCENARIO!K77</f>
        <v>#VALUE!</v>
      </c>
      <c r="L48" s="3" t="e">
        <f>SCENARIO!L77</f>
        <v>#VALUE!</v>
      </c>
      <c r="M48" s="3" t="e">
        <f>SCENARIO!M77</f>
        <v>#VALUE!</v>
      </c>
      <c r="N48" s="3" t="e">
        <f>SCENARIO!N77</f>
        <v>#VALUE!</v>
      </c>
      <c r="O48" s="3" t="e">
        <f>SCENARIO!O77</f>
        <v>#VALUE!</v>
      </c>
      <c r="P48" s="3" t="e">
        <f>SCENARIO!P77</f>
        <v>#VALUE!</v>
      </c>
      <c r="Q48" s="3" t="e">
        <f>SCENARIO!Q77</f>
        <v>#VALUE!</v>
      </c>
    </row>
    <row r="49" spans="1:17">
      <c r="A49" s="4" t="s">
        <v>1790</v>
      </c>
      <c r="B49" s="2" t="s">
        <v>1815</v>
      </c>
      <c r="C49" s="4" t="str">
        <f>"15." &amp; 'MACRO DATA'!B69</f>
        <v>15.       source 2</v>
      </c>
      <c r="D49" s="3">
        <f>SCENARIO!D78</f>
        <v>0</v>
      </c>
      <c r="E49" s="3">
        <f>SCENARIO!E78</f>
        <v>0</v>
      </c>
      <c r="F49" s="3">
        <f>SCENARIO!F78</f>
        <v>0</v>
      </c>
      <c r="G49" s="3">
        <f>SCENARIO!G78</f>
        <v>0</v>
      </c>
      <c r="H49" s="3">
        <f>SCENARIO!H78</f>
        <v>0</v>
      </c>
      <c r="I49" s="3">
        <f>SCENARIO!I78</f>
        <v>0</v>
      </c>
      <c r="J49" s="3">
        <f>SCENARIO!J78</f>
        <v>0</v>
      </c>
      <c r="K49" s="3">
        <f>SCENARIO!K78</f>
        <v>0</v>
      </c>
      <c r="L49" s="3">
        <f>SCENARIO!L78</f>
        <v>0</v>
      </c>
      <c r="M49" s="3">
        <f>SCENARIO!M78</f>
        <v>0</v>
      </c>
      <c r="N49" s="3">
        <f>SCENARIO!N78</f>
        <v>0</v>
      </c>
      <c r="O49" s="3">
        <f>SCENARIO!O78</f>
        <v>0</v>
      </c>
      <c r="P49" s="3">
        <f>SCENARIO!P78</f>
        <v>0</v>
      </c>
      <c r="Q49" s="3">
        <f>SCENARIO!Q78</f>
        <v>0</v>
      </c>
    </row>
    <row r="50" spans="1:17">
      <c r="A50" s="4" t="s">
        <v>1790</v>
      </c>
      <c r="B50" s="2" t="s">
        <v>1815</v>
      </c>
      <c r="C50" s="4" t="str">
        <f>"16." &amp; 'MACRO DATA'!B70</f>
        <v>16.       source 3</v>
      </c>
      <c r="D50" s="3">
        <f>SCENARIO!D79</f>
        <v>0</v>
      </c>
      <c r="E50" s="3">
        <f>SCENARIO!E79</f>
        <v>0</v>
      </c>
      <c r="F50" s="3">
        <f>SCENARIO!F79</f>
        <v>0</v>
      </c>
      <c r="G50" s="3">
        <f>SCENARIO!G79</f>
        <v>0</v>
      </c>
      <c r="H50" s="3">
        <f>SCENARIO!H79</f>
        <v>0</v>
      </c>
      <c r="I50" s="3">
        <f>SCENARIO!I79</f>
        <v>0</v>
      </c>
      <c r="J50" s="3">
        <f>SCENARIO!J79</f>
        <v>0</v>
      </c>
      <c r="K50" s="3">
        <f>SCENARIO!K79</f>
        <v>0</v>
      </c>
      <c r="L50" s="3">
        <f>SCENARIO!L79</f>
        <v>0</v>
      </c>
      <c r="M50" s="3">
        <f>SCENARIO!M79</f>
        <v>0</v>
      </c>
      <c r="N50" s="3">
        <f>SCENARIO!N79</f>
        <v>0</v>
      </c>
      <c r="O50" s="3">
        <f>SCENARIO!O79</f>
        <v>0</v>
      </c>
      <c r="P50" s="3">
        <f>SCENARIO!P79</f>
        <v>0</v>
      </c>
      <c r="Q50" s="3">
        <f>SCENARIO!Q79</f>
        <v>0</v>
      </c>
    </row>
    <row r="51" spans="1:17">
      <c r="A51" s="4" t="s">
        <v>1790</v>
      </c>
      <c r="B51" s="2" t="s">
        <v>1815</v>
      </c>
      <c r="C51" s="4" t="str">
        <f>"17." &amp; 'MACRO DATA'!B71</f>
        <v>17.Financing gap= actual gap+(payments of dom. Arr. +changes in balances)</v>
      </c>
      <c r="D51" s="3" t="str">
        <f>SCENARIO!D80</f>
        <v xml:space="preserve"> </v>
      </c>
      <c r="E51" s="102">
        <f t="shared" ref="E51:J51" si="40">E50/E64</f>
        <v>0</v>
      </c>
      <c r="F51" s="102">
        <f t="shared" si="40"/>
        <v>0</v>
      </c>
      <c r="G51" s="102">
        <f t="shared" si="40"/>
        <v>0</v>
      </c>
      <c r="H51" s="102" t="e">
        <f t="shared" si="40"/>
        <v>#VALUE!</v>
      </c>
      <c r="I51" s="102" t="e">
        <f t="shared" si="40"/>
        <v>#VALUE!</v>
      </c>
      <c r="J51" s="102" t="e">
        <f t="shared" si="40"/>
        <v>#VALUE!</v>
      </c>
      <c r="K51" s="102" t="e">
        <f t="shared" ref="K51:Q51" si="41">K50/K64</f>
        <v>#VALUE!</v>
      </c>
      <c r="L51" s="102" t="e">
        <f t="shared" si="41"/>
        <v>#VALUE!</v>
      </c>
      <c r="M51" s="102" t="e">
        <f t="shared" si="41"/>
        <v>#VALUE!</v>
      </c>
      <c r="N51" s="102" t="e">
        <f t="shared" si="41"/>
        <v>#VALUE!</v>
      </c>
      <c r="O51" s="102" t="e">
        <f t="shared" si="41"/>
        <v>#VALUE!</v>
      </c>
      <c r="P51" s="102" t="e">
        <f t="shared" si="41"/>
        <v>#VALUE!</v>
      </c>
      <c r="Q51" s="102" t="e">
        <f t="shared" si="41"/>
        <v>#VALUE!</v>
      </c>
    </row>
    <row r="52" spans="1:17">
      <c r="A52" s="2" t="s">
        <v>1523</v>
      </c>
      <c r="B52" s="2" t="s">
        <v>1816</v>
      </c>
      <c r="C52" s="2" t="s">
        <v>1817</v>
      </c>
      <c r="D52" s="45">
        <f>SCENARIO!D4</f>
        <v>3.5999999999999997E-2</v>
      </c>
      <c r="E52" s="45">
        <f>SCENARIO!E4</f>
        <v>4.3227519678949194E-2</v>
      </c>
      <c r="F52" s="45">
        <f>SCENARIO!F4</f>
        <v>3.7790259229561786E-2</v>
      </c>
      <c r="G52" s="45">
        <f>SCENARIO!G4</f>
        <v>4.0641904976608974E-2</v>
      </c>
      <c r="H52" s="45" t="e">
        <f>SCENARIO!H4</f>
        <v>#VALUE!</v>
      </c>
      <c r="I52" s="45" t="e">
        <f>SCENARIO!I4</f>
        <v>#VALUE!</v>
      </c>
      <c r="J52" s="45" t="e">
        <f>SCENARIO!J4</f>
        <v>#VALUE!</v>
      </c>
      <c r="K52" s="45" t="e">
        <f>SCENARIO!K4</f>
        <v>#VALUE!</v>
      </c>
      <c r="L52" s="45" t="e">
        <f>SCENARIO!L4</f>
        <v>#VALUE!</v>
      </c>
      <c r="M52" s="45" t="e">
        <f>SCENARIO!M4</f>
        <v>#VALUE!</v>
      </c>
      <c r="N52" s="45" t="e">
        <f>SCENARIO!N4</f>
        <v>#VALUE!</v>
      </c>
      <c r="O52" s="45" t="e">
        <f>SCENARIO!O4</f>
        <v>#VALUE!</v>
      </c>
      <c r="P52" s="45" t="e">
        <f>SCENARIO!P4</f>
        <v>#VALUE!</v>
      </c>
      <c r="Q52" s="45" t="e">
        <f>SCENARIO!Q4</f>
        <v>#VALUE!</v>
      </c>
    </row>
    <row r="53" spans="1:17">
      <c r="A53" s="2" t="s">
        <v>1523</v>
      </c>
      <c r="B53" s="2" t="s">
        <v>1816</v>
      </c>
      <c r="C53" s="2" t="s">
        <v>1818</v>
      </c>
      <c r="D53" s="45">
        <f>'MACRO DATA'!D10</f>
        <v>0.27900000000000003</v>
      </c>
      <c r="E53" s="45">
        <f>'1-2-3'!J81/'1-2-3'!I81-1</f>
        <v>0.24900000000000011</v>
      </c>
      <c r="F53" s="45">
        <f>'1-2-3'!K81/'1-2-3'!J81-1</f>
        <v>0.17199999999999993</v>
      </c>
      <c r="G53" s="45">
        <f>'1-2-3'!L81/'1-2-3'!K81-1</f>
        <v>0.13299999999999979</v>
      </c>
      <c r="H53" s="45">
        <f>'1-2-3'!M81/'1-2-3'!L81-1</f>
        <v>-1</v>
      </c>
      <c r="I53" s="45" t="e">
        <f>'1-2-3'!N81/'1-2-3'!M81-1</f>
        <v>#DIV/0!</v>
      </c>
      <c r="J53" s="45" t="e">
        <f>'1-2-3'!O81/'1-2-3'!N81-1</f>
        <v>#DIV/0!</v>
      </c>
      <c r="K53" s="45" t="e">
        <f>'1-2-3'!P81/'1-2-3'!O81-1</f>
        <v>#DIV/0!</v>
      </c>
      <c r="L53" s="45" t="e">
        <f>'1-2-3'!Q81/'1-2-3'!P81-1</f>
        <v>#DIV/0!</v>
      </c>
      <c r="M53" s="45" t="e">
        <f>'1-2-3'!R81/'1-2-3'!Q81-1</f>
        <v>#DIV/0!</v>
      </c>
      <c r="N53" s="45" t="e">
        <f>'1-2-3'!S81/'1-2-3'!R81-1</f>
        <v>#DIV/0!</v>
      </c>
      <c r="O53" s="45" t="e">
        <f>'1-2-3'!T81/'1-2-3'!S81-1</f>
        <v>#DIV/0!</v>
      </c>
      <c r="P53" s="45" t="e">
        <f>'1-2-3'!U81/'1-2-3'!T81-1</f>
        <v>#DIV/0!</v>
      </c>
      <c r="Q53" s="45" t="e">
        <f>'1-2-3'!V81/'1-2-3'!U81-1</f>
        <v>#DIV/0!</v>
      </c>
    </row>
    <row r="54" spans="1:17">
      <c r="A54" s="2" t="s">
        <v>1523</v>
      </c>
      <c r="B54" s="20" t="s">
        <v>1819</v>
      </c>
      <c r="C54" s="18" t="s">
        <v>1446</v>
      </c>
      <c r="D54" s="3">
        <f>'1-2-3'!I13*'1-2-3'!I14*scale</f>
        <v>8038</v>
      </c>
      <c r="E54" s="3">
        <f>'1-2-3'!J13*'1-2-3'!J14*scale</f>
        <v>10473.443041171064</v>
      </c>
      <c r="F54" s="3">
        <f>'1-2-3'!K13*'1-2-3'!K14*scale</f>
        <v>12738.74596174332</v>
      </c>
      <c r="G54" s="3">
        <f>'1-2-3'!L13*'1-2-3'!L14*scale</f>
        <v>15019.583755638991</v>
      </c>
      <c r="H54" s="3" t="e">
        <f>'1-2-3'!M13*'1-2-3'!M14*scale</f>
        <v>#VALUE!</v>
      </c>
      <c r="I54" s="3" t="e">
        <f>'1-2-3'!N13*'1-2-3'!N14*scale</f>
        <v>#VALUE!</v>
      </c>
      <c r="J54" s="3" t="e">
        <f>'1-2-3'!O13*'1-2-3'!O14*scale</f>
        <v>#VALUE!</v>
      </c>
      <c r="K54" s="3" t="e">
        <f>'1-2-3'!P13*'1-2-3'!P14*scale</f>
        <v>#VALUE!</v>
      </c>
      <c r="L54" s="3" t="e">
        <f>'1-2-3'!Q13*'1-2-3'!Q14*scale</f>
        <v>#VALUE!</v>
      </c>
      <c r="M54" s="3" t="e">
        <f>'1-2-3'!R13*'1-2-3'!R14*scale</f>
        <v>#VALUE!</v>
      </c>
      <c r="N54" s="3" t="e">
        <f>'1-2-3'!S13*'1-2-3'!S14*scale</f>
        <v>#VALUE!</v>
      </c>
      <c r="O54" s="3" t="e">
        <f>'1-2-3'!T13*'1-2-3'!T14*scale</f>
        <v>#VALUE!</v>
      </c>
      <c r="P54" s="3" t="e">
        <f>'1-2-3'!U13*'1-2-3'!U14*scale</f>
        <v>#VALUE!</v>
      </c>
      <c r="Q54" s="3" t="e">
        <f>'1-2-3'!V13*'1-2-3'!V14*scale</f>
        <v>#VALUE!</v>
      </c>
    </row>
    <row r="55" spans="1:17">
      <c r="A55" s="2" t="s">
        <v>1523</v>
      </c>
      <c r="B55" s="20" t="s">
        <v>1819</v>
      </c>
      <c r="C55" s="18" t="s">
        <v>1445</v>
      </c>
      <c r="D55" s="3">
        <f t="shared" ref="D55:I55" si="42">D9+D10+D11-D18-D19</f>
        <v>1016.9999956444127</v>
      </c>
      <c r="E55" s="3">
        <f>E9+E10+E11-E18-E19</f>
        <v>1204.3101302160283</v>
      </c>
      <c r="F55" s="3">
        <f t="shared" si="42"/>
        <v>1535.1513729850603</v>
      </c>
      <c r="G55" s="3">
        <f t="shared" si="42"/>
        <v>1829.4644603807574</v>
      </c>
      <c r="H55" s="3" t="e">
        <f t="shared" si="42"/>
        <v>#VALUE!</v>
      </c>
      <c r="I55" s="3" t="e">
        <f t="shared" si="42"/>
        <v>#VALUE!</v>
      </c>
      <c r="J55" s="3" t="e">
        <f>J9+J10+J11-J18-J19</f>
        <v>#VALUE!</v>
      </c>
      <c r="K55" s="3" t="e">
        <f t="shared" ref="K55:Q55" si="43">K9+K10+K11-K18-K19</f>
        <v>#VALUE!</v>
      </c>
      <c r="L55" s="3" t="e">
        <f t="shared" si="43"/>
        <v>#VALUE!</v>
      </c>
      <c r="M55" s="3" t="e">
        <f t="shared" si="43"/>
        <v>#VALUE!</v>
      </c>
      <c r="N55" s="3" t="e">
        <f t="shared" si="43"/>
        <v>#VALUE!</v>
      </c>
      <c r="O55" s="3" t="e">
        <f t="shared" si="43"/>
        <v>#VALUE!</v>
      </c>
      <c r="P55" s="3" t="e">
        <f t="shared" si="43"/>
        <v>#VALUE!</v>
      </c>
      <c r="Q55" s="3" t="e">
        <f t="shared" si="43"/>
        <v>#VALUE!</v>
      </c>
    </row>
    <row r="56" spans="1:17">
      <c r="A56" s="2" t="s">
        <v>1523</v>
      </c>
      <c r="B56" s="20" t="s">
        <v>1819</v>
      </c>
      <c r="C56" s="18" t="s">
        <v>1439</v>
      </c>
      <c r="D56" s="3">
        <f t="shared" ref="D56:I56" si="44">D54+D55</f>
        <v>9054.9999956444135</v>
      </c>
      <c r="E56" s="3">
        <f t="shared" si="44"/>
        <v>11677.753171387092</v>
      </c>
      <c r="F56" s="3">
        <f t="shared" si="44"/>
        <v>14273.897334728379</v>
      </c>
      <c r="G56" s="3">
        <f t="shared" si="44"/>
        <v>16849.04821601975</v>
      </c>
      <c r="H56" s="3" t="e">
        <f t="shared" si="44"/>
        <v>#VALUE!</v>
      </c>
      <c r="I56" s="3" t="e">
        <f t="shared" si="44"/>
        <v>#VALUE!</v>
      </c>
      <c r="J56" s="3" t="e">
        <f>J54+J55</f>
        <v>#VALUE!</v>
      </c>
      <c r="K56" s="3" t="e">
        <f t="shared" ref="K56:Q56" si="45">K54+K55</f>
        <v>#VALUE!</v>
      </c>
      <c r="L56" s="3" t="e">
        <f t="shared" si="45"/>
        <v>#VALUE!</v>
      </c>
      <c r="M56" s="3" t="e">
        <f t="shared" si="45"/>
        <v>#VALUE!</v>
      </c>
      <c r="N56" s="3" t="e">
        <f t="shared" si="45"/>
        <v>#VALUE!</v>
      </c>
      <c r="O56" s="3" t="e">
        <f t="shared" si="45"/>
        <v>#VALUE!</v>
      </c>
      <c r="P56" s="3" t="e">
        <f t="shared" si="45"/>
        <v>#VALUE!</v>
      </c>
      <c r="Q56" s="3" t="e">
        <f t="shared" si="45"/>
        <v>#VALUE!</v>
      </c>
    </row>
    <row r="57" spans="1:17">
      <c r="A57" s="2" t="s">
        <v>1523</v>
      </c>
      <c r="B57" s="20" t="s">
        <v>1819</v>
      </c>
      <c r="C57" s="18" t="s">
        <v>1440</v>
      </c>
      <c r="D57" s="3">
        <f t="shared" ref="D57:I57" si="46">D56-D58-D59-D61+D62</f>
        <v>7865.2766310930147</v>
      </c>
      <c r="E57" s="3">
        <f t="shared" si="46"/>
        <v>10654.346376676414</v>
      </c>
      <c r="F57" s="3">
        <f t="shared" si="46"/>
        <v>13095.706311053505</v>
      </c>
      <c r="G57" s="3">
        <f t="shared" si="46"/>
        <v>14812.586023371439</v>
      </c>
      <c r="H57" s="3" t="e">
        <f t="shared" si="46"/>
        <v>#VALUE!</v>
      </c>
      <c r="I57" s="3" t="e">
        <f t="shared" si="46"/>
        <v>#VALUE!</v>
      </c>
      <c r="J57" s="3" t="e">
        <f>J56-J58-J59-J61+J62</f>
        <v>#VALUE!</v>
      </c>
      <c r="K57" s="3" t="e">
        <f t="shared" ref="K57:Q57" si="47">K56-K58-K59-K61+K62</f>
        <v>#VALUE!</v>
      </c>
      <c r="L57" s="3" t="e">
        <f t="shared" si="47"/>
        <v>#VALUE!</v>
      </c>
      <c r="M57" s="3" t="e">
        <f t="shared" si="47"/>
        <v>#VALUE!</v>
      </c>
      <c r="N57" s="3" t="e">
        <f t="shared" si="47"/>
        <v>#VALUE!</v>
      </c>
      <c r="O57" s="3" t="e">
        <f t="shared" si="47"/>
        <v>#VALUE!</v>
      </c>
      <c r="P57" s="3" t="e">
        <f t="shared" si="47"/>
        <v>#VALUE!</v>
      </c>
      <c r="Q57" s="3" t="e">
        <f t="shared" si="47"/>
        <v>#VALUE!</v>
      </c>
    </row>
    <row r="58" spans="1:17">
      <c r="A58" s="2" t="s">
        <v>1523</v>
      </c>
      <c r="B58" s="20" t="s">
        <v>1819</v>
      </c>
      <c r="C58" s="18" t="s">
        <v>1441</v>
      </c>
      <c r="D58" s="3">
        <f>'1-2-3'!I22*'1-2-3'!I60*scale</f>
        <v>912.99998809297188</v>
      </c>
      <c r="E58" s="3">
        <f>'1-2-3'!J22*'1-2-3'!J60*scale</f>
        <v>1327.7656107553712</v>
      </c>
      <c r="F58" s="3">
        <f>'1-2-3'!K22*'1-2-3'!K60*scale</f>
        <v>1688.0749793165983</v>
      </c>
      <c r="G58" s="3">
        <f>'1-2-3'!L22*'1-2-3'!L60*scale</f>
        <v>1993.6707434045018</v>
      </c>
      <c r="H58" s="3" t="e">
        <f>'1-2-3'!M22*'1-2-3'!M60*scale</f>
        <v>#VALUE!</v>
      </c>
      <c r="I58" s="3" t="e">
        <f>'1-2-3'!N22*'1-2-3'!N60*scale</f>
        <v>#VALUE!</v>
      </c>
      <c r="J58" s="3" t="e">
        <f>'1-2-3'!O22*'1-2-3'!O60*scale</f>
        <v>#VALUE!</v>
      </c>
      <c r="K58" s="3" t="e">
        <f>'1-2-3'!P22*'1-2-3'!P60*scale</f>
        <v>#VALUE!</v>
      </c>
      <c r="L58" s="3" t="e">
        <f>'1-2-3'!Q22*'1-2-3'!Q60*scale</f>
        <v>#VALUE!</v>
      </c>
      <c r="M58" s="3" t="e">
        <f>'1-2-3'!R22*'1-2-3'!R60*scale</f>
        <v>#VALUE!</v>
      </c>
      <c r="N58" s="3" t="e">
        <f>'1-2-3'!S22*'1-2-3'!S60*scale</f>
        <v>#VALUE!</v>
      </c>
      <c r="O58" s="3" t="e">
        <f>'1-2-3'!T22*'1-2-3'!T60*scale</f>
        <v>#VALUE!</v>
      </c>
      <c r="P58" s="3" t="e">
        <f>'1-2-3'!U22*'1-2-3'!U60*scale</f>
        <v>#VALUE!</v>
      </c>
      <c r="Q58" s="3" t="e">
        <f>'1-2-3'!V22*'1-2-3'!V60*scale</f>
        <v>#VALUE!</v>
      </c>
    </row>
    <row r="59" spans="1:17">
      <c r="A59" s="2" t="s">
        <v>1523</v>
      </c>
      <c r="B59" s="20" t="s">
        <v>1819</v>
      </c>
      <c r="C59" s="18" t="s">
        <v>1442</v>
      </c>
      <c r="D59" s="3">
        <f>'1-2-3'!I65*'1-2-3'!I60*scale</f>
        <v>1654.807776458428</v>
      </c>
      <c r="E59" s="3">
        <f>'1-2-3'!J65*'1-2-3'!J60*scale</f>
        <v>1688.8458435552723</v>
      </c>
      <c r="F59" s="3">
        <f>'1-2-3'!K65*'1-2-3'!K60*scale</f>
        <v>1644.0048597134303</v>
      </c>
      <c r="G59" s="3">
        <f>'1-2-3'!L65*'1-2-3'!L60*scale</f>
        <v>2349.0052852385397</v>
      </c>
      <c r="H59" s="3">
        <f>'1-2-3'!M65*'1-2-3'!M60*scale</f>
        <v>0</v>
      </c>
      <c r="I59" s="3">
        <f>'1-2-3'!N65*'1-2-3'!N60*scale</f>
        <v>0</v>
      </c>
      <c r="J59" s="3">
        <f>'1-2-3'!O65*'1-2-3'!O60*scale</f>
        <v>0</v>
      </c>
      <c r="K59" s="3">
        <f>'1-2-3'!P65*'1-2-3'!P60*scale</f>
        <v>0</v>
      </c>
      <c r="L59" s="3">
        <f>'1-2-3'!Q65*'1-2-3'!Q60*scale</f>
        <v>0</v>
      </c>
      <c r="M59" s="3">
        <f>'1-2-3'!R65*'1-2-3'!R60*scale</f>
        <v>0</v>
      </c>
      <c r="N59" s="3">
        <f>'1-2-3'!S65*'1-2-3'!S60*scale</f>
        <v>0</v>
      </c>
      <c r="O59" s="3">
        <f>'1-2-3'!T65*'1-2-3'!T60*scale</f>
        <v>0</v>
      </c>
      <c r="P59" s="3">
        <f>'1-2-3'!U65*'1-2-3'!U60*scale</f>
        <v>0</v>
      </c>
      <c r="Q59" s="3">
        <f>'1-2-3'!V65*'1-2-3'!V60*scale</f>
        <v>0</v>
      </c>
    </row>
    <row r="60" spans="1:17">
      <c r="A60" s="2" t="s">
        <v>1523</v>
      </c>
      <c r="B60" s="20" t="s">
        <v>1819</v>
      </c>
      <c r="C60" s="18" t="s">
        <v>1820</v>
      </c>
      <c r="D60" s="3">
        <f t="shared" ref="D60:I60" si="48">D25</f>
        <v>1009.0000000000001</v>
      </c>
      <c r="E60" s="3">
        <f>E25</f>
        <v>1649.0000000000002</v>
      </c>
      <c r="F60" s="3">
        <f t="shared" si="48"/>
        <v>1938.0000000000005</v>
      </c>
      <c r="G60" s="3">
        <f t="shared" si="48"/>
        <v>2210.0000000000005</v>
      </c>
      <c r="H60" s="3" t="e">
        <f t="shared" si="48"/>
        <v>#VALUE!</v>
      </c>
      <c r="I60" s="3" t="e">
        <f t="shared" si="48"/>
        <v>#VALUE!</v>
      </c>
      <c r="J60" s="3" t="e">
        <f>J25</f>
        <v>#VALUE!</v>
      </c>
      <c r="K60" s="3" t="e">
        <f t="shared" ref="K60:Q60" si="49">K25</f>
        <v>#VALUE!</v>
      </c>
      <c r="L60" s="3" t="e">
        <f t="shared" si="49"/>
        <v>#VALUE!</v>
      </c>
      <c r="M60" s="3" t="e">
        <f t="shared" si="49"/>
        <v>#VALUE!</v>
      </c>
      <c r="N60" s="3" t="e">
        <f t="shared" si="49"/>
        <v>#VALUE!</v>
      </c>
      <c r="O60" s="3" t="e">
        <f t="shared" si="49"/>
        <v>#VALUE!</v>
      </c>
      <c r="P60" s="3" t="e">
        <f t="shared" si="49"/>
        <v>#VALUE!</v>
      </c>
      <c r="Q60" s="3" t="e">
        <f t="shared" si="49"/>
        <v>#VALUE!</v>
      </c>
    </row>
    <row r="61" spans="1:17">
      <c r="A61" s="2" t="s">
        <v>1523</v>
      </c>
      <c r="B61" s="20" t="s">
        <v>1819</v>
      </c>
      <c r="C61" s="18" t="s">
        <v>1443</v>
      </c>
      <c r="D61" s="3">
        <f>'1-2-3'!I49*'1-2-3'!I36*'1-2-3'!I34*scale</f>
        <v>2768.61203217088</v>
      </c>
      <c r="E61" s="3">
        <f>'1-2-3'!J49*'1-2-3'!J36*'1-2-3'!J34*scale</f>
        <v>3874.0004279882082</v>
      </c>
      <c r="F61" s="3">
        <f>'1-2-3'!K49*'1-2-3'!K36*'1-2-3'!K34*scale</f>
        <v>4463.1095227378328</v>
      </c>
      <c r="G61" s="3">
        <f>'1-2-3'!L49*'1-2-3'!L36*'1-2-3'!L34*scale</f>
        <v>5365.281091970649</v>
      </c>
      <c r="H61" s="3" t="e">
        <f>'1-2-3'!M49*'1-2-3'!M36*'1-2-3'!M34*scale</f>
        <v>#VALUE!</v>
      </c>
      <c r="I61" s="3" t="e">
        <f>'1-2-3'!N49*'1-2-3'!N36*'1-2-3'!N34*scale</f>
        <v>#VALUE!</v>
      </c>
      <c r="J61" s="3" t="e">
        <f>'1-2-3'!O49*'1-2-3'!O36*'1-2-3'!O34*scale</f>
        <v>#VALUE!</v>
      </c>
      <c r="K61" s="3" t="e">
        <f>'1-2-3'!P49*'1-2-3'!P36*'1-2-3'!P34*scale</f>
        <v>#VALUE!</v>
      </c>
      <c r="L61" s="3" t="e">
        <f>'1-2-3'!Q49*'1-2-3'!Q36*'1-2-3'!Q34*scale</f>
        <v>#VALUE!</v>
      </c>
      <c r="M61" s="3" t="e">
        <f>'1-2-3'!R49*'1-2-3'!R36*'1-2-3'!R34*scale</f>
        <v>#VALUE!</v>
      </c>
      <c r="N61" s="3" t="e">
        <f>'1-2-3'!S49*'1-2-3'!S36*'1-2-3'!S34*scale</f>
        <v>#VALUE!</v>
      </c>
      <c r="O61" s="3" t="e">
        <f>'1-2-3'!T49*'1-2-3'!T36*'1-2-3'!T34*scale</f>
        <v>#VALUE!</v>
      </c>
      <c r="P61" s="3" t="e">
        <f>'1-2-3'!U49*'1-2-3'!U36*'1-2-3'!U34*scale</f>
        <v>#VALUE!</v>
      </c>
      <c r="Q61" s="3" t="e">
        <f>'1-2-3'!V49*'1-2-3'!V36*'1-2-3'!V34*scale</f>
        <v>#VALUE!</v>
      </c>
    </row>
    <row r="62" spans="1:17">
      <c r="A62" s="2" t="s">
        <v>1523</v>
      </c>
      <c r="B62" s="20" t="s">
        <v>1819</v>
      </c>
      <c r="C62" s="18" t="s">
        <v>1444</v>
      </c>
      <c r="D62" s="3">
        <f>'1-2-3'!I50*'1-2-3'!I35*'1-2-3'!I34*scale</f>
        <v>4146.6964321708801</v>
      </c>
      <c r="E62" s="3">
        <f>'1-2-3'!J50*'1-2-3'!J35*'1-2-3'!J34*scale</f>
        <v>5867.205087588175</v>
      </c>
      <c r="F62" s="3">
        <f>'1-2-3'!K50*'1-2-3'!K35*'1-2-3'!K34*scale</f>
        <v>6616.998338092988</v>
      </c>
      <c r="G62" s="3">
        <f>'1-2-3'!L50*'1-2-3'!L35*'1-2-3'!L34*scale</f>
        <v>7671.4949279653802</v>
      </c>
      <c r="H62" s="3" t="e">
        <f>'1-2-3'!M50*'1-2-3'!M35*'1-2-3'!M34*scale</f>
        <v>#VALUE!</v>
      </c>
      <c r="I62" s="3" t="e">
        <f>'1-2-3'!N50*'1-2-3'!N35*'1-2-3'!N34*scale</f>
        <v>#VALUE!</v>
      </c>
      <c r="J62" s="3" t="e">
        <f>'1-2-3'!O50*'1-2-3'!O35*'1-2-3'!O34*scale</f>
        <v>#VALUE!</v>
      </c>
      <c r="K62" s="3" t="e">
        <f>'1-2-3'!P50*'1-2-3'!P35*'1-2-3'!P34*scale</f>
        <v>#VALUE!</v>
      </c>
      <c r="L62" s="3" t="e">
        <f>'1-2-3'!Q50*'1-2-3'!Q35*'1-2-3'!Q34*scale</f>
        <v>#VALUE!</v>
      </c>
      <c r="M62" s="3" t="e">
        <f>'1-2-3'!R50*'1-2-3'!R35*'1-2-3'!R34*scale</f>
        <v>#VALUE!</v>
      </c>
      <c r="N62" s="3" t="e">
        <f>'1-2-3'!S50*'1-2-3'!S35*'1-2-3'!S34*scale</f>
        <v>#VALUE!</v>
      </c>
      <c r="O62" s="3" t="e">
        <f>'1-2-3'!T50*'1-2-3'!T35*'1-2-3'!T34*scale</f>
        <v>#VALUE!</v>
      </c>
      <c r="P62" s="3" t="e">
        <f>'1-2-3'!U50*'1-2-3'!U35*'1-2-3'!U34*scale</f>
        <v>#VALUE!</v>
      </c>
      <c r="Q62" s="3" t="e">
        <f>'1-2-3'!V50*'1-2-3'!V35*'1-2-3'!V34*scale</f>
        <v>#VALUE!</v>
      </c>
    </row>
    <row r="63" spans="1:17">
      <c r="A63" s="2" t="s">
        <v>1523</v>
      </c>
      <c r="B63" s="20" t="s">
        <v>1819</v>
      </c>
      <c r="C63" s="19" t="s">
        <v>1478</v>
      </c>
      <c r="D63" s="3">
        <f t="shared" ref="D63:I63" si="50">D61-D62</f>
        <v>-1378.0844000000002</v>
      </c>
      <c r="E63" s="3">
        <f t="shared" si="50"/>
        <v>-1993.2046595999668</v>
      </c>
      <c r="F63" s="3">
        <f t="shared" si="50"/>
        <v>-2153.8888153551552</v>
      </c>
      <c r="G63" s="3">
        <f t="shared" si="50"/>
        <v>-2306.2138359947312</v>
      </c>
      <c r="H63" s="3" t="e">
        <f t="shared" si="50"/>
        <v>#VALUE!</v>
      </c>
      <c r="I63" s="3" t="e">
        <f t="shared" si="50"/>
        <v>#VALUE!</v>
      </c>
      <c r="J63" s="3" t="e">
        <f>J61-J62</f>
        <v>#VALUE!</v>
      </c>
      <c r="K63" s="3" t="e">
        <f t="shared" ref="K63:Q63" si="51">K61-K62</f>
        <v>#VALUE!</v>
      </c>
      <c r="L63" s="3" t="e">
        <f t="shared" si="51"/>
        <v>#VALUE!</v>
      </c>
      <c r="M63" s="3" t="e">
        <f t="shared" si="51"/>
        <v>#VALUE!</v>
      </c>
      <c r="N63" s="3" t="e">
        <f t="shared" si="51"/>
        <v>#VALUE!</v>
      </c>
      <c r="O63" s="3" t="e">
        <f t="shared" si="51"/>
        <v>#VALUE!</v>
      </c>
      <c r="P63" s="3" t="e">
        <f t="shared" si="51"/>
        <v>#VALUE!</v>
      </c>
      <c r="Q63" s="3" t="e">
        <f t="shared" si="51"/>
        <v>#VALUE!</v>
      </c>
    </row>
    <row r="64" spans="1:17">
      <c r="A64" s="2" t="s">
        <v>1523</v>
      </c>
      <c r="B64" s="20" t="s">
        <v>1819</v>
      </c>
      <c r="C64" s="19" t="s">
        <v>1821</v>
      </c>
      <c r="D64" s="3">
        <f t="shared" ref="D64:I64" si="52">D57+D58+D59</f>
        <v>10433.084395644415</v>
      </c>
      <c r="E64" s="3">
        <f>E57+E58+E59</f>
        <v>13670.957830987058</v>
      </c>
      <c r="F64" s="3">
        <f t="shared" si="52"/>
        <v>16427.786150083535</v>
      </c>
      <c r="G64" s="3">
        <f t="shared" si="52"/>
        <v>19155.262052014477</v>
      </c>
      <c r="H64" s="3" t="e">
        <f t="shared" si="52"/>
        <v>#VALUE!</v>
      </c>
      <c r="I64" s="3" t="e">
        <f t="shared" si="52"/>
        <v>#VALUE!</v>
      </c>
      <c r="J64" s="3" t="e">
        <f>J57+J58+J59</f>
        <v>#VALUE!</v>
      </c>
      <c r="K64" s="3" t="e">
        <f t="shared" ref="K64:Q64" si="53">K57+K58+K59</f>
        <v>#VALUE!</v>
      </c>
      <c r="L64" s="3" t="e">
        <f t="shared" si="53"/>
        <v>#VALUE!</v>
      </c>
      <c r="M64" s="3" t="e">
        <f t="shared" si="53"/>
        <v>#VALUE!</v>
      </c>
      <c r="N64" s="3" t="e">
        <f t="shared" si="53"/>
        <v>#VALUE!</v>
      </c>
      <c r="O64" s="3" t="e">
        <f t="shared" si="53"/>
        <v>#VALUE!</v>
      </c>
      <c r="P64" s="3" t="e">
        <f t="shared" si="53"/>
        <v>#VALUE!</v>
      </c>
      <c r="Q64" s="3" t="e">
        <f t="shared" si="53"/>
        <v>#VALUE!</v>
      </c>
    </row>
    <row r="65" spans="1:17">
      <c r="A65" s="2" t="s">
        <v>1523</v>
      </c>
      <c r="B65" s="2" t="s">
        <v>1822</v>
      </c>
      <c r="C65" s="18" t="s">
        <v>1446</v>
      </c>
      <c r="D65" s="3">
        <f>'1-2-3'!I13*Px0*scale</f>
        <v>8038</v>
      </c>
      <c r="E65" s="3">
        <f>'1-2-3'!J13*Px0*scale</f>
        <v>8385.4628031793945</v>
      </c>
      <c r="F65" s="3">
        <f>'1-2-3'!K13*Px0*scale</f>
        <v>8702.3516162713913</v>
      </c>
      <c r="G65" s="3">
        <f>'1-2-3'!L13*Px0*scale</f>
        <v>9056.0317637329317</v>
      </c>
      <c r="H65" s="3" t="e">
        <f>'1-2-3'!M13*Px0*scale</f>
        <v>#VALUE!</v>
      </c>
      <c r="I65" s="3" t="e">
        <f>'1-2-3'!N13*Px0*scale</f>
        <v>#VALUE!</v>
      </c>
      <c r="J65" s="3" t="e">
        <f>'1-2-3'!O13*Px0*scale</f>
        <v>#VALUE!</v>
      </c>
      <c r="K65" s="3" t="e">
        <f>'1-2-3'!P13*Px0*scale</f>
        <v>#VALUE!</v>
      </c>
      <c r="L65" s="3" t="e">
        <f>'1-2-3'!Q13*Px0*scale</f>
        <v>#VALUE!</v>
      </c>
      <c r="M65" s="3" t="e">
        <f>'1-2-3'!R13*Px0*scale</f>
        <v>#VALUE!</v>
      </c>
      <c r="N65" s="3" t="e">
        <f>'1-2-3'!S13*Px0*scale</f>
        <v>#VALUE!</v>
      </c>
      <c r="O65" s="3" t="e">
        <f>'1-2-3'!T13*Px0*scale</f>
        <v>#VALUE!</v>
      </c>
      <c r="P65" s="3" t="e">
        <f>'1-2-3'!U13*Px0*scale</f>
        <v>#VALUE!</v>
      </c>
      <c r="Q65" s="3" t="e">
        <f>'1-2-3'!V13*Px0*scale</f>
        <v>#VALUE!</v>
      </c>
    </row>
    <row r="66" spans="1:17">
      <c r="A66" s="2" t="s">
        <v>1523</v>
      </c>
      <c r="B66" s="2" t="s">
        <v>1822</v>
      </c>
      <c r="C66" s="18" t="s">
        <v>1445</v>
      </c>
      <c r="D66" s="3">
        <f>D55/'1-2-3'!I61</f>
        <v>1017.0000089112425</v>
      </c>
      <c r="E66" s="3">
        <f>E55/'1-2-3'!J61</f>
        <v>1020.7175792001422</v>
      </c>
      <c r="F66" s="3">
        <f>F55/'1-2-3'!K61</f>
        <v>1067.2216175520643</v>
      </c>
      <c r="G66" s="3">
        <f>G55/'1-2-3'!L61</f>
        <v>1124.6957666401881</v>
      </c>
      <c r="H66" s="3" t="e">
        <f>H55/'1-2-3'!M61</f>
        <v>#VALUE!</v>
      </c>
      <c r="I66" s="3" t="e">
        <f>I55/'1-2-3'!N61</f>
        <v>#VALUE!</v>
      </c>
      <c r="J66" s="3" t="e">
        <f>J55/'1-2-3'!O61</f>
        <v>#VALUE!</v>
      </c>
      <c r="K66" s="3" t="e">
        <f>K55/'1-2-3'!P61</f>
        <v>#VALUE!</v>
      </c>
      <c r="L66" s="3" t="e">
        <f>L55/'1-2-3'!Q61</f>
        <v>#VALUE!</v>
      </c>
      <c r="M66" s="3" t="e">
        <f>M55/'1-2-3'!R61</f>
        <v>#VALUE!</v>
      </c>
      <c r="N66" s="3" t="e">
        <f>N55/'1-2-3'!S61</f>
        <v>#VALUE!</v>
      </c>
      <c r="O66" s="3" t="e">
        <f>O55/'1-2-3'!T61</f>
        <v>#VALUE!</v>
      </c>
      <c r="P66" s="3" t="e">
        <f>P55/'1-2-3'!U61</f>
        <v>#VALUE!</v>
      </c>
      <c r="Q66" s="3" t="e">
        <f>Q55/'1-2-3'!V61</f>
        <v>#VALUE!</v>
      </c>
    </row>
    <row r="67" spans="1:17">
      <c r="A67" s="2" t="s">
        <v>1523</v>
      </c>
      <c r="B67" s="2" t="s">
        <v>1822</v>
      </c>
      <c r="C67" s="18" t="s">
        <v>1439</v>
      </c>
      <c r="D67" s="3">
        <f t="shared" ref="D67:I67" si="54">D65+D66</f>
        <v>9055.0000089112418</v>
      </c>
      <c r="E67" s="3">
        <f t="shared" si="54"/>
        <v>9406.1803823795362</v>
      </c>
      <c r="F67" s="3">
        <f t="shared" si="54"/>
        <v>9769.5732338234557</v>
      </c>
      <c r="G67" s="3">
        <f t="shared" si="54"/>
        <v>10180.72753037312</v>
      </c>
      <c r="H67" s="3" t="e">
        <f t="shared" si="54"/>
        <v>#VALUE!</v>
      </c>
      <c r="I67" s="3" t="e">
        <f t="shared" si="54"/>
        <v>#VALUE!</v>
      </c>
      <c r="J67" s="3" t="e">
        <f>J65+J66</f>
        <v>#VALUE!</v>
      </c>
      <c r="K67" s="3" t="e">
        <f t="shared" ref="K67:Q67" si="55">K65+K66</f>
        <v>#VALUE!</v>
      </c>
      <c r="L67" s="3" t="e">
        <f t="shared" si="55"/>
        <v>#VALUE!</v>
      </c>
      <c r="M67" s="3" t="e">
        <f t="shared" si="55"/>
        <v>#VALUE!</v>
      </c>
      <c r="N67" s="3" t="e">
        <f t="shared" si="55"/>
        <v>#VALUE!</v>
      </c>
      <c r="O67" s="3" t="e">
        <f t="shared" si="55"/>
        <v>#VALUE!</v>
      </c>
      <c r="P67" s="3" t="e">
        <f t="shared" si="55"/>
        <v>#VALUE!</v>
      </c>
      <c r="Q67" s="3" t="e">
        <f t="shared" si="55"/>
        <v>#VALUE!</v>
      </c>
    </row>
    <row r="68" spans="1:17">
      <c r="A68" s="2" t="s">
        <v>1523</v>
      </c>
      <c r="B68" s="2" t="s">
        <v>1822</v>
      </c>
      <c r="C68" s="18" t="s">
        <v>1440</v>
      </c>
      <c r="D68" s="3">
        <f t="shared" ref="D68:I68" si="56">D67-D69-D70-D72+D73</f>
        <v>7865.2766108713877</v>
      </c>
      <c r="E68" s="3">
        <f t="shared" si="56"/>
        <v>8692.4344803651438</v>
      </c>
      <c r="F68" s="3">
        <f t="shared" si="56"/>
        <v>8975.2145139317763</v>
      </c>
      <c r="G68" s="3">
        <f t="shared" si="56"/>
        <v>8993.7966814997089</v>
      </c>
      <c r="H68" s="3" t="e">
        <f t="shared" si="56"/>
        <v>#VALUE!</v>
      </c>
      <c r="I68" s="3" t="e">
        <f t="shared" si="56"/>
        <v>#VALUE!</v>
      </c>
      <c r="J68" s="3" t="e">
        <f>J67-J69-J70-J72+J73</f>
        <v>#VALUE!</v>
      </c>
      <c r="K68" s="3" t="e">
        <f t="shared" ref="K68:Q68" si="57">K67-K69-K70-K72+K73</f>
        <v>#VALUE!</v>
      </c>
      <c r="L68" s="3" t="e">
        <f t="shared" si="57"/>
        <v>#VALUE!</v>
      </c>
      <c r="M68" s="3" t="e">
        <f t="shared" si="57"/>
        <v>#VALUE!</v>
      </c>
      <c r="N68" s="3" t="e">
        <f t="shared" si="57"/>
        <v>#VALUE!</v>
      </c>
      <c r="O68" s="3" t="e">
        <f t="shared" si="57"/>
        <v>#VALUE!</v>
      </c>
      <c r="P68" s="3" t="e">
        <f t="shared" si="57"/>
        <v>#VALUE!</v>
      </c>
      <c r="Q68" s="3" t="e">
        <f t="shared" si="57"/>
        <v>#VALUE!</v>
      </c>
    </row>
    <row r="69" spans="1:17">
      <c r="A69" s="2" t="s">
        <v>1523</v>
      </c>
      <c r="B69" s="2" t="s">
        <v>1822</v>
      </c>
      <c r="C69" s="18" t="s">
        <v>1441</v>
      </c>
      <c r="D69" s="3">
        <f>'1-2-3'!I22*Pt0*scale</f>
        <v>913</v>
      </c>
      <c r="E69" s="3">
        <f>'1-2-3'!J22*Pt0*scale</f>
        <v>1117.6941553242593</v>
      </c>
      <c r="F69" s="3">
        <f>'1-2-3'!K22*Pt0*scale</f>
        <v>1159.9321071933296</v>
      </c>
      <c r="G69" s="3">
        <f>'1-2-3'!L22*Pt0*scale</f>
        <v>1207.0739576731983</v>
      </c>
      <c r="H69" s="3" t="e">
        <f>'1-2-3'!M22*Pt0*scale</f>
        <v>#VALUE!</v>
      </c>
      <c r="I69" s="3" t="e">
        <f>'1-2-3'!N22*Pt0*scale</f>
        <v>#VALUE!</v>
      </c>
      <c r="J69" s="3" t="e">
        <f>'1-2-3'!O22*Pt0*scale</f>
        <v>#VALUE!</v>
      </c>
      <c r="K69" s="3" t="e">
        <f>'1-2-3'!P22*Pt0*scale</f>
        <v>#VALUE!</v>
      </c>
      <c r="L69" s="3" t="e">
        <f>'1-2-3'!Q22*Pt0*scale</f>
        <v>#VALUE!</v>
      </c>
      <c r="M69" s="3" t="e">
        <f>'1-2-3'!R22*Pt0*scale</f>
        <v>#VALUE!</v>
      </c>
      <c r="N69" s="3" t="e">
        <f>'1-2-3'!S22*Pt0*scale</f>
        <v>#VALUE!</v>
      </c>
      <c r="O69" s="3" t="e">
        <f>'1-2-3'!T22*Pt0*scale</f>
        <v>#VALUE!</v>
      </c>
      <c r="P69" s="3" t="e">
        <f>'1-2-3'!U22*Pt0*scale</f>
        <v>#VALUE!</v>
      </c>
      <c r="Q69" s="3" t="e">
        <f>'1-2-3'!V22*Pt0*scale</f>
        <v>#VALUE!</v>
      </c>
    </row>
    <row r="70" spans="1:17">
      <c r="A70" s="2" t="s">
        <v>1523</v>
      </c>
      <c r="B70" s="2" t="s">
        <v>1822</v>
      </c>
      <c r="C70" s="18" t="s">
        <v>1442</v>
      </c>
      <c r="D70" s="3">
        <f>'1-2-3'!I65*Pt0*scale</f>
        <v>1654.807798039855</v>
      </c>
      <c r="E70" s="3">
        <f>'1-2-3'!J65*Pt0*scale</f>
        <v>1421.6463457820132</v>
      </c>
      <c r="F70" s="3">
        <f>'1-2-3'!K65*Pt0*scale</f>
        <v>1129.6500715480531</v>
      </c>
      <c r="G70" s="3">
        <f>'1-2-3'!L65*Pt0*scale</f>
        <v>1422.2123264979155</v>
      </c>
      <c r="H70" s="3">
        <f>'1-2-3'!M65*Pt0*scale</f>
        <v>0</v>
      </c>
      <c r="I70" s="3">
        <f>'1-2-3'!N65*Pt0*scale</f>
        <v>0</v>
      </c>
      <c r="J70" s="3">
        <f>'1-2-3'!O65*Pt0*scale</f>
        <v>0</v>
      </c>
      <c r="K70" s="3">
        <f>'1-2-3'!P65*Pt0*scale</f>
        <v>0</v>
      </c>
      <c r="L70" s="3">
        <f>'1-2-3'!Q65*Pt0*scale</f>
        <v>0</v>
      </c>
      <c r="M70" s="3">
        <f>'1-2-3'!R65*Pt0*scale</f>
        <v>0</v>
      </c>
      <c r="N70" s="3">
        <f>'1-2-3'!S65*Pt0*scale</f>
        <v>0</v>
      </c>
      <c r="O70" s="3">
        <f>'1-2-3'!T65*Pt0*scale</f>
        <v>0</v>
      </c>
      <c r="P70" s="3">
        <f>'1-2-3'!U65*Pt0*scale</f>
        <v>0</v>
      </c>
      <c r="Q70" s="3">
        <f>'1-2-3'!V65*Pt0*scale</f>
        <v>0</v>
      </c>
    </row>
    <row r="71" spans="1:17">
      <c r="A71" s="2" t="s">
        <v>1523</v>
      </c>
      <c r="B71" s="2" t="s">
        <v>1822</v>
      </c>
      <c r="C71" s="18" t="s">
        <v>1820</v>
      </c>
      <c r="D71" s="3">
        <f>D25*Pt0/'1-2-3'!I60</f>
        <v>1009.000013159027</v>
      </c>
      <c r="E71" s="3">
        <f>E25*Pt0/'1-2-3'!J60</f>
        <v>1388.1046829350923</v>
      </c>
      <c r="F71" s="3">
        <f>F25*Pt0/'1-2-3'!K60</f>
        <v>1331.6638486346942</v>
      </c>
      <c r="G71" s="3">
        <f>G25*Pt0/'1-2-3'!L60</f>
        <v>1338.0511577866523</v>
      </c>
      <c r="H71" s="3" t="e">
        <f>H25*Pt0/'1-2-3'!M60</f>
        <v>#VALUE!</v>
      </c>
      <c r="I71" s="3" t="e">
        <f>I25*Pt0/'1-2-3'!N60</f>
        <v>#VALUE!</v>
      </c>
      <c r="J71" s="3" t="e">
        <f>J25*Pt0/'1-2-3'!O60</f>
        <v>#VALUE!</v>
      </c>
      <c r="K71" s="3" t="e">
        <f>K25*Pt0/'1-2-3'!P60</f>
        <v>#VALUE!</v>
      </c>
      <c r="L71" s="3" t="e">
        <f>L25*Pt0/'1-2-3'!Q60</f>
        <v>#VALUE!</v>
      </c>
      <c r="M71" s="3" t="e">
        <f>M25*Pt0/'1-2-3'!R60</f>
        <v>#VALUE!</v>
      </c>
      <c r="N71" s="3" t="e">
        <f>N25*Pt0/'1-2-3'!S60</f>
        <v>#VALUE!</v>
      </c>
      <c r="O71" s="3" t="e">
        <f>O25*Pt0/'1-2-3'!T60</f>
        <v>#VALUE!</v>
      </c>
      <c r="P71" s="3" t="e">
        <f>P25*Pt0/'1-2-3'!U60</f>
        <v>#VALUE!</v>
      </c>
      <c r="Q71" s="3" t="e">
        <f>Q25*Pt0/'1-2-3'!V60</f>
        <v>#VALUE!</v>
      </c>
    </row>
    <row r="72" spans="1:17">
      <c r="A72" s="2" t="s">
        <v>1523</v>
      </c>
      <c r="B72" s="2" t="s">
        <v>1822</v>
      </c>
      <c r="C72" s="18" t="s">
        <v>1443</v>
      </c>
      <c r="D72" s="3">
        <f>'1-2-3'!I49*we0*Er0*scale</f>
        <v>2768.61203217088</v>
      </c>
      <c r="E72" s="3">
        <f>'1-2-3'!J49*we0*Er0*scale</f>
        <v>2871.9274886488506</v>
      </c>
      <c r="F72" s="3">
        <f>'1-2-3'!K49*we0*Er0*scale</f>
        <v>3025.1152271796559</v>
      </c>
      <c r="G72" s="3">
        <f>'1-2-3'!L49*we0*Er0*scale</f>
        <v>3183.1590179165783</v>
      </c>
      <c r="H72" s="3">
        <f>'1-2-3'!M49*we0*Er0*scale</f>
        <v>0</v>
      </c>
      <c r="I72" s="3">
        <f>'1-2-3'!N49*we0*Er0*scale</f>
        <v>0</v>
      </c>
      <c r="J72" s="3">
        <f>'1-2-3'!O49*we0*Er0*scale</f>
        <v>0</v>
      </c>
      <c r="K72" s="3">
        <f>'1-2-3'!P49*we0*Er0*scale</f>
        <v>0</v>
      </c>
      <c r="L72" s="3">
        <f>'1-2-3'!Q49*we0*Er0*scale</f>
        <v>0</v>
      </c>
      <c r="M72" s="3">
        <f>'1-2-3'!R49*we0*Er0*scale</f>
        <v>0</v>
      </c>
      <c r="N72" s="3">
        <f>'1-2-3'!S49*we0*Er0*scale</f>
        <v>0</v>
      </c>
      <c r="O72" s="3">
        <f>'1-2-3'!T49*we0*Er0*scale</f>
        <v>0</v>
      </c>
      <c r="P72" s="3">
        <f>'1-2-3'!U49*we0*Er0*scale</f>
        <v>0</v>
      </c>
      <c r="Q72" s="3">
        <f>'1-2-3'!V49*we0*Er0*scale</f>
        <v>0</v>
      </c>
    </row>
    <row r="73" spans="1:17">
      <c r="A73" s="2" t="s">
        <v>1523</v>
      </c>
      <c r="B73" s="2" t="s">
        <v>1822</v>
      </c>
      <c r="C73" s="18" t="s">
        <v>1444</v>
      </c>
      <c r="D73" s="3">
        <f>'1-2-3'!I50*wm0*Er0*scale</f>
        <v>4146.6964321708801</v>
      </c>
      <c r="E73" s="3">
        <f>'1-2-3'!J50*wm0*Er0*scale</f>
        <v>4697.5220877407319</v>
      </c>
      <c r="F73" s="3">
        <f>'1-2-3'!K50*wm0*Er0*scale</f>
        <v>4520.3386860293604</v>
      </c>
      <c r="G73" s="3">
        <f>'1-2-3'!L50*wm0*Er0*scale</f>
        <v>4625.5144532142795</v>
      </c>
      <c r="H73" s="3">
        <f>'1-2-3'!M50*wm0*Er0*scale</f>
        <v>0</v>
      </c>
      <c r="I73" s="3">
        <f>'1-2-3'!N50*wm0*Er0*scale</f>
        <v>0</v>
      </c>
      <c r="J73" s="3">
        <f>'1-2-3'!O50*wm0*Er0*scale</f>
        <v>0</v>
      </c>
      <c r="K73" s="3">
        <f>'1-2-3'!P50*wm0*Er0*scale</f>
        <v>0</v>
      </c>
      <c r="L73" s="3">
        <f>'1-2-3'!Q50*wm0*Er0*scale</f>
        <v>0</v>
      </c>
      <c r="M73" s="3">
        <f>'1-2-3'!R50*wm0*Er0*scale</f>
        <v>0</v>
      </c>
      <c r="N73" s="3">
        <f>'1-2-3'!S50*wm0*Er0*scale</f>
        <v>0</v>
      </c>
      <c r="O73" s="3">
        <f>'1-2-3'!T50*wm0*Er0*scale</f>
        <v>0</v>
      </c>
      <c r="P73" s="3">
        <f>'1-2-3'!U50*wm0*Er0*scale</f>
        <v>0</v>
      </c>
      <c r="Q73" s="3">
        <f>'1-2-3'!V50*wm0*Er0*scale</f>
        <v>0</v>
      </c>
    </row>
    <row r="74" spans="1:17">
      <c r="A74" s="2" t="s">
        <v>1523</v>
      </c>
      <c r="B74" s="2" t="s">
        <v>1822</v>
      </c>
      <c r="C74" s="19" t="s">
        <v>1478</v>
      </c>
      <c r="D74" s="3">
        <f t="shared" ref="D74:I74" si="58">D72-D73</f>
        <v>-1378.0844000000002</v>
      </c>
      <c r="E74" s="3">
        <f t="shared" si="58"/>
        <v>-1825.5945990918813</v>
      </c>
      <c r="F74" s="3">
        <f t="shared" si="58"/>
        <v>-1495.2234588497045</v>
      </c>
      <c r="G74" s="3">
        <f t="shared" si="58"/>
        <v>-1442.3554352977012</v>
      </c>
      <c r="H74" s="3">
        <f t="shared" si="58"/>
        <v>0</v>
      </c>
      <c r="I74" s="3">
        <f t="shared" si="58"/>
        <v>0</v>
      </c>
      <c r="J74" s="3">
        <f>J72-J73</f>
        <v>0</v>
      </c>
      <c r="K74" s="3">
        <f t="shared" ref="K74:Q74" si="59">K72-K73</f>
        <v>0</v>
      </c>
      <c r="L74" s="3">
        <f t="shared" si="59"/>
        <v>0</v>
      </c>
      <c r="M74" s="3">
        <f t="shared" si="59"/>
        <v>0</v>
      </c>
      <c r="N74" s="3">
        <f t="shared" si="59"/>
        <v>0</v>
      </c>
      <c r="O74" s="3">
        <f t="shared" si="59"/>
        <v>0</v>
      </c>
      <c r="P74" s="3">
        <f t="shared" si="59"/>
        <v>0</v>
      </c>
      <c r="Q74" s="3">
        <f t="shared" si="59"/>
        <v>0</v>
      </c>
    </row>
    <row r="75" spans="1:17">
      <c r="A75" s="2" t="s">
        <v>1523</v>
      </c>
      <c r="B75" s="2" t="s">
        <v>1822</v>
      </c>
      <c r="C75" s="19" t="s">
        <v>1821</v>
      </c>
      <c r="D75" s="3">
        <f t="shared" ref="D75:J75" si="60">D68+D69+D70</f>
        <v>10433.084408911243</v>
      </c>
      <c r="E75" s="3">
        <f t="shared" si="60"/>
        <v>11231.774981471417</v>
      </c>
      <c r="F75" s="3">
        <f t="shared" si="60"/>
        <v>11264.796692673159</v>
      </c>
      <c r="G75" s="3">
        <f t="shared" si="60"/>
        <v>11623.082965670823</v>
      </c>
      <c r="H75" s="3" t="e">
        <f t="shared" si="60"/>
        <v>#VALUE!</v>
      </c>
      <c r="I75" s="3" t="e">
        <f t="shared" si="60"/>
        <v>#VALUE!</v>
      </c>
      <c r="J75" s="3" t="e">
        <f t="shared" si="60"/>
        <v>#VALUE!</v>
      </c>
      <c r="K75" s="3" t="e">
        <f t="shared" ref="K75:Q75" si="61">K68+K69+K70</f>
        <v>#VALUE!</v>
      </c>
      <c r="L75" s="3" t="e">
        <f t="shared" si="61"/>
        <v>#VALUE!</v>
      </c>
      <c r="M75" s="3" t="e">
        <f t="shared" si="61"/>
        <v>#VALUE!</v>
      </c>
      <c r="N75" s="3" t="e">
        <f t="shared" si="61"/>
        <v>#VALUE!</v>
      </c>
      <c r="O75" s="3" t="e">
        <f t="shared" si="61"/>
        <v>#VALUE!</v>
      </c>
      <c r="P75" s="3" t="e">
        <f t="shared" si="61"/>
        <v>#VALUE!</v>
      </c>
      <c r="Q75" s="3" t="e">
        <f t="shared" si="61"/>
        <v>#VALUE!</v>
      </c>
    </row>
    <row r="76" spans="1:17">
      <c r="A76" s="2" t="s">
        <v>1823</v>
      </c>
      <c r="B76" s="2" t="s">
        <v>1859</v>
      </c>
      <c r="C76" s="4" t="s">
        <v>1940</v>
      </c>
      <c r="D76" s="101">
        <f>'1-2-3'!I80</f>
        <v>3.1107999303994176</v>
      </c>
      <c r="E76" s="101">
        <f>'1-2-3'!J80</f>
        <v>3.5636739472709342</v>
      </c>
      <c r="F76" s="101">
        <f>'1-2-3'!K80</f>
        <v>4.5878431979609955</v>
      </c>
      <c r="G76" s="101">
        <f>'1-2-3'!L80</f>
        <v>5.2511573824081905</v>
      </c>
      <c r="H76" s="101">
        <f>'1-2-3'!M80</f>
        <v>0</v>
      </c>
      <c r="I76" s="101">
        <f>'1-2-3'!N80</f>
        <v>0</v>
      </c>
      <c r="J76" s="101">
        <f>'1-2-3'!O80</f>
        <v>0</v>
      </c>
      <c r="K76" s="101">
        <f>'1-2-3'!P80</f>
        <v>0</v>
      </c>
      <c r="L76" s="101">
        <f>'1-2-3'!Q80</f>
        <v>0</v>
      </c>
      <c r="M76" s="101">
        <f>'1-2-3'!R80</f>
        <v>0</v>
      </c>
      <c r="N76" s="101">
        <f>'1-2-3'!S80</f>
        <v>0</v>
      </c>
      <c r="O76" s="101">
        <f>'1-2-3'!T80</f>
        <v>0</v>
      </c>
      <c r="P76" s="101">
        <f>'1-2-3'!U80</f>
        <v>0</v>
      </c>
      <c r="Q76" s="101">
        <f>'1-2-3'!V80</f>
        <v>0</v>
      </c>
    </row>
    <row r="77" spans="1:17">
      <c r="A77" s="2" t="s">
        <v>1823</v>
      </c>
      <c r="B77" s="2" t="s">
        <v>1859</v>
      </c>
      <c r="C77" s="4" t="s">
        <v>1941</v>
      </c>
      <c r="D77" s="101">
        <f>D76/$D$76</f>
        <v>1</v>
      </c>
      <c r="E77" s="101">
        <f t="shared" ref="E77:J77" si="62">E76/$D$76</f>
        <v>1.1455812096579829</v>
      </c>
      <c r="F77" s="101">
        <f t="shared" si="62"/>
        <v>1.4748113991927247</v>
      </c>
      <c r="G77" s="101">
        <f t="shared" si="62"/>
        <v>1.6880408576240251</v>
      </c>
      <c r="H77" s="101">
        <f t="shared" si="62"/>
        <v>0</v>
      </c>
      <c r="I77" s="101">
        <f t="shared" si="62"/>
        <v>0</v>
      </c>
      <c r="J77" s="101">
        <f t="shared" si="62"/>
        <v>0</v>
      </c>
      <c r="K77" s="101">
        <f t="shared" ref="K77:Q77" si="63">K76/$D$76</f>
        <v>0</v>
      </c>
      <c r="L77" s="101">
        <f t="shared" si="63"/>
        <v>0</v>
      </c>
      <c r="M77" s="101">
        <f t="shared" si="63"/>
        <v>0</v>
      </c>
      <c r="N77" s="101">
        <f t="shared" si="63"/>
        <v>0</v>
      </c>
      <c r="O77" s="101">
        <f t="shared" si="63"/>
        <v>0</v>
      </c>
      <c r="P77" s="101">
        <f t="shared" si="63"/>
        <v>0</v>
      </c>
      <c r="Q77" s="101">
        <f t="shared" si="63"/>
        <v>0</v>
      </c>
    </row>
    <row r="78" spans="1:17">
      <c r="A78" s="2" t="s">
        <v>1823</v>
      </c>
      <c r="B78" s="2" t="s">
        <v>1824</v>
      </c>
      <c r="C78" s="4" t="str">
        <f>'MACRO DATA'!B80</f>
        <v>Net factor income</v>
      </c>
      <c r="D78" s="3">
        <f>('1-2-3'!I37+'1-2-3'!I38)*scale</f>
        <v>-144</v>
      </c>
      <c r="E78" s="3">
        <f>('1-2-3'!J37+'1-2-3'!J38)*scale</f>
        <v>-127</v>
      </c>
      <c r="F78" s="3">
        <f>('1-2-3'!K37+'1-2-3'!K38)*scale</f>
        <v>-117</v>
      </c>
      <c r="G78" s="3">
        <f>('1-2-3'!L37+'1-2-3'!L38)*scale</f>
        <v>-203</v>
      </c>
      <c r="H78" s="3" t="e">
        <f>('1-2-3'!M37+'1-2-3'!M38)*scale</f>
        <v>#DIV/0!</v>
      </c>
      <c r="I78" s="3" t="e">
        <f>('1-2-3'!N37+'1-2-3'!N38)*scale</f>
        <v>#DIV/0!</v>
      </c>
      <c r="J78" s="3" t="e">
        <f>('1-2-3'!O37+'1-2-3'!O38)*scale</f>
        <v>#DIV/0!</v>
      </c>
      <c r="K78" s="3" t="e">
        <f>('1-2-3'!P37+'1-2-3'!P38)*scale</f>
        <v>#DIV/0!</v>
      </c>
      <c r="L78" s="3" t="e">
        <f>('1-2-3'!Q37+'1-2-3'!Q38)*scale</f>
        <v>#DIV/0!</v>
      </c>
      <c r="M78" s="3" t="e">
        <f>('1-2-3'!R37+'1-2-3'!R38)*scale</f>
        <v>#DIV/0!</v>
      </c>
      <c r="N78" s="3" t="e">
        <f>('1-2-3'!S37+'1-2-3'!S38)*scale</f>
        <v>#DIV/0!</v>
      </c>
      <c r="O78" s="3" t="e">
        <f>('1-2-3'!T37+'1-2-3'!T38)*scale</f>
        <v>#DIV/0!</v>
      </c>
      <c r="P78" s="3" t="e">
        <f>('1-2-3'!U37+'1-2-3'!U38)*scale</f>
        <v>#DIV/0!</v>
      </c>
      <c r="Q78" s="3" t="e">
        <f>('1-2-3'!V37+'1-2-3'!V38)*scale</f>
        <v>#DIV/0!</v>
      </c>
    </row>
    <row r="79" spans="1:17">
      <c r="A79" s="2" t="s">
        <v>1823</v>
      </c>
      <c r="B79" s="2" t="s">
        <v>1824</v>
      </c>
      <c r="C79" s="4" t="str">
        <f>'MACRO DATA'!B81</f>
        <v xml:space="preserve">      Net interest income (payment)</v>
      </c>
      <c r="D79" s="3">
        <f>SCENARIO!D89</f>
        <v>-163</v>
      </c>
      <c r="E79" s="3">
        <f>SCENARIO!E89</f>
        <v>-158</v>
      </c>
      <c r="F79" s="3">
        <f>SCENARIO!F89</f>
        <v>-151</v>
      </c>
      <c r="G79" s="3">
        <f>SCENARIO!G89</f>
        <v>-134</v>
      </c>
      <c r="H79" s="3">
        <f>SCENARIO!H89</f>
        <v>0</v>
      </c>
      <c r="I79" s="3">
        <f>SCENARIO!I89</f>
        <v>0</v>
      </c>
      <c r="J79" s="3">
        <f>SCENARIO!J89</f>
        <v>0</v>
      </c>
      <c r="K79" s="3">
        <f>SCENARIO!K89</f>
        <v>0</v>
      </c>
      <c r="L79" s="3">
        <f>SCENARIO!L89</f>
        <v>0</v>
      </c>
      <c r="M79" s="3">
        <f>SCENARIO!M89</f>
        <v>0</v>
      </c>
      <c r="N79" s="3">
        <f>SCENARIO!N89</f>
        <v>0</v>
      </c>
      <c r="O79" s="3">
        <f>SCENARIO!O89</f>
        <v>0</v>
      </c>
      <c r="P79" s="3">
        <f>SCENARIO!P89</f>
        <v>0</v>
      </c>
      <c r="Q79" s="3">
        <f>SCENARIO!Q89</f>
        <v>0</v>
      </c>
    </row>
    <row r="80" spans="1:17">
      <c r="A80" s="2" t="s">
        <v>1823</v>
      </c>
      <c r="B80" s="2" t="s">
        <v>1824</v>
      </c>
      <c r="C80" s="4" t="str">
        <f>'MACRO DATA'!B82</f>
        <v xml:space="preserve">      Net profit remittances</v>
      </c>
      <c r="D80" s="3">
        <f>SCENARIO!D91</f>
        <v>19</v>
      </c>
      <c r="E80" s="3">
        <f>SCENARIO!E91</f>
        <v>31</v>
      </c>
      <c r="F80" s="3">
        <f>SCENARIO!F91</f>
        <v>34</v>
      </c>
      <c r="G80" s="3">
        <f>SCENARIO!G91</f>
        <v>-69</v>
      </c>
      <c r="H80" s="3">
        <f>SCENARIO!H91</f>
        <v>0</v>
      </c>
      <c r="I80" s="3">
        <f>SCENARIO!I91</f>
        <v>0</v>
      </c>
      <c r="J80" s="3">
        <f>SCENARIO!J91</f>
        <v>0</v>
      </c>
      <c r="K80" s="3">
        <f>SCENARIO!K91</f>
        <v>0</v>
      </c>
      <c r="L80" s="3">
        <f>SCENARIO!L91</f>
        <v>0</v>
      </c>
      <c r="M80" s="3">
        <f>SCENARIO!M91</f>
        <v>0</v>
      </c>
      <c r="N80" s="3">
        <f>SCENARIO!N91</f>
        <v>0</v>
      </c>
      <c r="O80" s="3">
        <f>SCENARIO!O91</f>
        <v>0</v>
      </c>
      <c r="P80" s="3">
        <f>SCENARIO!P91</f>
        <v>0</v>
      </c>
      <c r="Q80" s="3">
        <f>SCENARIO!Q91</f>
        <v>0</v>
      </c>
    </row>
    <row r="81" spans="1:17">
      <c r="A81" s="2" t="s">
        <v>1823</v>
      </c>
      <c r="B81" s="2" t="s">
        <v>1824</v>
      </c>
      <c r="C81" s="4" t="str">
        <f>'MACRO DATA'!B83</f>
        <v>Net current transfers</v>
      </c>
      <c r="D81" s="3">
        <f>('1-2-3'!I39+'1-2-3'!I40)*scale</f>
        <v>-18.000000000000004</v>
      </c>
      <c r="E81" s="3">
        <f>('1-2-3'!J39+'1-2-3'!J40)*scale</f>
        <v>-19.999999999999989</v>
      </c>
      <c r="F81" s="3">
        <f>('1-2-3'!K39+'1-2-3'!K40)*scale</f>
        <v>-23</v>
      </c>
      <c r="G81" s="3">
        <f>('1-2-3'!L39+'1-2-3'!L40)*scale</f>
        <v>-31</v>
      </c>
      <c r="H81" s="3">
        <f>('1-2-3'!M39+'1-2-3'!M40)*scale</f>
        <v>0</v>
      </c>
      <c r="I81" s="3">
        <f>('1-2-3'!N39+'1-2-3'!N40)*scale</f>
        <v>0</v>
      </c>
      <c r="J81" s="3">
        <f>('1-2-3'!O39+'1-2-3'!O40)*scale</f>
        <v>0</v>
      </c>
      <c r="K81" s="3">
        <f>('1-2-3'!P39+'1-2-3'!P40)*scale</f>
        <v>0</v>
      </c>
      <c r="L81" s="3">
        <f>('1-2-3'!Q39+'1-2-3'!Q40)*scale</f>
        <v>0</v>
      </c>
      <c r="M81" s="3">
        <f>('1-2-3'!R39+'1-2-3'!R40)*scale</f>
        <v>0</v>
      </c>
      <c r="N81" s="3">
        <f>('1-2-3'!S39+'1-2-3'!S40)*scale</f>
        <v>0</v>
      </c>
      <c r="O81" s="3">
        <f>('1-2-3'!T39+'1-2-3'!T40)*scale</f>
        <v>0</v>
      </c>
      <c r="P81" s="3">
        <f>('1-2-3'!U39+'1-2-3'!U40)*scale</f>
        <v>0</v>
      </c>
      <c r="Q81" s="3">
        <f>('1-2-3'!V39+'1-2-3'!V40)*scale</f>
        <v>0</v>
      </c>
    </row>
    <row r="82" spans="1:17">
      <c r="A82" s="2" t="s">
        <v>1823</v>
      </c>
      <c r="B82" s="2" t="s">
        <v>1824</v>
      </c>
      <c r="C82" s="4" t="str">
        <f>'MACRO DATA'!B84</f>
        <v xml:space="preserve">       Official transfers</v>
      </c>
      <c r="D82" s="3">
        <f>'1-2-3'!I39*scale</f>
        <v>31.824611032531827</v>
      </c>
      <c r="E82" s="3">
        <f>'1-2-3'!J39*scale</f>
        <v>98.780487804878064</v>
      </c>
      <c r="F82" s="3">
        <f>'1-2-3'!K39*scale</f>
        <v>0</v>
      </c>
      <c r="G82" s="3">
        <f>'1-2-3'!L39*scale</f>
        <v>0</v>
      </c>
      <c r="H82" s="3">
        <f>'1-2-3'!M39*scale</f>
        <v>0</v>
      </c>
      <c r="I82" s="3">
        <f>'1-2-3'!N39*scale</f>
        <v>0</v>
      </c>
      <c r="J82" s="3">
        <f>'1-2-3'!O39*scale</f>
        <v>0</v>
      </c>
      <c r="K82" s="3">
        <f>'1-2-3'!P39*scale</f>
        <v>0</v>
      </c>
      <c r="L82" s="3">
        <f>'1-2-3'!Q39*scale</f>
        <v>0</v>
      </c>
      <c r="M82" s="3">
        <f>'1-2-3'!R39*scale</f>
        <v>0</v>
      </c>
      <c r="N82" s="3">
        <f>'1-2-3'!S39*scale</f>
        <v>0</v>
      </c>
      <c r="O82" s="3">
        <f>'1-2-3'!T39*scale</f>
        <v>0</v>
      </c>
      <c r="P82" s="3">
        <f>'1-2-3'!U39*scale</f>
        <v>0</v>
      </c>
      <c r="Q82" s="3">
        <f>'1-2-3'!V39*scale</f>
        <v>0</v>
      </c>
    </row>
    <row r="83" spans="1:17">
      <c r="A83" s="2" t="s">
        <v>1823</v>
      </c>
      <c r="B83" s="2" t="s">
        <v>1824</v>
      </c>
      <c r="C83" s="4" t="str">
        <f>'MACRO DATA'!B85</f>
        <v xml:space="preserve">       Private transfers </v>
      </c>
      <c r="D83" s="3">
        <f>'1-2-3'!I40*scale</f>
        <v>-49.824611032531827</v>
      </c>
      <c r="E83" s="3">
        <f>'1-2-3'!J40*scale</f>
        <v>-118.78048780487806</v>
      </c>
      <c r="F83" s="3">
        <f>'1-2-3'!K40*scale</f>
        <v>-23</v>
      </c>
      <c r="G83" s="3">
        <f>'1-2-3'!L40*scale</f>
        <v>-31</v>
      </c>
      <c r="H83" s="3">
        <f>'1-2-3'!M40*scale</f>
        <v>0</v>
      </c>
      <c r="I83" s="3">
        <f>'1-2-3'!N40*scale</f>
        <v>0</v>
      </c>
      <c r="J83" s="3">
        <f>'1-2-3'!O40*scale</f>
        <v>0</v>
      </c>
      <c r="K83" s="3">
        <f>'1-2-3'!P40*scale</f>
        <v>0</v>
      </c>
      <c r="L83" s="3">
        <f>'1-2-3'!Q40*scale</f>
        <v>0</v>
      </c>
      <c r="M83" s="3">
        <f>'1-2-3'!R40*scale</f>
        <v>0</v>
      </c>
      <c r="N83" s="3">
        <f>'1-2-3'!S40*scale</f>
        <v>0</v>
      </c>
      <c r="O83" s="3">
        <f>'1-2-3'!T40*scale</f>
        <v>0</v>
      </c>
      <c r="P83" s="3">
        <f>'1-2-3'!U40*scale</f>
        <v>0</v>
      </c>
      <c r="Q83" s="3">
        <f>'1-2-3'!V40*scale</f>
        <v>0</v>
      </c>
    </row>
    <row r="84" spans="1:17">
      <c r="A84" s="2" t="s">
        <v>1823</v>
      </c>
      <c r="B84" s="2" t="s">
        <v>1825</v>
      </c>
      <c r="C84" s="4" t="str">
        <f>'MACRO DATA'!B86</f>
        <v>Cur.account balance</v>
      </c>
      <c r="D84" s="3">
        <f>('1-2-3'!I49*'1-2-3'!I36-'1-2-3'!I50*'1-2-3'!I35)*scale+D78+D81</f>
        <v>-605.00000000000023</v>
      </c>
      <c r="E84" s="3">
        <f>('1-2-3'!J49*'1-2-3'!J36-'1-2-3'!J50*'1-2-3'!J35)*scale+E78+E81</f>
        <v>-659.99999999999147</v>
      </c>
      <c r="F84" s="3">
        <f>('1-2-3'!K49*'1-2-3'!K36-'1-2-3'!K50*'1-2-3'!K35)*scale+F78+F81</f>
        <v>-612.99999999999</v>
      </c>
      <c r="G84" s="3">
        <f>('1-2-3'!L49*'1-2-3'!L36-'1-2-3'!L50*'1-2-3'!L35)*scale+G78+G81</f>
        <v>-681.00000000002092</v>
      </c>
      <c r="H84" s="3" t="e">
        <f>('1-2-3'!M49*'1-2-3'!M36-'1-2-3'!M50*'1-2-3'!M35)*scale+H78+H81</f>
        <v>#VALUE!</v>
      </c>
      <c r="I84" s="3" t="e">
        <f>('1-2-3'!N49*'1-2-3'!N36-'1-2-3'!N50*'1-2-3'!N35)*scale+I78+I81</f>
        <v>#VALUE!</v>
      </c>
      <c r="J84" s="3" t="e">
        <f>('1-2-3'!O49*'1-2-3'!O36-'1-2-3'!O50*'1-2-3'!O35)*scale+J78+J81</f>
        <v>#VALUE!</v>
      </c>
      <c r="K84" s="3" t="e">
        <f>('1-2-3'!P49*'1-2-3'!P36-'1-2-3'!P50*'1-2-3'!P35)*scale+K78+K81</f>
        <v>#VALUE!</v>
      </c>
      <c r="L84" s="3" t="e">
        <f>('1-2-3'!Q49*'1-2-3'!Q36-'1-2-3'!Q50*'1-2-3'!Q35)*scale+L78+L81</f>
        <v>#VALUE!</v>
      </c>
      <c r="M84" s="3" t="e">
        <f>('1-2-3'!R49*'1-2-3'!R36-'1-2-3'!R50*'1-2-3'!R35)*scale+M78+M81</f>
        <v>#VALUE!</v>
      </c>
      <c r="N84" s="3" t="e">
        <f>('1-2-3'!S49*'1-2-3'!S36-'1-2-3'!S50*'1-2-3'!S35)*scale+N78+N81</f>
        <v>#VALUE!</v>
      </c>
      <c r="O84" s="3" t="e">
        <f>('1-2-3'!T49*'1-2-3'!T36-'1-2-3'!T50*'1-2-3'!T35)*scale+O78+O81</f>
        <v>#VALUE!</v>
      </c>
      <c r="P84" s="3" t="e">
        <f>('1-2-3'!U49*'1-2-3'!U36-'1-2-3'!U50*'1-2-3'!U35)*scale+P78+P81</f>
        <v>#VALUE!</v>
      </c>
      <c r="Q84" s="3" t="e">
        <f>('1-2-3'!V49*'1-2-3'!V36-'1-2-3'!V50*'1-2-3'!V35)*scale+Q78+Q81</f>
        <v>#VALUE!</v>
      </c>
    </row>
    <row r="85" spans="1:17">
      <c r="A85" s="2" t="s">
        <v>1823</v>
      </c>
      <c r="B85" s="2" t="s">
        <v>1825</v>
      </c>
      <c r="C85" s="4" t="str">
        <f>'MACRO DATA'!B87</f>
        <v>Cur.account balance after grants</v>
      </c>
      <c r="D85" s="3">
        <f>D84+D87</f>
        <v>-451.98469846984722</v>
      </c>
      <c r="E85" s="3">
        <f t="shared" ref="E85:J85" si="64">E84+E87</f>
        <v>-459.26829268291829</v>
      </c>
      <c r="F85" s="3">
        <f t="shared" si="64"/>
        <v>-408.00616522810344</v>
      </c>
      <c r="G85" s="3">
        <f t="shared" si="64"/>
        <v>-470.93229560843997</v>
      </c>
      <c r="H85" s="3" t="e">
        <f t="shared" si="64"/>
        <v>#VALUE!</v>
      </c>
      <c r="I85" s="3" t="e">
        <f t="shared" si="64"/>
        <v>#VALUE!</v>
      </c>
      <c r="J85" s="3" t="e">
        <f t="shared" si="64"/>
        <v>#VALUE!</v>
      </c>
      <c r="K85" s="3" t="e">
        <f t="shared" ref="K85:Q85" si="65">K84+K87</f>
        <v>#VALUE!</v>
      </c>
      <c r="L85" s="3" t="e">
        <f t="shared" si="65"/>
        <v>#VALUE!</v>
      </c>
      <c r="M85" s="3" t="e">
        <f t="shared" si="65"/>
        <v>#VALUE!</v>
      </c>
      <c r="N85" s="3" t="e">
        <f t="shared" si="65"/>
        <v>#VALUE!</v>
      </c>
      <c r="O85" s="3" t="e">
        <f t="shared" si="65"/>
        <v>#VALUE!</v>
      </c>
      <c r="P85" s="3" t="e">
        <f t="shared" si="65"/>
        <v>#VALUE!</v>
      </c>
      <c r="Q85" s="3" t="e">
        <f t="shared" si="65"/>
        <v>#VALUE!</v>
      </c>
    </row>
    <row r="86" spans="1:17">
      <c r="A86" s="2" t="s">
        <v>1823</v>
      </c>
      <c r="B86" s="2" t="s">
        <v>1825</v>
      </c>
      <c r="C86" s="4" t="str">
        <f>'MACRO DATA'!B88</f>
        <v>Capital account</v>
      </c>
      <c r="D86" s="3">
        <f>SCENARIO!D99</f>
        <v>153</v>
      </c>
      <c r="E86" s="3">
        <f>SCENARIO!E99</f>
        <v>200.73170731707319</v>
      </c>
      <c r="F86" s="3">
        <f>SCENARIO!F99</f>
        <v>204.99383477188655</v>
      </c>
      <c r="G86" s="3">
        <f>SCENARIO!G99</f>
        <v>210.06770439158095</v>
      </c>
      <c r="H86" s="3">
        <f>SCENARIO!H99</f>
        <v>0</v>
      </c>
      <c r="I86" s="3">
        <f>SCENARIO!I99</f>
        <v>0</v>
      </c>
      <c r="J86" s="3">
        <f>SCENARIO!J99</f>
        <v>0</v>
      </c>
      <c r="K86" s="3">
        <f>SCENARIO!K99</f>
        <v>0</v>
      </c>
      <c r="L86" s="3">
        <f>SCENARIO!L99</f>
        <v>0</v>
      </c>
      <c r="M86" s="3">
        <f>SCENARIO!M99</f>
        <v>0</v>
      </c>
      <c r="N86" s="3">
        <f>SCENARIO!N99</f>
        <v>0</v>
      </c>
      <c r="O86" s="3">
        <f>SCENARIO!O99</f>
        <v>0</v>
      </c>
      <c r="P86" s="3">
        <f>SCENARIO!P99</f>
        <v>0</v>
      </c>
      <c r="Q86" s="3">
        <f>SCENARIO!Q99</f>
        <v>0</v>
      </c>
    </row>
    <row r="87" spans="1:17">
      <c r="A87" s="2" t="s">
        <v>1823</v>
      </c>
      <c r="B87" s="2" t="s">
        <v>1825</v>
      </c>
      <c r="C87" s="4" t="str">
        <f>'MACRO DATA'!B89</f>
        <v xml:space="preserve">       Of which official capital grants etc.</v>
      </c>
      <c r="D87" s="3">
        <f>SCENARIO!D100</f>
        <v>153.01530153015304</v>
      </c>
      <c r="E87" s="3">
        <f>SCENARIO!E100</f>
        <v>200.73170731707319</v>
      </c>
      <c r="F87" s="3">
        <f>SCENARIO!F100</f>
        <v>204.99383477188655</v>
      </c>
      <c r="G87" s="3">
        <f>SCENARIO!G100</f>
        <v>210.06770439158095</v>
      </c>
      <c r="H87" s="3">
        <f>SCENARIO!H100</f>
        <v>0</v>
      </c>
      <c r="I87" s="3">
        <f>SCENARIO!I100</f>
        <v>0</v>
      </c>
      <c r="J87" s="3">
        <f>SCENARIO!J100</f>
        <v>0</v>
      </c>
      <c r="K87" s="3">
        <f>SCENARIO!K100</f>
        <v>0</v>
      </c>
      <c r="L87" s="3">
        <f>SCENARIO!L100</f>
        <v>0</v>
      </c>
      <c r="M87" s="3">
        <f>SCENARIO!M100</f>
        <v>0</v>
      </c>
      <c r="N87" s="3">
        <f>SCENARIO!N100</f>
        <v>0</v>
      </c>
      <c r="O87" s="3">
        <f>SCENARIO!O100</f>
        <v>0</v>
      </c>
      <c r="P87" s="3">
        <f>SCENARIO!P100</f>
        <v>0</v>
      </c>
      <c r="Q87" s="3">
        <f>SCENARIO!Q100</f>
        <v>0</v>
      </c>
    </row>
    <row r="88" spans="1:17">
      <c r="A88" s="2" t="s">
        <v>1823</v>
      </c>
      <c r="B88" s="2" t="s">
        <v>1825</v>
      </c>
      <c r="C88" s="4" t="str">
        <f>'MACRO DATA'!B90</f>
        <v>LT financial account</v>
      </c>
      <c r="D88" s="3">
        <f>SCENARIO!D101</f>
        <v>-40</v>
      </c>
      <c r="E88" s="3">
        <f>SCENARIO!E101</f>
        <v>9</v>
      </c>
      <c r="F88" s="3">
        <f>SCENARIO!F101</f>
        <v>22</v>
      </c>
      <c r="G88" s="3">
        <f>SCENARIO!G101</f>
        <v>35</v>
      </c>
      <c r="H88" s="3">
        <f>SCENARIO!H101</f>
        <v>0</v>
      </c>
      <c r="I88" s="3">
        <f>SCENARIO!I101</f>
        <v>0</v>
      </c>
      <c r="J88" s="3">
        <f>SCENARIO!J101</f>
        <v>0</v>
      </c>
      <c r="K88" s="3">
        <f>SCENARIO!K101</f>
        <v>0</v>
      </c>
      <c r="L88" s="3">
        <f>SCENARIO!L101</f>
        <v>0</v>
      </c>
      <c r="M88" s="3">
        <f>SCENARIO!M101</f>
        <v>0</v>
      </c>
      <c r="N88" s="3">
        <f>SCENARIO!N101</f>
        <v>0</v>
      </c>
      <c r="O88" s="3">
        <f>SCENARIO!O101</f>
        <v>0</v>
      </c>
      <c r="P88" s="3">
        <f>SCENARIO!P101</f>
        <v>0</v>
      </c>
      <c r="Q88" s="3">
        <f>SCENARIO!Q101</f>
        <v>0</v>
      </c>
    </row>
    <row r="89" spans="1:17">
      <c r="A89" s="2" t="s">
        <v>1823</v>
      </c>
      <c r="B89" s="2" t="s">
        <v>1825</v>
      </c>
      <c r="C89" s="4" t="str">
        <f>'MACRO DATA'!B91</f>
        <v>Net loan disburshment</v>
      </c>
      <c r="D89" s="3">
        <f>SCENARIO!D102</f>
        <v>-140</v>
      </c>
      <c r="E89" s="3">
        <f>SCENARIO!E102</f>
        <v>-107</v>
      </c>
      <c r="F89" s="3">
        <f>SCENARIO!F102</f>
        <v>-109</v>
      </c>
      <c r="G89" s="3">
        <f>SCENARIO!G102</f>
        <v>-104</v>
      </c>
      <c r="H89" s="3">
        <f>SCENARIO!H102</f>
        <v>0</v>
      </c>
      <c r="I89" s="3">
        <f>SCENARIO!I102</f>
        <v>0</v>
      </c>
      <c r="J89" s="3">
        <f>SCENARIO!J102</f>
        <v>0</v>
      </c>
      <c r="K89" s="3">
        <f>SCENARIO!K102</f>
        <v>0</v>
      </c>
      <c r="L89" s="3">
        <f>SCENARIO!L102</f>
        <v>0</v>
      </c>
      <c r="M89" s="3">
        <f>SCENARIO!M102</f>
        <v>0</v>
      </c>
      <c r="N89" s="3">
        <f>SCENARIO!N102</f>
        <v>0</v>
      </c>
      <c r="O89" s="3">
        <f>SCENARIO!O102</f>
        <v>0</v>
      </c>
      <c r="P89" s="3">
        <f>SCENARIO!P102</f>
        <v>0</v>
      </c>
      <c r="Q89" s="3">
        <f>SCENARIO!Q102</f>
        <v>0</v>
      </c>
    </row>
    <row r="90" spans="1:17">
      <c r="A90" s="2" t="s">
        <v>1823</v>
      </c>
      <c r="B90" s="2" t="s">
        <v>1825</v>
      </c>
      <c r="C90" s="4" t="str">
        <f>'MACRO DATA'!B92</f>
        <v xml:space="preserve">            Project loans</v>
      </c>
      <c r="D90" s="3">
        <f>SCENARIO!D103</f>
        <v>93</v>
      </c>
      <c r="E90" s="3">
        <f>SCENARIO!E103</f>
        <v>125</v>
      </c>
      <c r="F90" s="3">
        <f>SCENARIO!F103</f>
        <v>126</v>
      </c>
      <c r="G90" s="3">
        <f>SCENARIO!G103</f>
        <v>128</v>
      </c>
      <c r="H90" s="3">
        <f>SCENARIO!H103</f>
        <v>0</v>
      </c>
      <c r="I90" s="3">
        <f>SCENARIO!I103</f>
        <v>0</v>
      </c>
      <c r="J90" s="3">
        <f>SCENARIO!J103</f>
        <v>0</v>
      </c>
      <c r="K90" s="3">
        <f>SCENARIO!K103</f>
        <v>0</v>
      </c>
      <c r="L90" s="3">
        <f>SCENARIO!L103</f>
        <v>0</v>
      </c>
      <c r="M90" s="3">
        <f>SCENARIO!M103</f>
        <v>0</v>
      </c>
      <c r="N90" s="3">
        <f>SCENARIO!N103</f>
        <v>0</v>
      </c>
      <c r="O90" s="3">
        <f>SCENARIO!O103</f>
        <v>0</v>
      </c>
      <c r="P90" s="3">
        <f>SCENARIO!P103</f>
        <v>0</v>
      </c>
      <c r="Q90" s="3">
        <f>SCENARIO!Q103</f>
        <v>0</v>
      </c>
    </row>
    <row r="91" spans="1:17">
      <c r="A91" s="2" t="s">
        <v>1823</v>
      </c>
      <c r="B91" s="2" t="s">
        <v>1825</v>
      </c>
      <c r="C91" s="4" t="str">
        <f>'MACRO DATA'!B93</f>
        <v xml:space="preserve">            Amortization (incl. Program loans, excl. IMF)</v>
      </c>
      <c r="D91" s="3">
        <f>SCENARIO!D104</f>
        <v>-233</v>
      </c>
      <c r="E91" s="3">
        <f>SCENARIO!E104</f>
        <v>-232</v>
      </c>
      <c r="F91" s="3">
        <f>SCENARIO!F104</f>
        <v>-235</v>
      </c>
      <c r="G91" s="3">
        <f>SCENARIO!G104</f>
        <v>-232</v>
      </c>
      <c r="H91" s="3">
        <f>SCENARIO!H104</f>
        <v>0</v>
      </c>
      <c r="I91" s="3">
        <f>SCENARIO!I104</f>
        <v>0</v>
      </c>
      <c r="J91" s="3">
        <f>SCENARIO!J104</f>
        <v>0</v>
      </c>
      <c r="K91" s="3">
        <f>SCENARIO!K104</f>
        <v>0</v>
      </c>
      <c r="L91" s="3">
        <f>SCENARIO!L104</f>
        <v>0</v>
      </c>
      <c r="M91" s="3">
        <f>SCENARIO!M104</f>
        <v>0</v>
      </c>
      <c r="N91" s="3">
        <f>SCENARIO!N104</f>
        <v>0</v>
      </c>
      <c r="O91" s="3">
        <f>SCENARIO!O104</f>
        <v>0</v>
      </c>
      <c r="P91" s="3">
        <f>SCENARIO!P104</f>
        <v>0</v>
      </c>
      <c r="Q91" s="3">
        <f>SCENARIO!Q104</f>
        <v>0</v>
      </c>
    </row>
    <row r="92" spans="1:17">
      <c r="A92" s="2" t="s">
        <v>1823</v>
      </c>
      <c r="B92" s="2" t="s">
        <v>1825</v>
      </c>
      <c r="C92" s="4" t="str">
        <f>'MACRO DATA'!B94</f>
        <v>Change in net foreign assets of com.  banks</v>
      </c>
      <c r="D92" s="3">
        <f>SCENARIO!D105</f>
        <v>-26</v>
      </c>
      <c r="E92" s="3">
        <f>SCENARIO!E105</f>
        <v>-24</v>
      </c>
      <c r="F92" s="3">
        <f>SCENARIO!F105</f>
        <v>-19</v>
      </c>
      <c r="G92" s="3">
        <f>SCENARIO!G105</f>
        <v>-21</v>
      </c>
      <c r="H92" s="3">
        <f>SCENARIO!H105</f>
        <v>0</v>
      </c>
      <c r="I92" s="3">
        <f>SCENARIO!I105</f>
        <v>0</v>
      </c>
      <c r="J92" s="3">
        <f>SCENARIO!J105</f>
        <v>0</v>
      </c>
      <c r="K92" s="3">
        <f>SCENARIO!K105</f>
        <v>0</v>
      </c>
      <c r="L92" s="3">
        <f>SCENARIO!L105</f>
        <v>0</v>
      </c>
      <c r="M92" s="3">
        <f>SCENARIO!M105</f>
        <v>0</v>
      </c>
      <c r="N92" s="3">
        <f>SCENARIO!N105</f>
        <v>0</v>
      </c>
      <c r="O92" s="3">
        <f>SCENARIO!O105</f>
        <v>0</v>
      </c>
      <c r="P92" s="3">
        <f>SCENARIO!P105</f>
        <v>0</v>
      </c>
      <c r="Q92" s="3">
        <f>SCENARIO!Q105</f>
        <v>0</v>
      </c>
    </row>
    <row r="93" spans="1:17">
      <c r="A93" s="2" t="s">
        <v>1823</v>
      </c>
      <c r="B93" s="2" t="s">
        <v>1826</v>
      </c>
      <c r="C93" s="4" t="str">
        <f>'MACRO DATA'!B95</f>
        <v>Private foreign direct &amp; portf. investment</v>
      </c>
      <c r="D93" s="3">
        <f>SCENARIO!D106</f>
        <v>126</v>
      </c>
      <c r="E93" s="3">
        <f>SCENARIO!E106</f>
        <v>140</v>
      </c>
      <c r="F93" s="3">
        <f>SCENARIO!F106</f>
        <v>150</v>
      </c>
      <c r="G93" s="3">
        <f>SCENARIO!G106</f>
        <v>160</v>
      </c>
      <c r="H93" s="3">
        <f>SCENARIO!H106</f>
        <v>0</v>
      </c>
      <c r="I93" s="3">
        <f>SCENARIO!I106</f>
        <v>0</v>
      </c>
      <c r="J93" s="3">
        <f>SCENARIO!J106</f>
        <v>0</v>
      </c>
      <c r="K93" s="3">
        <f>SCENARIO!K106</f>
        <v>0</v>
      </c>
      <c r="L93" s="3">
        <f>SCENARIO!L106</f>
        <v>0</v>
      </c>
      <c r="M93" s="3">
        <f>SCENARIO!M106</f>
        <v>0</v>
      </c>
      <c r="N93" s="3">
        <f>SCENARIO!N106</f>
        <v>0</v>
      </c>
      <c r="O93" s="3">
        <f>SCENARIO!O106</f>
        <v>0</v>
      </c>
      <c r="P93" s="3">
        <f>SCENARIO!P106</f>
        <v>0</v>
      </c>
      <c r="Q93" s="3">
        <f>SCENARIO!Q106</f>
        <v>0</v>
      </c>
    </row>
    <row r="94" spans="1:17">
      <c r="A94" s="2" t="s">
        <v>1823</v>
      </c>
      <c r="B94" s="2" t="s">
        <v>1826</v>
      </c>
      <c r="C94" s="4" t="str">
        <f>'MACRO DATA'!B96</f>
        <v>ST capital/ errors &amp; omissions</v>
      </c>
      <c r="D94" s="3">
        <f>SCENARIO!D107</f>
        <v>152</v>
      </c>
      <c r="E94" s="3">
        <f>SCENARIO!E107</f>
        <v>36.299999999999997</v>
      </c>
      <c r="F94" s="3">
        <f>SCENARIO!F107</f>
        <v>-22</v>
      </c>
      <c r="G94" s="3">
        <f>SCENARIO!G107</f>
        <v>38.9</v>
      </c>
      <c r="H94" s="3">
        <f>SCENARIO!H107</f>
        <v>0</v>
      </c>
      <c r="I94" s="3">
        <f>SCENARIO!I107</f>
        <v>0</v>
      </c>
      <c r="J94" s="3">
        <f>SCENARIO!J107</f>
        <v>0</v>
      </c>
      <c r="K94" s="3">
        <f>SCENARIO!K107</f>
        <v>0</v>
      </c>
      <c r="L94" s="3">
        <f>SCENARIO!L107</f>
        <v>0</v>
      </c>
      <c r="M94" s="3">
        <f>SCENARIO!M107</f>
        <v>0</v>
      </c>
      <c r="N94" s="3">
        <f>SCENARIO!N107</f>
        <v>0</v>
      </c>
      <c r="O94" s="3">
        <f>SCENARIO!O107</f>
        <v>0</v>
      </c>
      <c r="P94" s="3">
        <f>SCENARIO!P107</f>
        <v>0</v>
      </c>
      <c r="Q94" s="3">
        <f>SCENARIO!Q107</f>
        <v>0</v>
      </c>
    </row>
    <row r="95" spans="1:17">
      <c r="A95" s="2" t="s">
        <v>1823</v>
      </c>
      <c r="B95" s="2" t="s">
        <v>1826</v>
      </c>
      <c r="C95" s="4" t="str">
        <f>'MACRO DATA'!B97</f>
        <v>Overall balance</v>
      </c>
      <c r="D95" s="3">
        <f>SCENARIO!D108</f>
        <v>-340</v>
      </c>
      <c r="E95" s="3">
        <f>SCENARIO!E108</f>
        <v>-413.9682926829268</v>
      </c>
      <c r="F95" s="3">
        <f>SCENARIO!F108</f>
        <v>-408.00616522811345</v>
      </c>
      <c r="G95" s="3">
        <f>SCENARIO!G108</f>
        <v>-397.03229560841908</v>
      </c>
      <c r="H95" s="3">
        <f>SCENARIO!H108</f>
        <v>0</v>
      </c>
      <c r="I95" s="3">
        <f>SCENARIO!I108</f>
        <v>0</v>
      </c>
      <c r="J95" s="3">
        <f>SCENARIO!J108</f>
        <v>0</v>
      </c>
      <c r="K95" s="3">
        <f>SCENARIO!K108</f>
        <v>0</v>
      </c>
      <c r="L95" s="3">
        <f>SCENARIO!L108</f>
        <v>0</v>
      </c>
      <c r="M95" s="3">
        <f>SCENARIO!M108</f>
        <v>0</v>
      </c>
      <c r="N95" s="3">
        <f>SCENARIO!N108</f>
        <v>0</v>
      </c>
      <c r="O95" s="3">
        <f>SCENARIO!O108</f>
        <v>0</v>
      </c>
      <c r="P95" s="3">
        <f>SCENARIO!P108</f>
        <v>0</v>
      </c>
      <c r="Q95" s="3">
        <f>SCENARIO!Q108</f>
        <v>0</v>
      </c>
    </row>
    <row r="96" spans="1:17">
      <c r="A96" s="2" t="s">
        <v>1823</v>
      </c>
      <c r="B96" s="2" t="s">
        <v>1826</v>
      </c>
      <c r="C96" s="4" t="str">
        <f>'MACRO DATA'!B98</f>
        <v>Financing</v>
      </c>
      <c r="D96" s="3">
        <f>SCENARIO!D109</f>
        <v>340</v>
      </c>
      <c r="E96" s="3">
        <f>SCENARIO!E109</f>
        <v>414</v>
      </c>
      <c r="F96" s="3">
        <f>SCENARIO!F109</f>
        <v>221</v>
      </c>
      <c r="G96" s="3">
        <f>SCENARIO!G109</f>
        <v>121</v>
      </c>
      <c r="H96" s="3">
        <f>SCENARIO!H109</f>
        <v>0</v>
      </c>
      <c r="I96" s="3">
        <f>SCENARIO!I109</f>
        <v>0</v>
      </c>
      <c r="J96" s="3">
        <f>SCENARIO!J109</f>
        <v>0</v>
      </c>
      <c r="K96" s="3">
        <f>SCENARIO!K109</f>
        <v>0</v>
      </c>
      <c r="L96" s="3">
        <f>SCENARIO!L109</f>
        <v>0</v>
      </c>
      <c r="M96" s="3">
        <f>SCENARIO!M109</f>
        <v>0</v>
      </c>
      <c r="N96" s="3">
        <f>SCENARIO!N109</f>
        <v>0</v>
      </c>
      <c r="O96" s="3">
        <f>SCENARIO!O109</f>
        <v>0</v>
      </c>
      <c r="P96" s="3">
        <f>SCENARIO!P109</f>
        <v>0</v>
      </c>
      <c r="Q96" s="3">
        <f>SCENARIO!Q109</f>
        <v>0</v>
      </c>
    </row>
    <row r="97" spans="1:17">
      <c r="A97" s="2" t="s">
        <v>1823</v>
      </c>
      <c r="B97" s="2" t="s">
        <v>1826</v>
      </c>
      <c r="C97" s="4" t="str">
        <f>'MACRO DATA'!B100</f>
        <v>Debt relief (non-HIPC)</v>
      </c>
      <c r="D97" s="3">
        <f>SCENARIO!D110</f>
        <v>217</v>
      </c>
      <c r="E97" s="3">
        <f>SCENARIO!E110</f>
        <v>170</v>
      </c>
      <c r="F97" s="3">
        <f>SCENARIO!F110</f>
        <v>170</v>
      </c>
      <c r="G97" s="3">
        <f>SCENARIO!G110</f>
        <v>154</v>
      </c>
      <c r="H97" s="3">
        <f>SCENARIO!H110</f>
        <v>0</v>
      </c>
      <c r="I97" s="3">
        <f>SCENARIO!I110</f>
        <v>0</v>
      </c>
      <c r="J97" s="3">
        <f>SCENARIO!J110</f>
        <v>0</v>
      </c>
      <c r="K97" s="3">
        <f>SCENARIO!K110</f>
        <v>0</v>
      </c>
      <c r="L97" s="3">
        <f>SCENARIO!L110</f>
        <v>0</v>
      </c>
      <c r="M97" s="3">
        <f>SCENARIO!M110</f>
        <v>0</v>
      </c>
      <c r="N97" s="3">
        <f>SCENARIO!N110</f>
        <v>0</v>
      </c>
      <c r="O97" s="3">
        <f>SCENARIO!O110</f>
        <v>0</v>
      </c>
      <c r="P97" s="3">
        <f>SCENARIO!P110</f>
        <v>0</v>
      </c>
      <c r="Q97" s="3">
        <f>SCENARIO!Q110</f>
        <v>0</v>
      </c>
    </row>
    <row r="98" spans="1:17">
      <c r="A98" s="2" t="s">
        <v>1823</v>
      </c>
      <c r="B98" s="2" t="s">
        <v>1826</v>
      </c>
      <c r="C98" s="4" t="str">
        <f>'MACRO DATA'!B101</f>
        <v>Debt relief (HIPC)</v>
      </c>
      <c r="D98" s="3">
        <f>SCENARIO!D111</f>
        <v>0</v>
      </c>
      <c r="E98" s="3">
        <f>SCENARIO!E111</f>
        <v>267</v>
      </c>
      <c r="F98" s="3">
        <f>SCENARIO!F111</f>
        <v>270</v>
      </c>
      <c r="G98" s="3">
        <f>SCENARIO!G111</f>
        <v>272</v>
      </c>
      <c r="H98" s="3">
        <f>SCENARIO!H111</f>
        <v>0</v>
      </c>
      <c r="I98" s="3">
        <f>SCENARIO!I111</f>
        <v>0</v>
      </c>
      <c r="J98" s="3">
        <f>SCENARIO!J111</f>
        <v>0</v>
      </c>
      <c r="K98" s="3">
        <f>SCENARIO!K111</f>
        <v>0</v>
      </c>
      <c r="L98" s="3">
        <f>SCENARIO!L111</f>
        <v>0</v>
      </c>
      <c r="M98" s="3">
        <f>SCENARIO!M111</f>
        <v>0</v>
      </c>
      <c r="N98" s="3">
        <f>SCENARIO!N111</f>
        <v>0</v>
      </c>
      <c r="O98" s="3">
        <f>SCENARIO!O111</f>
        <v>0</v>
      </c>
      <c r="P98" s="3">
        <f>SCENARIO!P111</f>
        <v>0</v>
      </c>
      <c r="Q98" s="3">
        <f>SCENARIO!Q111</f>
        <v>0</v>
      </c>
    </row>
    <row r="99" spans="1:17">
      <c r="A99" s="2" t="s">
        <v>1823</v>
      </c>
      <c r="B99" s="2" t="s">
        <v>1826</v>
      </c>
      <c r="C99" s="4" t="str">
        <f>'MACRO DATA'!B102</f>
        <v>Net changes in arrears (+inc)</v>
      </c>
      <c r="D99" s="3">
        <f>SCENARIO!D112</f>
        <v>-10</v>
      </c>
      <c r="E99" s="3">
        <f>SCENARIO!E112</f>
        <v>0</v>
      </c>
      <c r="F99" s="3">
        <f>SCENARIO!F112</f>
        <v>0</v>
      </c>
      <c r="G99" s="3">
        <f>SCENARIO!G112</f>
        <v>0</v>
      </c>
      <c r="H99" s="3">
        <f>SCENARIO!H112</f>
        <v>0</v>
      </c>
      <c r="I99" s="3">
        <f>SCENARIO!I112</f>
        <v>0</v>
      </c>
      <c r="J99" s="3">
        <f>SCENARIO!J112</f>
        <v>0</v>
      </c>
      <c r="K99" s="3">
        <f>SCENARIO!K112</f>
        <v>0</v>
      </c>
      <c r="L99" s="3">
        <f>SCENARIO!L112</f>
        <v>0</v>
      </c>
      <c r="M99" s="3">
        <f>SCENARIO!M112</f>
        <v>0</v>
      </c>
      <c r="N99" s="3">
        <f>SCENARIO!N112</f>
        <v>0</v>
      </c>
      <c r="O99" s="3">
        <f>SCENARIO!O112</f>
        <v>0</v>
      </c>
      <c r="P99" s="3">
        <f>SCENARIO!P112</f>
        <v>0</v>
      </c>
      <c r="Q99" s="3">
        <f>SCENARIO!Q112</f>
        <v>0</v>
      </c>
    </row>
    <row r="100" spans="1:17">
      <c r="A100" s="2" t="s">
        <v>1823</v>
      </c>
      <c r="B100" s="2" t="s">
        <v>1826</v>
      </c>
      <c r="C100" s="4" t="str">
        <f>'MACRO DATA'!B103</f>
        <v>Change in net int'l reserves (-inc)</v>
      </c>
      <c r="D100" s="3">
        <f>SCENARIO!D113</f>
        <v>-53</v>
      </c>
      <c r="E100" s="3">
        <f>SCENARIO!E113</f>
        <v>-231</v>
      </c>
      <c r="F100" s="3">
        <f>SCENARIO!F113</f>
        <v>-219</v>
      </c>
      <c r="G100" s="3">
        <f>SCENARIO!G113</f>
        <v>-305</v>
      </c>
      <c r="H100" s="3">
        <f>SCENARIO!H113</f>
        <v>0</v>
      </c>
      <c r="I100" s="3">
        <f>SCENARIO!I113</f>
        <v>0</v>
      </c>
      <c r="J100" s="3">
        <f>SCENARIO!J113</f>
        <v>0</v>
      </c>
      <c r="K100" s="3">
        <f>SCENARIO!K113</f>
        <v>0</v>
      </c>
      <c r="L100" s="3">
        <f>SCENARIO!L113</f>
        <v>0</v>
      </c>
      <c r="M100" s="3">
        <f>SCENARIO!M113</f>
        <v>0</v>
      </c>
      <c r="N100" s="3">
        <f>SCENARIO!N113</f>
        <v>0</v>
      </c>
      <c r="O100" s="3">
        <f>SCENARIO!O113</f>
        <v>0</v>
      </c>
      <c r="P100" s="3">
        <f>SCENARIO!P113</f>
        <v>0</v>
      </c>
      <c r="Q100" s="3">
        <f>SCENARIO!Q113</f>
        <v>0</v>
      </c>
    </row>
    <row r="101" spans="1:17">
      <c r="A101" s="2" t="s">
        <v>1823</v>
      </c>
      <c r="B101" s="2" t="s">
        <v>1826</v>
      </c>
      <c r="C101" s="4" t="str">
        <f>'MACRO DATA'!B104</f>
        <v xml:space="preserve">       Change in gross reserves</v>
      </c>
      <c r="D101" s="3">
        <f>SCENARIO!D114</f>
        <v>-68</v>
      </c>
      <c r="E101" s="3">
        <f>SCENARIO!E114</f>
        <v>-135</v>
      </c>
      <c r="F101" s="3">
        <f>SCENARIO!F114</f>
        <v>-124</v>
      </c>
      <c r="G101" s="3">
        <f>SCENARIO!G114</f>
        <v>-111</v>
      </c>
      <c r="H101" s="3">
        <f>SCENARIO!H114</f>
        <v>0</v>
      </c>
      <c r="I101" s="3">
        <f>SCENARIO!I114</f>
        <v>0</v>
      </c>
      <c r="J101" s="3">
        <f>SCENARIO!J114</f>
        <v>0</v>
      </c>
      <c r="K101" s="3">
        <f>SCENARIO!K114</f>
        <v>0</v>
      </c>
      <c r="L101" s="3">
        <f>SCENARIO!L114</f>
        <v>0</v>
      </c>
      <c r="M101" s="3">
        <f>SCENARIO!M114</f>
        <v>0</v>
      </c>
      <c r="N101" s="3">
        <f>SCENARIO!N114</f>
        <v>0</v>
      </c>
      <c r="O101" s="3">
        <f>SCENARIO!O114</f>
        <v>0</v>
      </c>
      <c r="P101" s="3">
        <f>SCENARIO!P114</f>
        <v>0</v>
      </c>
      <c r="Q101" s="3">
        <f>SCENARIO!Q114</f>
        <v>0</v>
      </c>
    </row>
    <row r="102" spans="1:17">
      <c r="A102" s="2" t="s">
        <v>1823</v>
      </c>
      <c r="B102" s="2" t="s">
        <v>1826</v>
      </c>
      <c r="C102" s="4" t="str">
        <f>'MACRO DATA'!B105</f>
        <v xml:space="preserve">       Other net liabilities</v>
      </c>
      <c r="D102" s="3">
        <f>SCENARIO!D115</f>
        <v>-5</v>
      </c>
      <c r="E102" s="3">
        <f>SCENARIO!E115</f>
        <v>-9</v>
      </c>
      <c r="F102" s="3">
        <f>SCENARIO!F115</f>
        <v>-7</v>
      </c>
      <c r="G102" s="3">
        <f>SCENARIO!G115</f>
        <v>-7</v>
      </c>
      <c r="H102" s="3">
        <f>SCENARIO!H115</f>
        <v>0</v>
      </c>
      <c r="I102" s="3">
        <f>SCENARIO!I115</f>
        <v>0</v>
      </c>
      <c r="J102" s="3">
        <f>SCENARIO!J115</f>
        <v>0</v>
      </c>
      <c r="K102" s="3">
        <f>SCENARIO!K115</f>
        <v>0</v>
      </c>
      <c r="L102" s="3">
        <f>SCENARIO!L115</f>
        <v>0</v>
      </c>
      <c r="M102" s="3">
        <f>SCENARIO!M115</f>
        <v>0</v>
      </c>
      <c r="N102" s="3">
        <f>SCENARIO!N115</f>
        <v>0</v>
      </c>
      <c r="O102" s="3">
        <f>SCENARIO!O115</f>
        <v>0</v>
      </c>
      <c r="P102" s="3">
        <f>SCENARIO!P115</f>
        <v>0</v>
      </c>
      <c r="Q102" s="3">
        <f>SCENARIO!Q115</f>
        <v>0</v>
      </c>
    </row>
    <row r="103" spans="1:17">
      <c r="A103" s="2" t="s">
        <v>1823</v>
      </c>
      <c r="B103" s="2" t="s">
        <v>1826</v>
      </c>
      <c r="C103" s="4" t="str">
        <f>'MACRO DATA'!B106</f>
        <v xml:space="preserve">       IMF credit (net)</v>
      </c>
      <c r="D103" s="3">
        <f>SCENARIO!D116</f>
        <v>20</v>
      </c>
      <c r="E103" s="3">
        <f>SCENARIO!E116</f>
        <v>-87</v>
      </c>
      <c r="F103" s="3">
        <f>SCENARIO!F116</f>
        <v>-88</v>
      </c>
      <c r="G103" s="3">
        <f>SCENARIO!G116</f>
        <v>-187</v>
      </c>
      <c r="H103" s="3">
        <f>SCENARIO!H116</f>
        <v>0</v>
      </c>
      <c r="I103" s="3">
        <f>SCENARIO!I116</f>
        <v>0</v>
      </c>
      <c r="J103" s="3">
        <f>SCENARIO!J116</f>
        <v>0</v>
      </c>
      <c r="K103" s="3">
        <f>SCENARIO!K116</f>
        <v>0</v>
      </c>
      <c r="L103" s="3">
        <f>SCENARIO!L116</f>
        <v>0</v>
      </c>
      <c r="M103" s="3">
        <f>SCENARIO!M116</f>
        <v>0</v>
      </c>
      <c r="N103" s="3">
        <f>SCENARIO!N116</f>
        <v>0</v>
      </c>
      <c r="O103" s="3">
        <f>SCENARIO!O116</f>
        <v>0</v>
      </c>
      <c r="P103" s="3">
        <f>SCENARIO!P116</f>
        <v>0</v>
      </c>
      <c r="Q103" s="3">
        <f>SCENARIO!Q116</f>
        <v>0</v>
      </c>
    </row>
    <row r="104" spans="1:17">
      <c r="A104" s="2" t="s">
        <v>1823</v>
      </c>
      <c r="B104" s="2" t="s">
        <v>1826</v>
      </c>
      <c r="C104" s="4" t="str">
        <f>'MACRO DATA'!B107</f>
        <v>BOP support grants</v>
      </c>
      <c r="D104" s="3">
        <f>SCENARIO!D117</f>
        <v>32</v>
      </c>
      <c r="E104" s="3">
        <f>SCENARIO!E117</f>
        <v>99</v>
      </c>
      <c r="F104" s="3">
        <f>SCENARIO!F117</f>
        <v>0</v>
      </c>
      <c r="G104" s="3">
        <f>SCENARIO!G117</f>
        <v>0</v>
      </c>
      <c r="H104" s="3">
        <f>SCENARIO!H117</f>
        <v>0</v>
      </c>
      <c r="I104" s="3">
        <f>SCENARIO!I117</f>
        <v>0</v>
      </c>
      <c r="J104" s="3">
        <f>SCENARIO!J117</f>
        <v>0</v>
      </c>
      <c r="K104" s="3">
        <f>SCENARIO!K117</f>
        <v>0</v>
      </c>
      <c r="L104" s="3">
        <f>SCENARIO!L117</f>
        <v>0</v>
      </c>
      <c r="M104" s="3">
        <f>SCENARIO!M117</f>
        <v>0</v>
      </c>
      <c r="N104" s="3">
        <f>SCENARIO!N117</f>
        <v>0</v>
      </c>
      <c r="O104" s="3">
        <f>SCENARIO!O117</f>
        <v>0</v>
      </c>
      <c r="P104" s="3">
        <f>SCENARIO!P117</f>
        <v>0</v>
      </c>
      <c r="Q104" s="3">
        <f>SCENARIO!Q117</f>
        <v>0</v>
      </c>
    </row>
    <row r="105" spans="1:17">
      <c r="A105" s="2" t="s">
        <v>1823</v>
      </c>
      <c r="B105" s="2" t="s">
        <v>1826</v>
      </c>
      <c r="C105" s="4" t="str">
        <f>'MACRO DATA'!B108</f>
        <v>BOP support loans</v>
      </c>
      <c r="D105" s="3">
        <f>SCENARIO!D118</f>
        <v>154</v>
      </c>
      <c r="E105" s="3">
        <f>SCENARIO!E118</f>
        <v>109</v>
      </c>
      <c r="F105" s="3">
        <f>SCENARIO!F118</f>
        <v>0</v>
      </c>
      <c r="G105" s="3">
        <f>SCENARIO!G118</f>
        <v>0</v>
      </c>
      <c r="H105" s="3">
        <f>SCENARIO!H118</f>
        <v>0</v>
      </c>
      <c r="I105" s="3">
        <f>SCENARIO!I118</f>
        <v>0</v>
      </c>
      <c r="J105" s="3">
        <f>SCENARIO!J118</f>
        <v>0</v>
      </c>
      <c r="K105" s="3">
        <f>SCENARIO!K118</f>
        <v>0</v>
      </c>
      <c r="L105" s="3">
        <f>SCENARIO!L118</f>
        <v>0</v>
      </c>
      <c r="M105" s="3">
        <f>SCENARIO!M118</f>
        <v>0</v>
      </c>
      <c r="N105" s="3">
        <f>SCENARIO!N118</f>
        <v>0</v>
      </c>
      <c r="O105" s="3">
        <f>SCENARIO!O118</f>
        <v>0</v>
      </c>
      <c r="P105" s="3">
        <f>SCENARIO!P118</f>
        <v>0</v>
      </c>
      <c r="Q105" s="3">
        <f>SCENARIO!Q118</f>
        <v>0</v>
      </c>
    </row>
    <row r="106" spans="1:17">
      <c r="A106" s="2" t="s">
        <v>1823</v>
      </c>
      <c r="B106" s="2" t="s">
        <v>1826</v>
      </c>
      <c r="C106" s="4" t="str">
        <f>'MACRO DATA'!B109</f>
        <v xml:space="preserve">        Multilateral</v>
      </c>
      <c r="D106" s="3">
        <f>SCENARIO!D119</f>
        <v>154</v>
      </c>
      <c r="E106" s="3">
        <f>SCENARIO!E119</f>
        <v>109</v>
      </c>
      <c r="F106" s="3">
        <f>SCENARIO!F119</f>
        <v>0</v>
      </c>
      <c r="G106" s="3">
        <f>SCENARIO!G119</f>
        <v>0</v>
      </c>
      <c r="H106" s="3">
        <f>SCENARIO!H119</f>
        <v>0</v>
      </c>
      <c r="I106" s="3">
        <f>SCENARIO!I119</f>
        <v>0</v>
      </c>
      <c r="J106" s="3">
        <f>SCENARIO!J119</f>
        <v>0</v>
      </c>
      <c r="K106" s="3">
        <f>SCENARIO!K119</f>
        <v>0</v>
      </c>
      <c r="L106" s="3">
        <f>SCENARIO!L119</f>
        <v>0</v>
      </c>
      <c r="M106" s="3">
        <f>SCENARIO!M119</f>
        <v>0</v>
      </c>
      <c r="N106" s="3">
        <f>SCENARIO!N119</f>
        <v>0</v>
      </c>
      <c r="O106" s="3">
        <f>SCENARIO!O119</f>
        <v>0</v>
      </c>
      <c r="P106" s="3">
        <f>SCENARIO!P119</f>
        <v>0</v>
      </c>
      <c r="Q106" s="3">
        <f>SCENARIO!Q119</f>
        <v>0</v>
      </c>
    </row>
    <row r="107" spans="1:17">
      <c r="A107" s="2" t="s">
        <v>1823</v>
      </c>
      <c r="B107" s="2" t="s">
        <v>1826</v>
      </c>
      <c r="C107" s="4" t="str">
        <f>'MACRO DATA'!B110</f>
        <v xml:space="preserve">        Bilateral</v>
      </c>
      <c r="D107" s="3">
        <f>SCENARIO!D120</f>
        <v>0</v>
      </c>
      <c r="E107" s="3">
        <f>SCENARIO!E120</f>
        <v>0</v>
      </c>
      <c r="F107" s="3">
        <f>SCENARIO!F120</f>
        <v>0</v>
      </c>
      <c r="G107" s="3">
        <f>SCENARIO!G120</f>
        <v>0</v>
      </c>
      <c r="H107" s="3">
        <f>SCENARIO!H120</f>
        <v>0</v>
      </c>
      <c r="I107" s="3">
        <f>SCENARIO!I120</f>
        <v>0</v>
      </c>
      <c r="J107" s="3">
        <f>SCENARIO!J120</f>
        <v>0</v>
      </c>
      <c r="K107" s="3">
        <f>SCENARIO!K120</f>
        <v>0</v>
      </c>
      <c r="L107" s="3">
        <f>SCENARIO!L120</f>
        <v>0</v>
      </c>
      <c r="M107" s="3">
        <f>SCENARIO!M120</f>
        <v>0</v>
      </c>
      <c r="N107" s="3">
        <f>SCENARIO!N120</f>
        <v>0</v>
      </c>
      <c r="O107" s="3">
        <f>SCENARIO!O120</f>
        <v>0</v>
      </c>
      <c r="P107" s="3">
        <f>SCENARIO!P120</f>
        <v>0</v>
      </c>
      <c r="Q107" s="3">
        <f>SCENARIO!Q120</f>
        <v>0</v>
      </c>
    </row>
    <row r="108" spans="1:17">
      <c r="A108" s="2" t="s">
        <v>1823</v>
      </c>
      <c r="B108" s="2" t="s">
        <v>1826</v>
      </c>
      <c r="C108" s="4" t="str">
        <f>'MACRO DATA'!B111</f>
        <v>Other BOP financing</v>
      </c>
      <c r="D108" s="3">
        <f>SCENARIO!D121</f>
        <v>0</v>
      </c>
      <c r="E108" s="3">
        <f>SCENARIO!E121</f>
        <v>0</v>
      </c>
      <c r="F108" s="3">
        <f>SCENARIO!F121</f>
        <v>0</v>
      </c>
      <c r="G108" s="3">
        <f>SCENARIO!G121</f>
        <v>0</v>
      </c>
      <c r="H108" s="3">
        <f>SCENARIO!H121</f>
        <v>0</v>
      </c>
      <c r="I108" s="3">
        <f>SCENARIO!I121</f>
        <v>0</v>
      </c>
      <c r="J108" s="3">
        <f>SCENARIO!J121</f>
        <v>0</v>
      </c>
      <c r="K108" s="3">
        <f>SCENARIO!K121</f>
        <v>0</v>
      </c>
      <c r="L108" s="3">
        <f>SCENARIO!L121</f>
        <v>0</v>
      </c>
      <c r="M108" s="3">
        <f>SCENARIO!M121</f>
        <v>0</v>
      </c>
      <c r="N108" s="3">
        <f>SCENARIO!N121</f>
        <v>0</v>
      </c>
      <c r="O108" s="3">
        <f>SCENARIO!O121</f>
        <v>0</v>
      </c>
      <c r="P108" s="3">
        <f>SCENARIO!P121</f>
        <v>0</v>
      </c>
      <c r="Q108" s="3">
        <f>SCENARIO!Q121</f>
        <v>0</v>
      </c>
    </row>
    <row r="109" spans="1:17">
      <c r="A109" s="2" t="s">
        <v>1823</v>
      </c>
      <c r="B109" s="2" t="s">
        <v>1826</v>
      </c>
      <c r="C109" s="4" t="str">
        <f>'MACRO DATA'!B112</f>
        <v xml:space="preserve">        Source 1</v>
      </c>
      <c r="D109" s="3">
        <f>SCENARIO!D122</f>
        <v>0</v>
      </c>
      <c r="E109" s="3">
        <f>SCENARIO!E122</f>
        <v>0</v>
      </c>
      <c r="F109" s="3">
        <f>SCENARIO!F122</f>
        <v>0</v>
      </c>
      <c r="G109" s="3">
        <f>SCENARIO!G122</f>
        <v>0</v>
      </c>
      <c r="H109" s="3">
        <f>SCENARIO!H122</f>
        <v>0</v>
      </c>
      <c r="I109" s="3">
        <f>SCENARIO!I122</f>
        <v>0</v>
      </c>
      <c r="J109" s="3">
        <f>SCENARIO!J122</f>
        <v>0</v>
      </c>
      <c r="K109" s="3">
        <f>SCENARIO!K122</f>
        <v>0</v>
      </c>
      <c r="L109" s="3">
        <f>SCENARIO!L122</f>
        <v>0</v>
      </c>
      <c r="M109" s="3">
        <f>SCENARIO!M122</f>
        <v>0</v>
      </c>
      <c r="N109" s="3">
        <f>SCENARIO!N122</f>
        <v>0</v>
      </c>
      <c r="O109" s="3">
        <f>SCENARIO!O122</f>
        <v>0</v>
      </c>
      <c r="P109" s="3">
        <f>SCENARIO!P122</f>
        <v>0</v>
      </c>
      <c r="Q109" s="3">
        <f>SCENARIO!Q122</f>
        <v>0</v>
      </c>
    </row>
    <row r="110" spans="1:17">
      <c r="A110" s="2" t="s">
        <v>1823</v>
      </c>
      <c r="B110" s="2" t="s">
        <v>1826</v>
      </c>
      <c r="C110" s="4" t="str">
        <f>'MACRO DATA'!B113</f>
        <v xml:space="preserve">        Source 2</v>
      </c>
      <c r="D110" s="3">
        <f>SCENARIO!D123</f>
        <v>0</v>
      </c>
      <c r="E110" s="3">
        <f>SCENARIO!E123</f>
        <v>0</v>
      </c>
      <c r="F110" s="3">
        <f>SCENARIO!F123</f>
        <v>0</v>
      </c>
      <c r="G110" s="3">
        <f>SCENARIO!G123</f>
        <v>0</v>
      </c>
      <c r="H110" s="3">
        <f>SCENARIO!H123</f>
        <v>0</v>
      </c>
      <c r="I110" s="3">
        <f>SCENARIO!I123</f>
        <v>0</v>
      </c>
      <c r="J110" s="3">
        <f>SCENARIO!J123</f>
        <v>0</v>
      </c>
      <c r="K110" s="3">
        <f>SCENARIO!K123</f>
        <v>0</v>
      </c>
      <c r="L110" s="3">
        <f>SCENARIO!L123</f>
        <v>0</v>
      </c>
      <c r="M110" s="3">
        <f>SCENARIO!M123</f>
        <v>0</v>
      </c>
      <c r="N110" s="3">
        <f>SCENARIO!N123</f>
        <v>0</v>
      </c>
      <c r="O110" s="3">
        <f>SCENARIO!O123</f>
        <v>0</v>
      </c>
      <c r="P110" s="3">
        <f>SCENARIO!P123</f>
        <v>0</v>
      </c>
      <c r="Q110" s="3">
        <f>SCENARIO!Q123</f>
        <v>0</v>
      </c>
    </row>
    <row r="111" spans="1:17">
      <c r="A111" s="2" t="s">
        <v>1823</v>
      </c>
      <c r="B111" s="2" t="s">
        <v>1826</v>
      </c>
      <c r="C111" s="4" t="str">
        <f>'MACRO DATA'!B114</f>
        <v>Financing gap</v>
      </c>
      <c r="D111" s="3">
        <f>SCENARIO!D124</f>
        <v>0</v>
      </c>
      <c r="E111" s="3">
        <f>SCENARIO!E124</f>
        <v>3.1707317073198737E-2</v>
      </c>
      <c r="F111" s="3">
        <f>SCENARIO!F124</f>
        <v>-187.00616522811345</v>
      </c>
      <c r="G111" s="3">
        <f>SCENARIO!G124</f>
        <v>-276.03229560841908</v>
      </c>
      <c r="H111" s="3">
        <f>SCENARIO!H124</f>
        <v>0</v>
      </c>
      <c r="I111" s="3">
        <f>SCENARIO!I124</f>
        <v>0</v>
      </c>
      <c r="J111" s="3">
        <f>SCENARIO!J124</f>
        <v>0</v>
      </c>
      <c r="K111" s="3">
        <f>SCENARIO!K124</f>
        <v>0</v>
      </c>
      <c r="L111" s="3">
        <f>SCENARIO!L124</f>
        <v>0</v>
      </c>
      <c r="M111" s="3">
        <f>SCENARIO!M124</f>
        <v>0</v>
      </c>
      <c r="N111" s="3">
        <f>SCENARIO!N124</f>
        <v>0</v>
      </c>
      <c r="O111" s="3">
        <f>SCENARIO!O124</f>
        <v>0</v>
      </c>
      <c r="P111" s="3">
        <f>SCENARIO!P124</f>
        <v>0</v>
      </c>
      <c r="Q111" s="3">
        <f>SCENARIO!Q124</f>
        <v>0</v>
      </c>
    </row>
    <row r="112" spans="1:17">
      <c r="C112" s="4"/>
    </row>
    <row r="113" spans="3:8">
      <c r="C113" s="4"/>
    </row>
    <row r="114" spans="3:8">
      <c r="C114" s="4"/>
    </row>
    <row r="115" spans="3:8">
      <c r="C115" s="4"/>
      <c r="D115" s="392"/>
      <c r="E115" s="392"/>
      <c r="F115" s="392"/>
      <c r="G115" s="392"/>
      <c r="H115" s="392"/>
    </row>
    <row r="116" spans="3:8">
      <c r="C116" s="4"/>
      <c r="D116" s="392"/>
      <c r="E116" s="392"/>
      <c r="F116" s="392"/>
      <c r="G116" s="392"/>
      <c r="H116" s="392"/>
    </row>
    <row r="117" spans="3:8">
      <c r="C117" s="4"/>
      <c r="D117" s="392"/>
      <c r="E117" s="392"/>
      <c r="F117" s="392"/>
      <c r="G117" s="392"/>
      <c r="H117" s="392"/>
    </row>
    <row r="118" spans="3:8">
      <c r="C118" s="4"/>
    </row>
    <row r="120" spans="3:8">
      <c r="D120" s="45"/>
      <c r="E120" s="45"/>
      <c r="F120" s="45"/>
      <c r="G120" s="45"/>
    </row>
  </sheetData>
  <printOptions headings="1" gridLines="1"/>
  <pageMargins left="0.75" right="0.75" top="1" bottom="1" header="0.5" footer="0.5"/>
  <pageSetup firstPageNumber="23" fitToHeight="2" orientation="portrait" blackAndWhite="1" useFirstPageNumber="1" horizontalDpi="4294967292" r:id="rId1"/>
  <headerFooter alignWithMargins="0">
    <oddHeader>&amp;L&amp;T at &amp;D&amp;CRMSM-X Government Budget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M114"/>
  <sheetViews>
    <sheetView zoomScale="75" workbookViewId="0">
      <selection activeCell="A3" sqref="A3:B3"/>
      <pivotSelection pane="bottomRight" showHeader="1" activeRow="2" click="1" r:id="rId1">
        <pivotArea type="origin" dataOnly="0" labelOnly="1" outline="0" fieldPosition="0"/>
      </pivotSelection>
    </sheetView>
  </sheetViews>
  <sheetFormatPr defaultRowHeight="12.75"/>
  <cols>
    <col min="1" max="1" width="20.7109375" customWidth="1"/>
    <col min="2" max="2" width="34.42578125" customWidth="1"/>
    <col min="3" max="13" width="10.7109375" style="54" customWidth="1"/>
  </cols>
  <sheetData>
    <row r="1" spans="1:13">
      <c r="A1" s="7" t="s">
        <v>1787</v>
      </c>
      <c r="B1" s="16" t="s">
        <v>1823</v>
      </c>
    </row>
    <row r="3" spans="1:13">
      <c r="A3" s="5"/>
      <c r="B3" s="6"/>
      <c r="C3" s="7" t="s">
        <v>1827</v>
      </c>
      <c r="D3" s="6"/>
      <c r="E3" s="6"/>
      <c r="F3" s="8"/>
      <c r="G3"/>
      <c r="H3"/>
      <c r="I3"/>
      <c r="J3"/>
      <c r="K3"/>
      <c r="L3"/>
      <c r="M3"/>
    </row>
    <row r="4" spans="1:13">
      <c r="A4" s="7" t="s">
        <v>1788</v>
      </c>
      <c r="B4" s="7" t="s">
        <v>1789</v>
      </c>
      <c r="C4" s="5" t="s">
        <v>1828</v>
      </c>
      <c r="D4" s="6" t="s">
        <v>1829</v>
      </c>
      <c r="E4" s="6" t="s">
        <v>1830</v>
      </c>
      <c r="F4" s="8" t="s">
        <v>1831</v>
      </c>
      <c r="G4"/>
      <c r="H4"/>
      <c r="I4"/>
      <c r="J4"/>
      <c r="K4"/>
      <c r="L4"/>
      <c r="M4"/>
    </row>
    <row r="5" spans="1:13">
      <c r="A5" s="5" t="s">
        <v>1824</v>
      </c>
      <c r="B5" s="5" t="s">
        <v>1481</v>
      </c>
      <c r="C5" s="49">
        <v>-144</v>
      </c>
      <c r="D5" s="50">
        <v>-127</v>
      </c>
      <c r="E5" s="50">
        <v>-117</v>
      </c>
      <c r="F5" s="52">
        <v>-203</v>
      </c>
      <c r="G5"/>
      <c r="H5"/>
      <c r="I5"/>
      <c r="J5"/>
      <c r="K5"/>
      <c r="L5"/>
      <c r="M5"/>
    </row>
    <row r="6" spans="1:13">
      <c r="A6" s="9"/>
      <c r="B6" s="10" t="s">
        <v>1484</v>
      </c>
      <c r="C6" s="51">
        <v>31.824611032531827</v>
      </c>
      <c r="D6" s="15">
        <v>98.780487804878064</v>
      </c>
      <c r="E6" s="15">
        <v>0</v>
      </c>
      <c r="F6" s="53">
        <v>0</v>
      </c>
      <c r="G6"/>
      <c r="H6"/>
      <c r="I6"/>
      <c r="J6"/>
      <c r="K6"/>
      <c r="L6"/>
      <c r="M6"/>
    </row>
    <row r="7" spans="1:13">
      <c r="A7" s="9"/>
      <c r="B7" s="10" t="s">
        <v>1485</v>
      </c>
      <c r="C7" s="51">
        <v>-49.824611032531827</v>
      </c>
      <c r="D7" s="15">
        <v>-118.78048780487806</v>
      </c>
      <c r="E7" s="15">
        <v>-23</v>
      </c>
      <c r="F7" s="53">
        <v>-31</v>
      </c>
      <c r="G7"/>
      <c r="H7"/>
      <c r="I7"/>
      <c r="J7"/>
      <c r="K7"/>
      <c r="L7"/>
      <c r="M7"/>
    </row>
    <row r="8" spans="1:13">
      <c r="A8" s="9"/>
      <c r="B8" s="10" t="s">
        <v>1884</v>
      </c>
      <c r="C8" s="51">
        <v>-163</v>
      </c>
      <c r="D8" s="15">
        <v>-158</v>
      </c>
      <c r="E8" s="15">
        <v>-151</v>
      </c>
      <c r="F8" s="53">
        <v>-134</v>
      </c>
      <c r="G8"/>
      <c r="H8"/>
      <c r="I8"/>
      <c r="J8"/>
      <c r="K8"/>
      <c r="L8"/>
      <c r="M8"/>
    </row>
    <row r="9" spans="1:13">
      <c r="A9" s="9"/>
      <c r="B9" s="10" t="s">
        <v>1482</v>
      </c>
      <c r="C9" s="51">
        <v>19</v>
      </c>
      <c r="D9" s="15">
        <v>31</v>
      </c>
      <c r="E9" s="15">
        <v>34</v>
      </c>
      <c r="F9" s="53">
        <v>-69</v>
      </c>
      <c r="G9"/>
      <c r="H9"/>
      <c r="I9"/>
      <c r="J9"/>
      <c r="K9"/>
      <c r="L9"/>
      <c r="M9"/>
    </row>
    <row r="10" spans="1:13">
      <c r="A10" s="9"/>
      <c r="B10" s="10" t="s">
        <v>1885</v>
      </c>
      <c r="C10" s="51">
        <v>-18</v>
      </c>
      <c r="D10" s="15">
        <v>-20</v>
      </c>
      <c r="E10" s="15">
        <v>-23</v>
      </c>
      <c r="F10" s="53">
        <v>-31</v>
      </c>
      <c r="G10"/>
      <c r="H10"/>
      <c r="I10"/>
      <c r="J10"/>
      <c r="K10"/>
      <c r="L10"/>
      <c r="M10"/>
    </row>
    <row r="11" spans="1:13">
      <c r="A11" s="5" t="s">
        <v>1825</v>
      </c>
      <c r="B11" s="5" t="s">
        <v>1487</v>
      </c>
      <c r="C11" s="49">
        <v>153</v>
      </c>
      <c r="D11" s="50">
        <v>200.73170731707319</v>
      </c>
      <c r="E11" s="50">
        <v>204.99383477188655</v>
      </c>
      <c r="F11" s="52">
        <v>210.06770439158095</v>
      </c>
      <c r="G11"/>
      <c r="H11"/>
      <c r="I11"/>
      <c r="J11"/>
      <c r="K11"/>
      <c r="L11"/>
      <c r="M11"/>
    </row>
    <row r="12" spans="1:13">
      <c r="A12" s="9"/>
      <c r="B12" s="10" t="s">
        <v>1895</v>
      </c>
      <c r="C12" s="51">
        <v>-605</v>
      </c>
      <c r="D12" s="15">
        <v>-659.99999999999147</v>
      </c>
      <c r="E12" s="15">
        <v>-612.99999999999</v>
      </c>
      <c r="F12" s="53">
        <v>-681.00000000002092</v>
      </c>
      <c r="G12"/>
      <c r="H12"/>
      <c r="I12"/>
      <c r="J12"/>
      <c r="K12"/>
      <c r="L12"/>
      <c r="M12"/>
    </row>
    <row r="13" spans="1:13">
      <c r="A13" s="9"/>
      <c r="B13" s="10" t="s">
        <v>1893</v>
      </c>
      <c r="C13" s="51">
        <v>-451.98469846984722</v>
      </c>
      <c r="D13" s="15">
        <v>-459.26829268291829</v>
      </c>
      <c r="E13" s="15">
        <v>-408.00616522810344</v>
      </c>
      <c r="F13" s="53">
        <v>-470.93229560843997</v>
      </c>
      <c r="G13"/>
      <c r="H13"/>
      <c r="I13"/>
      <c r="J13"/>
      <c r="K13"/>
      <c r="L13"/>
      <c r="M13"/>
    </row>
    <row r="14" spans="1:13">
      <c r="A14" s="9"/>
      <c r="B14" s="10" t="s">
        <v>1896</v>
      </c>
      <c r="C14" s="51">
        <v>153.01530153015304</v>
      </c>
      <c r="D14" s="15">
        <v>200.73170731707319</v>
      </c>
      <c r="E14" s="15">
        <v>204.99383477188655</v>
      </c>
      <c r="F14" s="53">
        <v>210.06770439158095</v>
      </c>
      <c r="G14"/>
      <c r="H14"/>
      <c r="I14"/>
      <c r="J14"/>
      <c r="K14"/>
      <c r="L14"/>
      <c r="M14"/>
    </row>
    <row r="15" spans="1:13">
      <c r="A15" s="9"/>
      <c r="B15" s="10" t="s">
        <v>1892</v>
      </c>
      <c r="C15" s="51">
        <v>-40</v>
      </c>
      <c r="D15" s="15">
        <v>9</v>
      </c>
      <c r="E15" s="15">
        <v>22</v>
      </c>
      <c r="F15" s="53">
        <v>35</v>
      </c>
      <c r="G15"/>
      <c r="H15"/>
      <c r="I15"/>
      <c r="J15"/>
      <c r="K15"/>
      <c r="L15"/>
      <c r="M15"/>
    </row>
    <row r="16" spans="1:13">
      <c r="A16" s="9"/>
      <c r="B16" s="10" t="s">
        <v>1889</v>
      </c>
      <c r="C16" s="51">
        <v>-140</v>
      </c>
      <c r="D16" s="15">
        <v>-107</v>
      </c>
      <c r="E16" s="15">
        <v>-109</v>
      </c>
      <c r="F16" s="53">
        <v>-104</v>
      </c>
      <c r="G16"/>
      <c r="H16"/>
      <c r="I16"/>
      <c r="J16"/>
      <c r="K16"/>
      <c r="L16"/>
      <c r="M16"/>
    </row>
    <row r="17" spans="1:13">
      <c r="A17" s="9"/>
      <c r="B17" s="10" t="s">
        <v>1890</v>
      </c>
      <c r="C17" s="51">
        <v>93</v>
      </c>
      <c r="D17" s="15">
        <v>125</v>
      </c>
      <c r="E17" s="15">
        <v>126</v>
      </c>
      <c r="F17" s="53">
        <v>128</v>
      </c>
      <c r="G17"/>
      <c r="H17"/>
      <c r="I17"/>
      <c r="J17"/>
      <c r="K17"/>
      <c r="L17"/>
      <c r="M17"/>
    </row>
    <row r="18" spans="1:13">
      <c r="A18" s="9"/>
      <c r="B18" s="10" t="s">
        <v>2034</v>
      </c>
      <c r="C18" s="51">
        <v>-233</v>
      </c>
      <c r="D18" s="15">
        <v>-232</v>
      </c>
      <c r="E18" s="15">
        <v>-235</v>
      </c>
      <c r="F18" s="53">
        <v>-232</v>
      </c>
      <c r="G18"/>
      <c r="H18"/>
      <c r="I18"/>
      <c r="J18"/>
      <c r="K18"/>
      <c r="L18"/>
      <c r="M18"/>
    </row>
    <row r="19" spans="1:13">
      <c r="A19" s="9"/>
      <c r="B19" s="10" t="s">
        <v>2035</v>
      </c>
      <c r="C19" s="51">
        <v>-26</v>
      </c>
      <c r="D19" s="15">
        <v>-24</v>
      </c>
      <c r="E19" s="15">
        <v>-19</v>
      </c>
      <c r="F19" s="53">
        <v>-21</v>
      </c>
      <c r="G19"/>
      <c r="H19"/>
      <c r="I19"/>
      <c r="J19"/>
      <c r="K19"/>
      <c r="L19"/>
      <c r="M19"/>
    </row>
    <row r="20" spans="1:13">
      <c r="A20" s="5" t="s">
        <v>1826</v>
      </c>
      <c r="B20" s="5" t="s">
        <v>1471</v>
      </c>
      <c r="C20" s="49">
        <v>-340</v>
      </c>
      <c r="D20" s="50">
        <v>-413.9682926829268</v>
      </c>
      <c r="E20" s="50">
        <v>-408.00616522811345</v>
      </c>
      <c r="F20" s="52">
        <v>-397.03229560841908</v>
      </c>
      <c r="G20"/>
      <c r="H20"/>
      <c r="I20"/>
      <c r="J20"/>
      <c r="K20"/>
      <c r="L20"/>
      <c r="M20"/>
    </row>
    <row r="21" spans="1:13">
      <c r="A21" s="9"/>
      <c r="B21" s="10" t="s">
        <v>1489</v>
      </c>
      <c r="C21" s="51">
        <v>-5</v>
      </c>
      <c r="D21" s="15">
        <v>-9</v>
      </c>
      <c r="E21" s="15">
        <v>-7</v>
      </c>
      <c r="F21" s="53">
        <v>-7</v>
      </c>
      <c r="G21"/>
      <c r="H21"/>
      <c r="I21"/>
      <c r="J21"/>
      <c r="K21"/>
      <c r="L21"/>
      <c r="M21"/>
    </row>
    <row r="22" spans="1:13">
      <c r="A22" s="9"/>
      <c r="B22" s="10" t="s">
        <v>1847</v>
      </c>
      <c r="C22" s="51">
        <v>0</v>
      </c>
      <c r="D22" s="15">
        <v>3.1707317073198737E-2</v>
      </c>
      <c r="E22" s="15">
        <v>-187.00616522811345</v>
      </c>
      <c r="F22" s="53">
        <v>-276.03229560841908</v>
      </c>
      <c r="G22"/>
      <c r="H22"/>
      <c r="I22"/>
      <c r="J22"/>
      <c r="K22"/>
      <c r="L22"/>
      <c r="M22"/>
    </row>
    <row r="23" spans="1:13">
      <c r="A23" s="9"/>
      <c r="B23" s="10" t="s">
        <v>1891</v>
      </c>
      <c r="C23" s="51">
        <v>152</v>
      </c>
      <c r="D23" s="15">
        <v>36.299999999999997</v>
      </c>
      <c r="E23" s="15">
        <v>-22</v>
      </c>
      <c r="F23" s="53">
        <v>38.9</v>
      </c>
      <c r="G23"/>
      <c r="H23"/>
      <c r="I23"/>
      <c r="J23"/>
      <c r="K23"/>
      <c r="L23"/>
      <c r="M23"/>
    </row>
    <row r="24" spans="1:13">
      <c r="A24" s="9"/>
      <c r="B24" s="10" t="s">
        <v>1488</v>
      </c>
      <c r="C24" s="51">
        <v>340</v>
      </c>
      <c r="D24" s="15">
        <v>414</v>
      </c>
      <c r="E24" s="15">
        <v>221</v>
      </c>
      <c r="F24" s="53">
        <v>121</v>
      </c>
      <c r="G24"/>
      <c r="H24"/>
      <c r="I24"/>
      <c r="J24"/>
      <c r="K24"/>
      <c r="L24"/>
      <c r="M24"/>
    </row>
    <row r="25" spans="1:13">
      <c r="A25" s="9"/>
      <c r="B25" s="10" t="s">
        <v>1899</v>
      </c>
      <c r="C25" s="51">
        <v>-68</v>
      </c>
      <c r="D25" s="15">
        <v>-135</v>
      </c>
      <c r="E25" s="15">
        <v>-124</v>
      </c>
      <c r="F25" s="53">
        <v>-111</v>
      </c>
      <c r="G25"/>
      <c r="H25"/>
      <c r="I25"/>
      <c r="J25"/>
      <c r="K25"/>
      <c r="L25"/>
      <c r="M25"/>
    </row>
    <row r="26" spans="1:13">
      <c r="A26" s="9"/>
      <c r="B26" s="10" t="s">
        <v>1901</v>
      </c>
      <c r="C26" s="51">
        <v>32</v>
      </c>
      <c r="D26" s="15">
        <v>99</v>
      </c>
      <c r="E26" s="15">
        <v>0</v>
      </c>
      <c r="F26" s="53">
        <v>0</v>
      </c>
      <c r="G26"/>
      <c r="H26"/>
      <c r="I26"/>
      <c r="J26"/>
      <c r="K26"/>
      <c r="L26"/>
      <c r="M26"/>
    </row>
    <row r="27" spans="1:13">
      <c r="A27" s="9"/>
      <c r="B27" s="10" t="s">
        <v>1902</v>
      </c>
      <c r="C27" s="51">
        <v>154</v>
      </c>
      <c r="D27" s="15">
        <v>109</v>
      </c>
      <c r="E27" s="15">
        <v>0</v>
      </c>
      <c r="F27" s="53">
        <v>0</v>
      </c>
      <c r="G27"/>
      <c r="H27"/>
      <c r="I27"/>
      <c r="J27"/>
      <c r="K27"/>
      <c r="L27"/>
      <c r="M27"/>
    </row>
    <row r="28" spans="1:13">
      <c r="A28" s="9"/>
      <c r="B28" s="10" t="s">
        <v>1903</v>
      </c>
      <c r="C28" s="51">
        <v>154</v>
      </c>
      <c r="D28" s="15">
        <v>109</v>
      </c>
      <c r="E28" s="15">
        <v>0</v>
      </c>
      <c r="F28" s="53">
        <v>0</v>
      </c>
      <c r="G28"/>
      <c r="H28"/>
      <c r="I28"/>
      <c r="J28"/>
      <c r="K28"/>
      <c r="L28"/>
      <c r="M28"/>
    </row>
    <row r="29" spans="1:13">
      <c r="A29" s="9"/>
      <c r="B29" s="10" t="s">
        <v>1904</v>
      </c>
      <c r="C29" s="51">
        <v>0</v>
      </c>
      <c r="D29" s="15">
        <v>0</v>
      </c>
      <c r="E29" s="15">
        <v>0</v>
      </c>
      <c r="F29" s="53">
        <v>0</v>
      </c>
      <c r="G29"/>
      <c r="H29"/>
      <c r="I29"/>
      <c r="J29"/>
      <c r="K29"/>
      <c r="L29"/>
      <c r="M29"/>
    </row>
    <row r="30" spans="1:13">
      <c r="A30" s="9"/>
      <c r="B30" s="10" t="s">
        <v>1915</v>
      </c>
      <c r="C30" s="51">
        <v>0</v>
      </c>
      <c r="D30" s="15">
        <v>0</v>
      </c>
      <c r="E30" s="15">
        <v>0</v>
      </c>
      <c r="F30" s="53">
        <v>0</v>
      </c>
      <c r="G30"/>
      <c r="H30"/>
      <c r="I30"/>
      <c r="J30"/>
      <c r="K30"/>
      <c r="L30"/>
      <c r="M30"/>
    </row>
    <row r="31" spans="1:13">
      <c r="A31" s="9"/>
      <c r="B31" s="10" t="s">
        <v>1908</v>
      </c>
      <c r="C31" s="51">
        <v>0</v>
      </c>
      <c r="D31" s="15">
        <v>0</v>
      </c>
      <c r="E31" s="15">
        <v>0</v>
      </c>
      <c r="F31" s="53">
        <v>0</v>
      </c>
      <c r="G31"/>
      <c r="H31"/>
      <c r="I31"/>
      <c r="J31"/>
      <c r="K31"/>
      <c r="L31"/>
      <c r="M31"/>
    </row>
    <row r="32" spans="1:13">
      <c r="A32" s="9"/>
      <c r="B32" s="10" t="s">
        <v>1909</v>
      </c>
      <c r="C32" s="51">
        <v>0</v>
      </c>
      <c r="D32" s="15">
        <v>0</v>
      </c>
      <c r="E32" s="15">
        <v>0</v>
      </c>
      <c r="F32" s="53">
        <v>0</v>
      </c>
      <c r="G32"/>
      <c r="H32"/>
      <c r="I32"/>
      <c r="J32"/>
      <c r="K32"/>
      <c r="L32"/>
      <c r="M32"/>
    </row>
    <row r="33" spans="1:13">
      <c r="A33" s="9"/>
      <c r="B33" s="10" t="s">
        <v>2038</v>
      </c>
      <c r="C33" s="51">
        <v>126</v>
      </c>
      <c r="D33" s="15">
        <v>140</v>
      </c>
      <c r="E33" s="15">
        <v>150</v>
      </c>
      <c r="F33" s="53">
        <v>160</v>
      </c>
      <c r="G33"/>
      <c r="H33"/>
      <c r="I33"/>
      <c r="J33"/>
      <c r="K33"/>
      <c r="L33"/>
      <c r="M33"/>
    </row>
    <row r="34" spans="1:13">
      <c r="A34" s="9"/>
      <c r="B34" s="10" t="s">
        <v>528</v>
      </c>
      <c r="C34" s="51">
        <v>217</v>
      </c>
      <c r="D34" s="15">
        <v>170</v>
      </c>
      <c r="E34" s="15">
        <v>170</v>
      </c>
      <c r="F34" s="53">
        <v>154</v>
      </c>
      <c r="G34"/>
      <c r="H34"/>
      <c r="I34"/>
      <c r="J34"/>
      <c r="K34"/>
      <c r="L34"/>
      <c r="M34"/>
    </row>
    <row r="35" spans="1:13">
      <c r="A35" s="9"/>
      <c r="B35" s="10" t="s">
        <v>657</v>
      </c>
      <c r="C35" s="51">
        <v>0</v>
      </c>
      <c r="D35" s="15">
        <v>267</v>
      </c>
      <c r="E35" s="15">
        <v>270</v>
      </c>
      <c r="F35" s="53">
        <v>272</v>
      </c>
      <c r="G35"/>
      <c r="H35"/>
      <c r="I35"/>
      <c r="J35"/>
      <c r="K35"/>
      <c r="L35"/>
      <c r="M35"/>
    </row>
    <row r="36" spans="1:13">
      <c r="A36" s="9"/>
      <c r="B36" s="10" t="s">
        <v>658</v>
      </c>
      <c r="C36" s="51">
        <v>-10</v>
      </c>
      <c r="D36" s="15">
        <v>0</v>
      </c>
      <c r="E36" s="15">
        <v>0</v>
      </c>
      <c r="F36" s="53">
        <v>0</v>
      </c>
      <c r="G36"/>
      <c r="H36"/>
      <c r="I36"/>
      <c r="J36"/>
      <c r="K36"/>
      <c r="L36"/>
      <c r="M36"/>
    </row>
    <row r="37" spans="1:13">
      <c r="A37" s="9"/>
      <c r="B37" s="10" t="s">
        <v>659</v>
      </c>
      <c r="C37" s="51">
        <v>-53</v>
      </c>
      <c r="D37" s="15">
        <v>-231</v>
      </c>
      <c r="E37" s="15">
        <v>-219</v>
      </c>
      <c r="F37" s="53">
        <v>-305</v>
      </c>
      <c r="G37"/>
      <c r="H37"/>
      <c r="I37"/>
      <c r="J37"/>
      <c r="K37"/>
      <c r="L37"/>
      <c r="M37"/>
    </row>
    <row r="38" spans="1:13">
      <c r="A38" s="9"/>
      <c r="B38" s="10" t="s">
        <v>656</v>
      </c>
      <c r="C38" s="51">
        <v>20</v>
      </c>
      <c r="D38" s="15">
        <v>-87</v>
      </c>
      <c r="E38" s="15">
        <v>-88</v>
      </c>
      <c r="F38" s="53">
        <v>-187</v>
      </c>
      <c r="G38"/>
      <c r="H38"/>
      <c r="I38"/>
      <c r="J38"/>
      <c r="K38"/>
      <c r="L38"/>
      <c r="M38"/>
    </row>
    <row r="39" spans="1:13">
      <c r="A39" s="5" t="s">
        <v>1859</v>
      </c>
      <c r="B39" s="5" t="s">
        <v>1940</v>
      </c>
      <c r="C39" s="797">
        <v>3.1107999303994176</v>
      </c>
      <c r="D39" s="798">
        <v>3.5636739472709342</v>
      </c>
      <c r="E39" s="798">
        <v>4.5878431979609955</v>
      </c>
      <c r="F39" s="799">
        <v>5.2511573824081905</v>
      </c>
      <c r="G39"/>
      <c r="H39"/>
      <c r="I39"/>
      <c r="J39"/>
      <c r="K39"/>
      <c r="L39"/>
      <c r="M39"/>
    </row>
    <row r="40" spans="1:13">
      <c r="A40" s="13"/>
      <c r="B40" s="14" t="s">
        <v>1941</v>
      </c>
      <c r="C40" s="800">
        <v>1</v>
      </c>
      <c r="D40" s="801">
        <v>1.1455812096579829</v>
      </c>
      <c r="E40" s="801">
        <v>1.4748113991927247</v>
      </c>
      <c r="F40" s="802">
        <v>1.6880408576240251</v>
      </c>
      <c r="G40"/>
      <c r="H40"/>
      <c r="I40"/>
      <c r="J40"/>
      <c r="K40"/>
      <c r="L40"/>
      <c r="M40"/>
    </row>
    <row r="41" spans="1:13">
      <c r="C41"/>
      <c r="D41"/>
      <c r="E41"/>
      <c r="F41"/>
      <c r="G41"/>
      <c r="H41"/>
      <c r="I41"/>
      <c r="J41"/>
      <c r="K41"/>
      <c r="L41"/>
      <c r="M41"/>
    </row>
    <row r="42" spans="1:13">
      <c r="C42"/>
      <c r="D42"/>
      <c r="E42"/>
      <c r="F42"/>
      <c r="G42"/>
      <c r="H42"/>
      <c r="I42"/>
      <c r="J42"/>
      <c r="K42"/>
      <c r="L42"/>
      <c r="M42"/>
    </row>
    <row r="43" spans="1:13">
      <c r="C43"/>
      <c r="D43"/>
      <c r="E43"/>
      <c r="F43"/>
      <c r="G43"/>
      <c r="H43"/>
      <c r="I43"/>
      <c r="J43"/>
      <c r="K43"/>
      <c r="L43"/>
      <c r="M43"/>
    </row>
    <row r="44" spans="1:13">
      <c r="C44"/>
      <c r="D44"/>
      <c r="E44"/>
      <c r="F44"/>
      <c r="G44"/>
      <c r="H44"/>
      <c r="I44"/>
      <c r="J44"/>
      <c r="K44"/>
      <c r="L44"/>
      <c r="M44"/>
    </row>
    <row r="45" spans="1:13">
      <c r="C45"/>
      <c r="D45"/>
      <c r="E45"/>
      <c r="F45"/>
      <c r="G45"/>
      <c r="H45"/>
      <c r="I45"/>
      <c r="J45"/>
      <c r="K45"/>
      <c r="L45"/>
      <c r="M45"/>
    </row>
    <row r="46" spans="1:13">
      <c r="C46"/>
      <c r="D46"/>
      <c r="E46"/>
      <c r="F46"/>
      <c r="G46"/>
      <c r="H46"/>
      <c r="I46"/>
      <c r="J46"/>
      <c r="K46"/>
      <c r="L46"/>
      <c r="M46"/>
    </row>
    <row r="47" spans="1:13">
      <c r="C47"/>
      <c r="D47"/>
      <c r="E47"/>
      <c r="F47"/>
      <c r="G47"/>
      <c r="H47"/>
      <c r="I47"/>
      <c r="J47"/>
      <c r="K47"/>
      <c r="L47"/>
      <c r="M47"/>
    </row>
    <row r="48" spans="1:13">
      <c r="C48"/>
      <c r="D48"/>
      <c r="E48"/>
      <c r="F48"/>
      <c r="G48"/>
      <c r="H48"/>
      <c r="I48"/>
      <c r="J48"/>
      <c r="K48"/>
      <c r="L48"/>
      <c r="M48"/>
    </row>
    <row r="49" spans="3:13">
      <c r="C49"/>
      <c r="D49"/>
      <c r="E49"/>
      <c r="F49"/>
      <c r="G49"/>
      <c r="H49"/>
      <c r="I49"/>
      <c r="J49"/>
      <c r="K49"/>
      <c r="L49"/>
      <c r="M49"/>
    </row>
    <row r="50" spans="3:13">
      <c r="C50"/>
      <c r="D50"/>
      <c r="E50"/>
      <c r="F50"/>
      <c r="G50"/>
      <c r="H50"/>
      <c r="I50"/>
      <c r="J50"/>
      <c r="K50"/>
      <c r="L50"/>
      <c r="M50"/>
    </row>
    <row r="51" spans="3:13">
      <c r="C51"/>
      <c r="D51"/>
      <c r="E51"/>
      <c r="F51"/>
      <c r="G51"/>
      <c r="H51"/>
      <c r="I51"/>
      <c r="J51"/>
      <c r="K51"/>
      <c r="L51"/>
      <c r="M51"/>
    </row>
    <row r="52" spans="3:13">
      <c r="C52"/>
      <c r="D52"/>
      <c r="E52"/>
      <c r="F52"/>
      <c r="G52"/>
      <c r="H52"/>
      <c r="I52"/>
      <c r="J52"/>
      <c r="K52"/>
      <c r="L52"/>
      <c r="M52"/>
    </row>
    <row r="53" spans="3:13">
      <c r="C53"/>
      <c r="D53"/>
      <c r="E53"/>
      <c r="F53"/>
      <c r="G53"/>
      <c r="H53"/>
      <c r="I53"/>
      <c r="J53"/>
      <c r="K53"/>
      <c r="L53"/>
      <c r="M53"/>
    </row>
    <row r="54" spans="3:13">
      <c r="C54"/>
      <c r="D54"/>
      <c r="E54"/>
      <c r="F54"/>
      <c r="G54"/>
      <c r="H54"/>
      <c r="I54"/>
      <c r="J54"/>
      <c r="K54"/>
      <c r="L54"/>
      <c r="M54"/>
    </row>
    <row r="55" spans="3:13">
      <c r="C55"/>
      <c r="D55"/>
      <c r="E55"/>
      <c r="F55"/>
      <c r="G55"/>
      <c r="H55"/>
      <c r="I55"/>
      <c r="J55"/>
      <c r="K55"/>
      <c r="L55"/>
      <c r="M55"/>
    </row>
    <row r="56" spans="3:13">
      <c r="C56"/>
      <c r="D56"/>
      <c r="E56"/>
      <c r="F56"/>
      <c r="G56"/>
      <c r="H56"/>
      <c r="I56"/>
      <c r="J56"/>
      <c r="K56"/>
      <c r="L56"/>
      <c r="M56"/>
    </row>
    <row r="57" spans="3:13">
      <c r="C57"/>
      <c r="D57"/>
      <c r="E57"/>
      <c r="F57"/>
      <c r="G57"/>
      <c r="H57"/>
      <c r="I57"/>
      <c r="J57"/>
      <c r="K57"/>
      <c r="L57"/>
      <c r="M57"/>
    </row>
    <row r="58" spans="3:13">
      <c r="C58"/>
      <c r="D58"/>
      <c r="E58"/>
      <c r="F58"/>
      <c r="G58"/>
      <c r="H58"/>
      <c r="I58"/>
      <c r="J58"/>
      <c r="K58"/>
      <c r="L58"/>
      <c r="M58"/>
    </row>
    <row r="59" spans="3:13">
      <c r="C59"/>
      <c r="D59"/>
      <c r="E59"/>
      <c r="F59"/>
      <c r="G59"/>
      <c r="H59"/>
      <c r="I59"/>
      <c r="J59"/>
      <c r="K59"/>
      <c r="L59"/>
      <c r="M59"/>
    </row>
    <row r="60" spans="3:13">
      <c r="C60"/>
      <c r="D60"/>
      <c r="E60"/>
      <c r="F60"/>
      <c r="G60"/>
      <c r="H60"/>
      <c r="I60"/>
      <c r="J60"/>
      <c r="K60"/>
      <c r="L60"/>
      <c r="M60"/>
    </row>
    <row r="61" spans="3:13">
      <c r="C61"/>
      <c r="D61"/>
      <c r="E61"/>
      <c r="F61"/>
      <c r="G61"/>
      <c r="H61"/>
      <c r="I61"/>
      <c r="J61"/>
      <c r="K61"/>
      <c r="L61"/>
      <c r="M61"/>
    </row>
    <row r="62" spans="3:13">
      <c r="C62"/>
      <c r="D62"/>
      <c r="E62"/>
      <c r="F62"/>
      <c r="G62"/>
      <c r="H62"/>
      <c r="I62"/>
      <c r="J62"/>
      <c r="K62"/>
      <c r="L62"/>
      <c r="M62"/>
    </row>
    <row r="63" spans="3:13">
      <c r="C63"/>
      <c r="D63"/>
      <c r="E63"/>
      <c r="F63"/>
      <c r="G63"/>
      <c r="H63"/>
      <c r="I63"/>
      <c r="J63"/>
      <c r="K63"/>
      <c r="L63"/>
      <c r="M63"/>
    </row>
    <row r="64" spans="3:13">
      <c r="C64"/>
      <c r="D64"/>
      <c r="E64"/>
      <c r="F64"/>
      <c r="G64"/>
      <c r="H64"/>
      <c r="I64"/>
      <c r="J64"/>
      <c r="K64"/>
      <c r="L64"/>
      <c r="M64"/>
    </row>
    <row r="65" spans="3:13">
      <c r="C65"/>
      <c r="D65"/>
      <c r="E65"/>
      <c r="F65"/>
      <c r="G65"/>
      <c r="H65"/>
      <c r="I65"/>
      <c r="J65"/>
      <c r="K65"/>
      <c r="L65"/>
      <c r="M65"/>
    </row>
    <row r="66" spans="3:13">
      <c r="C66"/>
      <c r="D66"/>
      <c r="E66"/>
      <c r="F66"/>
      <c r="G66"/>
      <c r="H66"/>
      <c r="I66"/>
      <c r="J66"/>
      <c r="K66"/>
      <c r="L66"/>
      <c r="M66"/>
    </row>
    <row r="67" spans="3:13">
      <c r="C67"/>
      <c r="D67"/>
      <c r="E67"/>
      <c r="F67"/>
      <c r="G67"/>
      <c r="H67"/>
      <c r="I67"/>
      <c r="J67"/>
      <c r="K67"/>
      <c r="L67"/>
      <c r="M67"/>
    </row>
    <row r="68" spans="3:13">
      <c r="C68"/>
      <c r="D68"/>
      <c r="E68"/>
      <c r="F68"/>
      <c r="G68"/>
      <c r="H68"/>
      <c r="I68"/>
      <c r="J68"/>
      <c r="K68"/>
      <c r="L68"/>
      <c r="M68"/>
    </row>
    <row r="69" spans="3:13">
      <c r="C69"/>
      <c r="D69"/>
      <c r="E69"/>
      <c r="F69"/>
      <c r="G69"/>
      <c r="H69"/>
      <c r="I69"/>
      <c r="J69"/>
      <c r="K69"/>
      <c r="L69"/>
      <c r="M69"/>
    </row>
    <row r="70" spans="3:13">
      <c r="C70"/>
      <c r="D70"/>
      <c r="E70"/>
      <c r="F70"/>
      <c r="G70"/>
      <c r="H70"/>
      <c r="I70"/>
      <c r="J70"/>
      <c r="K70"/>
      <c r="L70"/>
      <c r="M70"/>
    </row>
    <row r="71" spans="3:13">
      <c r="C71"/>
      <c r="D71"/>
      <c r="E71"/>
      <c r="F71"/>
      <c r="G71"/>
      <c r="H71"/>
      <c r="I71"/>
      <c r="J71"/>
      <c r="K71"/>
      <c r="L71"/>
      <c r="M71"/>
    </row>
    <row r="72" spans="3:13">
      <c r="C72"/>
      <c r="D72"/>
      <c r="E72"/>
      <c r="F72"/>
      <c r="G72"/>
      <c r="H72"/>
      <c r="I72"/>
      <c r="J72"/>
      <c r="K72"/>
      <c r="L72"/>
      <c r="M72"/>
    </row>
    <row r="73" spans="3:13">
      <c r="C73"/>
      <c r="D73"/>
      <c r="E73"/>
      <c r="F73"/>
      <c r="G73"/>
      <c r="H73"/>
      <c r="I73"/>
      <c r="J73"/>
      <c r="K73"/>
      <c r="L73"/>
      <c r="M73"/>
    </row>
    <row r="74" spans="3:13">
      <c r="C74"/>
      <c r="D74"/>
      <c r="E74"/>
      <c r="F74"/>
      <c r="G74"/>
      <c r="H74"/>
      <c r="I74"/>
      <c r="J74"/>
      <c r="K74"/>
      <c r="L74"/>
      <c r="M74"/>
    </row>
    <row r="75" spans="3:13">
      <c r="C75"/>
      <c r="D75"/>
      <c r="E75"/>
      <c r="F75"/>
      <c r="G75"/>
      <c r="H75"/>
      <c r="I75"/>
      <c r="J75"/>
      <c r="K75"/>
      <c r="L75"/>
      <c r="M75"/>
    </row>
    <row r="76" spans="3:13">
      <c r="C76"/>
      <c r="D76"/>
      <c r="E76"/>
      <c r="F76"/>
      <c r="G76"/>
      <c r="H76"/>
      <c r="I76"/>
      <c r="J76"/>
      <c r="K76"/>
      <c r="L76"/>
      <c r="M76"/>
    </row>
    <row r="77" spans="3:13">
      <c r="C77"/>
      <c r="D77"/>
      <c r="E77"/>
      <c r="F77"/>
      <c r="G77"/>
      <c r="H77"/>
      <c r="I77"/>
      <c r="J77"/>
      <c r="K77"/>
      <c r="L77"/>
      <c r="M77"/>
    </row>
    <row r="78" spans="3:13">
      <c r="C78"/>
      <c r="D78"/>
      <c r="E78"/>
      <c r="F78"/>
      <c r="G78"/>
      <c r="H78"/>
      <c r="I78"/>
      <c r="J78"/>
      <c r="K78"/>
      <c r="L78"/>
      <c r="M78"/>
    </row>
    <row r="79" spans="3:13">
      <c r="C79"/>
      <c r="D79"/>
      <c r="E79"/>
      <c r="F79"/>
      <c r="G79"/>
      <c r="H79"/>
      <c r="I79"/>
      <c r="J79"/>
      <c r="K79"/>
      <c r="L79"/>
      <c r="M79"/>
    </row>
    <row r="80" spans="3:13">
      <c r="C80"/>
      <c r="D80"/>
      <c r="E80"/>
      <c r="F80"/>
      <c r="G80"/>
      <c r="H80"/>
      <c r="I80"/>
      <c r="J80"/>
      <c r="K80"/>
      <c r="L80"/>
      <c r="M80"/>
    </row>
    <row r="81" spans="3:13">
      <c r="C81"/>
      <c r="D81"/>
      <c r="E81"/>
      <c r="F81"/>
      <c r="G81"/>
      <c r="H81"/>
      <c r="I81"/>
      <c r="J81"/>
      <c r="K81"/>
      <c r="L81"/>
      <c r="M81"/>
    </row>
    <row r="82" spans="3:13">
      <c r="C82"/>
      <c r="D82"/>
      <c r="E82"/>
      <c r="F82"/>
      <c r="G82"/>
      <c r="H82"/>
      <c r="I82"/>
      <c r="J82"/>
      <c r="K82"/>
      <c r="L82"/>
      <c r="M82"/>
    </row>
    <row r="83" spans="3:13">
      <c r="C83"/>
      <c r="D83"/>
      <c r="E83"/>
      <c r="F83"/>
      <c r="G83"/>
      <c r="H83"/>
      <c r="I83"/>
      <c r="J83"/>
      <c r="K83"/>
      <c r="L83"/>
      <c r="M83"/>
    </row>
    <row r="84" spans="3:13">
      <c r="C84"/>
      <c r="D84"/>
      <c r="E84"/>
      <c r="F84"/>
      <c r="G84"/>
      <c r="H84"/>
      <c r="I84"/>
      <c r="J84"/>
      <c r="K84"/>
      <c r="L84"/>
      <c r="M84"/>
    </row>
    <row r="85" spans="3:13">
      <c r="C85"/>
      <c r="D85"/>
      <c r="E85"/>
      <c r="F85"/>
      <c r="G85"/>
      <c r="H85"/>
      <c r="I85"/>
      <c r="J85"/>
      <c r="K85"/>
      <c r="L85"/>
      <c r="M85"/>
    </row>
    <row r="86" spans="3:13">
      <c r="C86"/>
      <c r="D86"/>
      <c r="E86"/>
      <c r="F86"/>
      <c r="G86"/>
      <c r="H86"/>
      <c r="I86"/>
      <c r="J86"/>
      <c r="K86"/>
      <c r="L86"/>
      <c r="M86"/>
    </row>
    <row r="87" spans="3:13">
      <c r="C87"/>
      <c r="D87"/>
      <c r="E87"/>
      <c r="F87"/>
      <c r="G87"/>
      <c r="H87"/>
      <c r="I87"/>
      <c r="J87"/>
      <c r="K87"/>
      <c r="L87"/>
      <c r="M87"/>
    </row>
    <row r="88" spans="3:13">
      <c r="C88"/>
      <c r="D88"/>
      <c r="E88"/>
      <c r="F88"/>
      <c r="G88"/>
      <c r="H88"/>
      <c r="I88"/>
      <c r="J88"/>
      <c r="K88"/>
      <c r="L88"/>
      <c r="M88"/>
    </row>
    <row r="89" spans="3:13">
      <c r="C89"/>
      <c r="D89"/>
      <c r="E89"/>
      <c r="F89"/>
      <c r="G89"/>
      <c r="H89"/>
      <c r="I89"/>
      <c r="J89"/>
      <c r="K89"/>
      <c r="L89"/>
      <c r="M89"/>
    </row>
    <row r="90" spans="3:13">
      <c r="C90"/>
      <c r="D90"/>
      <c r="E90"/>
      <c r="F90"/>
      <c r="G90"/>
      <c r="H90"/>
      <c r="I90"/>
      <c r="J90"/>
      <c r="K90"/>
      <c r="L90"/>
      <c r="M90"/>
    </row>
    <row r="91" spans="3:13">
      <c r="C91"/>
      <c r="D91"/>
      <c r="E91"/>
      <c r="F91"/>
      <c r="G91"/>
      <c r="H91"/>
      <c r="I91"/>
      <c r="J91"/>
      <c r="K91"/>
      <c r="L91"/>
      <c r="M91"/>
    </row>
    <row r="92" spans="3:13">
      <c r="C92"/>
      <c r="D92"/>
      <c r="E92"/>
      <c r="F92"/>
      <c r="G92"/>
      <c r="H92"/>
      <c r="I92"/>
      <c r="J92"/>
      <c r="K92"/>
      <c r="L92"/>
      <c r="M92"/>
    </row>
    <row r="93" spans="3:13">
      <c r="C93"/>
      <c r="D93"/>
      <c r="E93"/>
      <c r="F93"/>
      <c r="G93"/>
      <c r="H93"/>
      <c r="I93"/>
      <c r="J93"/>
      <c r="K93"/>
      <c r="L93"/>
      <c r="M93"/>
    </row>
    <row r="94" spans="3:13">
      <c r="C94"/>
      <c r="D94"/>
      <c r="E94"/>
      <c r="F94"/>
      <c r="G94"/>
      <c r="H94"/>
      <c r="I94"/>
      <c r="J94"/>
      <c r="K94"/>
      <c r="L94"/>
      <c r="M94"/>
    </row>
    <row r="95" spans="3:13">
      <c r="C95"/>
      <c r="D95"/>
      <c r="E95"/>
      <c r="F95"/>
      <c r="G95"/>
      <c r="H95"/>
      <c r="I95"/>
      <c r="J95"/>
      <c r="K95"/>
      <c r="L95"/>
      <c r="M95"/>
    </row>
    <row r="96" spans="3:13">
      <c r="C96"/>
      <c r="D96"/>
      <c r="E96"/>
      <c r="F96"/>
      <c r="G96"/>
      <c r="H96"/>
      <c r="I96"/>
      <c r="J96"/>
      <c r="K96"/>
      <c r="L96"/>
      <c r="M96"/>
    </row>
    <row r="97" spans="3:7">
      <c r="C97"/>
      <c r="D97"/>
      <c r="E97"/>
      <c r="F97"/>
      <c r="G97"/>
    </row>
    <row r="98" spans="3:7">
      <c r="C98"/>
      <c r="D98"/>
      <c r="E98"/>
      <c r="F98"/>
      <c r="G98"/>
    </row>
    <row r="99" spans="3:7">
      <c r="C99"/>
      <c r="D99"/>
      <c r="E99"/>
      <c r="F99"/>
      <c r="G99"/>
    </row>
    <row r="100" spans="3:7">
      <c r="C100"/>
      <c r="D100"/>
      <c r="E100"/>
      <c r="F100"/>
      <c r="G100"/>
    </row>
    <row r="101" spans="3:7">
      <c r="C101"/>
      <c r="D101"/>
      <c r="E101"/>
      <c r="F101"/>
      <c r="G101"/>
    </row>
    <row r="102" spans="3:7">
      <c r="C102"/>
      <c r="D102"/>
      <c r="E102"/>
      <c r="F102"/>
      <c r="G102"/>
    </row>
    <row r="103" spans="3:7">
      <c r="C103"/>
      <c r="D103"/>
      <c r="E103"/>
      <c r="F103"/>
      <c r="G103"/>
    </row>
    <row r="104" spans="3:7">
      <c r="C104"/>
      <c r="D104"/>
      <c r="E104"/>
      <c r="F104"/>
      <c r="G104"/>
    </row>
    <row r="105" spans="3:7">
      <c r="C105"/>
      <c r="D105"/>
      <c r="E105"/>
      <c r="F105"/>
      <c r="G105"/>
    </row>
    <row r="106" spans="3:7">
      <c r="C106"/>
      <c r="D106"/>
      <c r="E106"/>
      <c r="F106"/>
      <c r="G106"/>
    </row>
    <row r="107" spans="3:7">
      <c r="C107"/>
      <c r="D107"/>
      <c r="E107"/>
      <c r="F107"/>
      <c r="G107"/>
    </row>
    <row r="108" spans="3:7">
      <c r="C108"/>
      <c r="D108"/>
      <c r="E108"/>
      <c r="F108"/>
      <c r="G108"/>
    </row>
    <row r="109" spans="3:7">
      <c r="C109"/>
      <c r="D109"/>
      <c r="E109"/>
      <c r="F109"/>
      <c r="G109"/>
    </row>
    <row r="110" spans="3:7">
      <c r="C110"/>
      <c r="D110"/>
      <c r="E110"/>
      <c r="F110"/>
      <c r="G110"/>
    </row>
    <row r="111" spans="3:7">
      <c r="C111"/>
      <c r="D111"/>
      <c r="E111"/>
      <c r="F111"/>
      <c r="G111"/>
    </row>
    <row r="112" spans="3:7">
      <c r="C112"/>
      <c r="D112"/>
      <c r="E112"/>
      <c r="F112"/>
      <c r="G112"/>
    </row>
    <row r="113" spans="3:7">
      <c r="C113"/>
      <c r="D113"/>
      <c r="E113"/>
      <c r="F113"/>
      <c r="G113"/>
    </row>
    <row r="114" spans="3:7">
      <c r="C114"/>
      <c r="D114"/>
      <c r="E114"/>
      <c r="F114"/>
      <c r="G114"/>
    </row>
  </sheetData>
  <printOptions horizontalCentered="1" verticalCentered="1"/>
  <pageMargins left="1.01" right="1" top="0.6" bottom="0.55000000000000004" header="0.26" footer="0.26"/>
  <pageSetup scale="80" fitToHeight="3" orientation="landscape" r:id="rId2"/>
  <headerFooter alignWithMargins="0">
    <oddHeader>&amp;CModified 
Base Case Scenario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O155"/>
  <sheetViews>
    <sheetView tabSelected="1" topLeftCell="A34" zoomScale="75" zoomScaleNormal="75" zoomScaleSheetLayoutView="75" workbookViewId="0">
      <selection activeCell="A34" sqref="A34"/>
    </sheetView>
  </sheetViews>
  <sheetFormatPr defaultColWidth="8.85546875" defaultRowHeight="12.75"/>
  <cols>
    <col min="1" max="1" width="31.28515625" style="615" customWidth="1"/>
    <col min="2" max="16384" width="8.85546875" style="615"/>
  </cols>
  <sheetData>
    <row r="1" spans="1:15" ht="13.5" thickBot="1">
      <c r="A1" s="162"/>
      <c r="B1" s="162"/>
      <c r="C1" s="162"/>
      <c r="D1" s="162"/>
      <c r="E1" s="183" t="s">
        <v>187</v>
      </c>
    </row>
    <row r="2" spans="1:15" s="691" customFormat="1" ht="16.5" thickBot="1">
      <c r="A2" s="615"/>
      <c r="B2" s="615"/>
      <c r="C2" s="615"/>
      <c r="D2" s="615"/>
      <c r="E2" s="950" t="str">
        <f>IF('comparison base'!E1=1,"Previous Run", "Base case")</f>
        <v>Base case</v>
      </c>
      <c r="F2" s="951"/>
    </row>
    <row r="6" spans="1:15" s="183" customFormat="1">
      <c r="A6" s="177" t="s">
        <v>1846</v>
      </c>
      <c r="B6" s="183">
        <f>IF('1-2-3'!I48&gt;0, '1-2-3'!I48,"")</f>
        <v>2000</v>
      </c>
      <c r="C6" s="183">
        <f>IF('1-2-3'!J48&gt;0, '1-2-3'!J48,"")</f>
        <v>2001</v>
      </c>
      <c r="D6" s="183">
        <f>IF('1-2-3'!K48&gt;0, '1-2-3'!K48,"")</f>
        <v>2002</v>
      </c>
      <c r="E6" s="183">
        <f>IF('1-2-3'!L48&gt;0, '1-2-3'!L48,"")</f>
        <v>2003</v>
      </c>
      <c r="F6" s="183" t="str">
        <f>IF('1-2-3'!M48&gt;0, '1-2-3'!M48,"")</f>
        <v/>
      </c>
      <c r="G6" s="183" t="str">
        <f>IF('1-2-3'!N48&gt;0, '1-2-3'!N48,"")</f>
        <v/>
      </c>
      <c r="H6" s="183" t="str">
        <f>IF('1-2-3'!O48&gt;0, '1-2-3'!O48,"")</f>
        <v/>
      </c>
      <c r="I6" s="183" t="str">
        <f>IF('1-2-3'!P48&gt;0, '1-2-3'!P48,"")</f>
        <v/>
      </c>
      <c r="J6" s="183" t="str">
        <f>IF('1-2-3'!Q48&gt;0, '1-2-3'!Q48,"")</f>
        <v/>
      </c>
      <c r="K6" s="183" t="str">
        <f>IF('1-2-3'!R48&gt;0, '1-2-3'!R48,"")</f>
        <v/>
      </c>
      <c r="L6" s="183" t="str">
        <f>IF('1-2-3'!S48&gt;0, '1-2-3'!S48,"")</f>
        <v/>
      </c>
      <c r="M6" s="183" t="str">
        <f>IF('1-2-3'!T48&gt;0, '1-2-3'!T48,"")</f>
        <v/>
      </c>
      <c r="N6" s="183" t="str">
        <f>IF('1-2-3'!U48&gt;0, '1-2-3'!U48,"")</f>
        <v/>
      </c>
    </row>
    <row r="7" spans="1:15" s="692" customFormat="1">
      <c r="A7" s="184" t="str">
        <f>'1-2-3'!B49</f>
        <v>Export Good (E)</v>
      </c>
      <c r="B7" s="692" t="str">
        <f>IF(ISNUMBER(B$6),IF((ABS('current res.'!B3/'comparison base'!B3-1)&gt;0.0001),'current res.'!B3/'comparison base'!B3-1,""),"")</f>
        <v/>
      </c>
      <c r="C7" s="692">
        <f>IF(ISNUMBER(C$6),IF((ABS('current res.'!C3/'comparison base'!C3-1)&gt;0.0001),'current res.'!C3/'comparison base'!C3-1,""),"")</f>
        <v>-4.4154570168186691E-3</v>
      </c>
      <c r="D7" s="692">
        <f>IF(ISNUMBER(D$6),IF((ABS('current res.'!D3/'comparison base'!D3-1)&gt;0.0001),'current res.'!D3/'comparison base'!D3-1,""),"")</f>
        <v>-1.4111849035631896E-2</v>
      </c>
      <c r="E7" s="692">
        <f>IF(ISNUMBER(E$6),IF((ABS('current res.'!E3/'comparison base'!E3-1)&gt;0.0001),'current res.'!E3/'comparison base'!E3-1,""),"")</f>
        <v>-2.7670292054083334E-2</v>
      </c>
      <c r="F7" s="692" t="str">
        <f>IF(ISNUMBER(F$6),IF((ABS('current res.'!F3/'comparison base'!F3-1)&gt;0.0001),'current res.'!F3/'comparison base'!F3-1,""),"")</f>
        <v/>
      </c>
      <c r="G7" s="692" t="str">
        <f>IF(ISNUMBER(G$6),IF((ABS('current res.'!G3/'comparison base'!G3-1)&gt;0.0001),'current res.'!G3/'comparison base'!G3-1,""),"")</f>
        <v/>
      </c>
      <c r="H7" s="692" t="str">
        <f>IF(ISNUMBER(H$6),IF((ABS('current res.'!H3/'comparison base'!H3-1)&gt;0.0001),'current res.'!H3/'comparison base'!H3-1,""),"")</f>
        <v/>
      </c>
      <c r="I7" s="692" t="str">
        <f>IF(ISNUMBER(I$6),IF((ABS('current res.'!I3/'comparison base'!I3-1)&gt;0.0001),'current res.'!I3/'comparison base'!I3-1,""),"")</f>
        <v/>
      </c>
      <c r="J7" s="692" t="str">
        <f>IF(ISNUMBER(J$6),IF((ABS('current res.'!J3/'comparison base'!J3-1)&gt;0.0001),'current res.'!J3/'comparison base'!J3-1,""),"")</f>
        <v/>
      </c>
      <c r="K7" s="692" t="str">
        <f>IF(ISNUMBER(K$6),IF((ABS('current res.'!K3/'comparison base'!K3-1)&gt;0.0001),'current res.'!K3/'comparison base'!K3-1,""),"")</f>
        <v/>
      </c>
      <c r="L7" s="692" t="str">
        <f>IF(ISNUMBER(L$6),IF((ABS('current res.'!L3/'comparison base'!L3-1)&gt;0.0001),'current res.'!L3/'comparison base'!L3-1,""),"")</f>
        <v/>
      </c>
      <c r="M7" s="692" t="str">
        <f>IF(ISNUMBER(M$6),IF((ABS('current res.'!M3/'comparison base'!M3-1)&gt;0.0001),'current res.'!M3/'comparison base'!M3-1,""),"")</f>
        <v/>
      </c>
      <c r="N7" s="692" t="str">
        <f>IF(ISNUMBER(N$6),IF((ABS('current res.'!N3/'comparison base'!N3-1)&gt;0.0001),'current res.'!N3/'comparison base'!N3-1,""),"")</f>
        <v/>
      </c>
      <c r="O7" s="692" t="str">
        <f>IF(ISNUMBER(O$6),IF((ABS('current res.'!O3/'comparison base'!O3-1)&gt;0.0001),'current res.'!O3/'comparison base'!O3-1,""),"")</f>
        <v/>
      </c>
    </row>
    <row r="8" spans="1:15" s="692" customFormat="1">
      <c r="A8" s="184" t="str">
        <f>'1-2-3'!B50</f>
        <v>Import Good (M)</v>
      </c>
      <c r="B8" s="692" t="str">
        <f>IF(ISNUMBER(B$6),IF((ABS('current res.'!B4/'comparison base'!B4-1)&gt;0.0001),'current res.'!B4/'comparison base'!B4-1,""),"")</f>
        <v/>
      </c>
      <c r="C8" s="692">
        <f>IF(ISNUMBER(C$6),IF((ABS('current res.'!C4/'comparison base'!C4-1)&gt;0.0001),'current res.'!C4/'comparison base'!C4-1,""),"")</f>
        <v>-7.1165645390735999E-2</v>
      </c>
      <c r="D8" s="692">
        <f>IF(ISNUMBER(D$6),IF((ABS('current res.'!D4/'comparison base'!D4-1)&gt;0.0001),'current res.'!D4/'comparison base'!D4-1,""),"")</f>
        <v>-0.12286179251313223</v>
      </c>
      <c r="E8" s="692">
        <f>IF(ISNUMBER(E$6),IF((ABS('current res.'!E4/'comparison base'!E4-1)&gt;0.0001),'current res.'!E4/'comparison base'!E4-1,""),"")</f>
        <v>-0.13038236359301525</v>
      </c>
      <c r="F8" s="692" t="str">
        <f>IF(ISNUMBER(F$6),IF((ABS('current res.'!F4/'comparison base'!F4-1)&gt;0.0001),'current res.'!F4/'comparison base'!F4-1,""),"")</f>
        <v/>
      </c>
      <c r="G8" s="692" t="str">
        <f>IF(ISNUMBER(G$6),IF((ABS('current res.'!G4/'comparison base'!G4-1)&gt;0.0001),'current res.'!G4/'comparison base'!G4-1,""),"")</f>
        <v/>
      </c>
      <c r="H8" s="692" t="str">
        <f>IF(ISNUMBER(H$6),IF((ABS('current res.'!H4/'comparison base'!H4-1)&gt;0.0001),'current res.'!H4/'comparison base'!H4-1,""),"")</f>
        <v/>
      </c>
      <c r="I8" s="692" t="str">
        <f>IF(ISNUMBER(I$6),IF((ABS('current res.'!I4/'comparison base'!I4-1)&gt;0.0001),'current res.'!I4/'comparison base'!I4-1,""),"")</f>
        <v/>
      </c>
      <c r="J8" s="692" t="str">
        <f>IF(ISNUMBER(J$6),IF((ABS('current res.'!J4/'comparison base'!J4-1)&gt;0.0001),'current res.'!J4/'comparison base'!J4-1,""),"")</f>
        <v/>
      </c>
      <c r="K8" s="692" t="str">
        <f>IF(ISNUMBER(K$6),IF((ABS('current res.'!K4/'comparison base'!K4-1)&gt;0.0001),'current res.'!K4/'comparison base'!K4-1,""),"")</f>
        <v/>
      </c>
      <c r="L8" s="692" t="str">
        <f>IF(ISNUMBER(L$6),IF((ABS('current res.'!L4/'comparison base'!L4-1)&gt;0.0001),'current res.'!L4/'comparison base'!L4-1,""),"")</f>
        <v/>
      </c>
      <c r="M8" s="692" t="str">
        <f>IF(ISNUMBER(M$6),IF((ABS('current res.'!M4/'comparison base'!M4-1)&gt;0.0001),'current res.'!M4/'comparison base'!M4-1,""),"")</f>
        <v/>
      </c>
      <c r="N8" s="692" t="str">
        <f>IF(ISNUMBER(N$6),IF((ABS('current res.'!N4/'comparison base'!N4-1)&gt;0.0001),'current res.'!N4/'comparison base'!N4-1,""),"")</f>
        <v/>
      </c>
      <c r="O8" s="692" t="str">
        <f>IF(ISNUMBER(O$6),IF((ABS('current res.'!O4/'comparison base'!O4-1)&gt;0.0001),'current res.'!O4/'comparison base'!O4-1,""),"")</f>
        <v/>
      </c>
    </row>
    <row r="9" spans="1:15" s="692" customFormat="1">
      <c r="A9" s="184" t="str">
        <f>'1-2-3'!B51</f>
        <v>Supply of Domestic Good (Ds)</v>
      </c>
      <c r="B9" s="692" t="str">
        <f>IF(ISNUMBER(B$6),IF((ABS('current res.'!B5/'comparison base'!B5-1)&gt;0.0001),'current res.'!B5/'comparison base'!B5-1,""),"")</f>
        <v/>
      </c>
      <c r="C9" s="692">
        <f>IF(ISNUMBER(C$6),IF((ABS('current res.'!C5/'comparison base'!C5-1)&gt;0.0001),'current res.'!C5/'comparison base'!C5-1,""),"")</f>
        <v>-7.4887148759289479E-3</v>
      </c>
      <c r="D9" s="692">
        <f>IF(ISNUMBER(D$6),IF((ABS('current res.'!D5/'comparison base'!D5-1)&gt;0.0001),'current res.'!D5/'comparison base'!D5-1,""),"")</f>
        <v>-2.0102748003587578E-2</v>
      </c>
      <c r="E9" s="692">
        <f>IF(ISNUMBER(E$6),IF((ABS('current res.'!E5/'comparison base'!E5-1)&gt;0.0001),'current res.'!E5/'comparison base'!E5-1,""),"")</f>
        <v>-3.3457249736406625E-2</v>
      </c>
      <c r="F9" s="692" t="str">
        <f>IF(ISNUMBER(F$6),IF((ABS('current res.'!F5/'comparison base'!F5-1)&gt;0.0001),'current res.'!F5/'comparison base'!F5-1,""),"")</f>
        <v/>
      </c>
      <c r="G9" s="692" t="str">
        <f>IF(ISNUMBER(G$6),IF((ABS('current res.'!G5/'comparison base'!G5-1)&gt;0.0001),'current res.'!G5/'comparison base'!G5-1,""),"")</f>
        <v/>
      </c>
      <c r="H9" s="692" t="str">
        <f>IF(ISNUMBER(H$6),IF((ABS('current res.'!H5/'comparison base'!H5-1)&gt;0.0001),'current res.'!H5/'comparison base'!H5-1,""),"")</f>
        <v/>
      </c>
      <c r="I9" s="692" t="str">
        <f>IF(ISNUMBER(I$6),IF((ABS('current res.'!I5/'comparison base'!I5-1)&gt;0.0001),'current res.'!I5/'comparison base'!I5-1,""),"")</f>
        <v/>
      </c>
      <c r="J9" s="692" t="str">
        <f>IF(ISNUMBER(J$6),IF((ABS('current res.'!J5/'comparison base'!J5-1)&gt;0.0001),'current res.'!J5/'comparison base'!J5-1,""),"")</f>
        <v/>
      </c>
      <c r="K9" s="692" t="str">
        <f>IF(ISNUMBER(K$6),IF((ABS('current res.'!K5/'comparison base'!K5-1)&gt;0.0001),'current res.'!K5/'comparison base'!K5-1,""),"")</f>
        <v/>
      </c>
      <c r="L9" s="692" t="str">
        <f>IF(ISNUMBER(L$6),IF((ABS('current res.'!L5/'comparison base'!L5-1)&gt;0.0001),'current res.'!L5/'comparison base'!L5-1,""),"")</f>
        <v/>
      </c>
      <c r="M9" s="692" t="str">
        <f>IF(ISNUMBER(M$6),IF((ABS('current res.'!M5/'comparison base'!M5-1)&gt;0.0001),'current res.'!M5/'comparison base'!M5-1,""),"")</f>
        <v/>
      </c>
      <c r="N9" s="692" t="str">
        <f>IF(ISNUMBER(N$6),IF((ABS('current res.'!N5/'comparison base'!N5-1)&gt;0.0001),'current res.'!N5/'comparison base'!N5-1,""),"")</f>
        <v/>
      </c>
      <c r="O9" s="692" t="str">
        <f>IF(ISNUMBER(O$6),IF((ABS('current res.'!O5/'comparison base'!O5-1)&gt;0.0001),'current res.'!O5/'comparison base'!O5-1,""),"")</f>
        <v/>
      </c>
    </row>
    <row r="10" spans="1:15" s="692" customFormat="1">
      <c r="A10" s="184" t="str">
        <f>'1-2-3'!B52</f>
        <v>Demand of Domestic Good (Dd)</v>
      </c>
      <c r="B10" s="692" t="str">
        <f>IF(ISNUMBER(B$6),IF((ABS('current res.'!B6/'comparison base'!B6-1)&gt;0.0001),'current res.'!B6/'comparison base'!B6-1,""),"")</f>
        <v/>
      </c>
      <c r="C10" s="692">
        <f>IF(ISNUMBER(C$6),IF((ABS('current res.'!C6/'comparison base'!C6-1)&gt;0.0001),'current res.'!C6/'comparison base'!C6-1,""),"")</f>
        <v>-7.4887148759286148E-3</v>
      </c>
      <c r="D10" s="692">
        <f>IF(ISNUMBER(D$6),IF((ABS('current res.'!D6/'comparison base'!D6-1)&gt;0.0001),'current res.'!D6/'comparison base'!D6-1,""),"")</f>
        <v>-2.0102748003587356E-2</v>
      </c>
      <c r="E10" s="692">
        <f>IF(ISNUMBER(E$6),IF((ABS('current res.'!E6/'comparison base'!E6-1)&gt;0.0001),'current res.'!E6/'comparison base'!E6-1,""),"")</f>
        <v>-3.3457249736406625E-2</v>
      </c>
      <c r="F10" s="692" t="str">
        <f>IF(ISNUMBER(F$6),IF((ABS('current res.'!F6/'comparison base'!F6-1)&gt;0.0001),'current res.'!F6/'comparison base'!F6-1,""),"")</f>
        <v/>
      </c>
      <c r="G10" s="692" t="str">
        <f>IF(ISNUMBER(G$6),IF((ABS('current res.'!G6/'comparison base'!G6-1)&gt;0.0001),'current res.'!G6/'comparison base'!G6-1,""),"")</f>
        <v/>
      </c>
      <c r="H10" s="692" t="str">
        <f>IF(ISNUMBER(H$6),IF((ABS('current res.'!H6/'comparison base'!H6-1)&gt;0.0001),'current res.'!H6/'comparison base'!H6-1,""),"")</f>
        <v/>
      </c>
      <c r="I10" s="692" t="str">
        <f>IF(ISNUMBER(I$6),IF((ABS('current res.'!I6/'comparison base'!I6-1)&gt;0.0001),'current res.'!I6/'comparison base'!I6-1,""),"")</f>
        <v/>
      </c>
      <c r="J10" s="692" t="str">
        <f>IF(ISNUMBER(J$6),IF((ABS('current res.'!J6/'comparison base'!J6-1)&gt;0.0001),'current res.'!J6/'comparison base'!J6-1,""),"")</f>
        <v/>
      </c>
      <c r="K10" s="692" t="str">
        <f>IF(ISNUMBER(K$6),IF((ABS('current res.'!K6/'comparison base'!K6-1)&gt;0.0001),'current res.'!K6/'comparison base'!K6-1,""),"")</f>
        <v/>
      </c>
      <c r="L10" s="692" t="str">
        <f>IF(ISNUMBER(L$6),IF((ABS('current res.'!L6/'comparison base'!L6-1)&gt;0.0001),'current res.'!L6/'comparison base'!L6-1,""),"")</f>
        <v/>
      </c>
      <c r="M10" s="692" t="str">
        <f>IF(ISNUMBER(M$6),IF((ABS('current res.'!M6/'comparison base'!M6-1)&gt;0.0001),'current res.'!M6/'comparison base'!M6-1,""),"")</f>
        <v/>
      </c>
      <c r="N10" s="692" t="str">
        <f>IF(ISNUMBER(N$6),IF((ABS('current res.'!N6/'comparison base'!N6-1)&gt;0.0001),'current res.'!N6/'comparison base'!N6-1,""),"")</f>
        <v/>
      </c>
      <c r="O10" s="692" t="str">
        <f>IF(ISNUMBER(O$6),IF((ABS('current res.'!O6/'comparison base'!O6-1)&gt;0.0001),'current res.'!O6/'comparison base'!O6-1,""),"")</f>
        <v/>
      </c>
    </row>
    <row r="11" spans="1:15" s="692" customFormat="1">
      <c r="A11" s="184" t="str">
        <f>'1-2-3'!B53</f>
        <v>Supply of Composite Good (Qs)</v>
      </c>
      <c r="B11" s="692" t="str">
        <f>IF(ISNUMBER(B$6),IF((ABS('current res.'!B7/'comparison base'!B7-1)&gt;0.0001),'current res.'!B7/'comparison base'!B7-1,""),"")</f>
        <v/>
      </c>
      <c r="C11" s="692">
        <f>IF(ISNUMBER(C$6),IF((ABS('current res.'!C7/'comparison base'!C7-1)&gt;0.0001),'current res.'!C7/'comparison base'!C7-1,""),"")</f>
        <v>-3.6990882232421529E-2</v>
      </c>
      <c r="D11" s="692">
        <f>IF(ISNUMBER(D$6),IF((ABS('current res.'!D7/'comparison base'!D7-1)&gt;0.0001),'current res.'!D7/'comparison base'!D7-1,""),"")</f>
        <v>-6.9056141462516929E-2</v>
      </c>
      <c r="E11" s="692">
        <f>IF(ISNUMBER(E$6),IF((ABS('current res.'!E7/'comparison base'!E7-1)&gt;0.0001),'current res.'!E7/'comparison base'!E7-1,""),"")</f>
        <v>-7.9782536199637488E-2</v>
      </c>
      <c r="F11" s="692" t="str">
        <f>IF(ISNUMBER(F$6),IF((ABS('current res.'!F7/'comparison base'!F7-1)&gt;0.0001),'current res.'!F7/'comparison base'!F7-1,""),"")</f>
        <v/>
      </c>
      <c r="G11" s="692" t="str">
        <f>IF(ISNUMBER(G$6),IF((ABS('current res.'!G7/'comparison base'!G7-1)&gt;0.0001),'current res.'!G7/'comparison base'!G7-1,""),"")</f>
        <v/>
      </c>
      <c r="H11" s="692" t="str">
        <f>IF(ISNUMBER(H$6),IF((ABS('current res.'!H7/'comparison base'!H7-1)&gt;0.0001),'current res.'!H7/'comparison base'!H7-1,""),"")</f>
        <v/>
      </c>
      <c r="I11" s="692" t="str">
        <f>IF(ISNUMBER(I$6),IF((ABS('current res.'!I7/'comparison base'!I7-1)&gt;0.0001),'current res.'!I7/'comparison base'!I7-1,""),"")</f>
        <v/>
      </c>
      <c r="J11" s="692" t="str">
        <f>IF(ISNUMBER(J$6),IF((ABS('current res.'!J7/'comparison base'!J7-1)&gt;0.0001),'current res.'!J7/'comparison base'!J7-1,""),"")</f>
        <v/>
      </c>
      <c r="K11" s="692" t="str">
        <f>IF(ISNUMBER(K$6),IF((ABS('current res.'!K7/'comparison base'!K7-1)&gt;0.0001),'current res.'!K7/'comparison base'!K7-1,""),"")</f>
        <v/>
      </c>
      <c r="L11" s="692" t="str">
        <f>IF(ISNUMBER(L$6),IF((ABS('current res.'!L7/'comparison base'!L7-1)&gt;0.0001),'current res.'!L7/'comparison base'!L7-1,""),"")</f>
        <v/>
      </c>
      <c r="M11" s="692" t="str">
        <f>IF(ISNUMBER(M$6),IF((ABS('current res.'!M7/'comparison base'!M7-1)&gt;0.0001),'current res.'!M7/'comparison base'!M7-1,""),"")</f>
        <v/>
      </c>
      <c r="N11" s="692" t="str">
        <f>IF(ISNUMBER(N$6),IF((ABS('current res.'!N7/'comparison base'!N7-1)&gt;0.0001),'current res.'!N7/'comparison base'!N7-1,""),"")</f>
        <v/>
      </c>
      <c r="O11" s="692" t="str">
        <f>IF(ISNUMBER(O$6),IF((ABS('current res.'!O7/'comparison base'!O7-1)&gt;0.0001),'current res.'!O7/'comparison base'!O7-1,""),"")</f>
        <v/>
      </c>
    </row>
    <row r="12" spans="1:15" s="692" customFormat="1">
      <c r="A12" s="184" t="str">
        <f>'1-2-3'!B54</f>
        <v>Demand of Composite Good (Qd)</v>
      </c>
      <c r="B12" s="692" t="str">
        <f>IF(ISNUMBER(B$6),IF((ABS('current res.'!B8/'comparison base'!B8-1)&gt;0.0001),'current res.'!B8/'comparison base'!B8-1,""),"")</f>
        <v/>
      </c>
      <c r="C12" s="692">
        <f>IF(ISNUMBER(C$6),IF((ABS('current res.'!C8/'comparison base'!C8-1)&gt;0.0001),'current res.'!C8/'comparison base'!C8-1,""),"")</f>
        <v>-3.6990882232421307E-2</v>
      </c>
      <c r="D12" s="692">
        <f>IF(ISNUMBER(D$6),IF((ABS('current res.'!D8/'comparison base'!D8-1)&gt;0.0001),'current res.'!D8/'comparison base'!D8-1,""),"")</f>
        <v>-6.9056141462516929E-2</v>
      </c>
      <c r="E12" s="692">
        <f>IF(ISNUMBER(E$6),IF((ABS('current res.'!E8/'comparison base'!E8-1)&gt;0.0001),'current res.'!E8/'comparison base'!E8-1,""),"")</f>
        <v>-7.9782536199636933E-2</v>
      </c>
      <c r="F12" s="692" t="str">
        <f>IF(ISNUMBER(F$6),IF((ABS('current res.'!F8/'comparison base'!F8-1)&gt;0.0001),'current res.'!F8/'comparison base'!F8-1,""),"")</f>
        <v/>
      </c>
      <c r="G12" s="692" t="str">
        <f>IF(ISNUMBER(G$6),IF((ABS('current res.'!G8/'comparison base'!G8-1)&gt;0.0001),'current res.'!G8/'comparison base'!G8-1,""),"")</f>
        <v/>
      </c>
      <c r="H12" s="692" t="str">
        <f>IF(ISNUMBER(H$6),IF((ABS('current res.'!H8/'comparison base'!H8-1)&gt;0.0001),'current res.'!H8/'comparison base'!H8-1,""),"")</f>
        <v/>
      </c>
      <c r="I12" s="692" t="str">
        <f>IF(ISNUMBER(I$6),IF((ABS('current res.'!I8/'comparison base'!I8-1)&gt;0.0001),'current res.'!I8/'comparison base'!I8-1,""),"")</f>
        <v/>
      </c>
      <c r="J12" s="692" t="str">
        <f>IF(ISNUMBER(J$6),IF((ABS('current res.'!J8/'comparison base'!J8-1)&gt;0.0001),'current res.'!J8/'comparison base'!J8-1,""),"")</f>
        <v/>
      </c>
      <c r="K12" s="692" t="str">
        <f>IF(ISNUMBER(K$6),IF((ABS('current res.'!K8/'comparison base'!K8-1)&gt;0.0001),'current res.'!K8/'comparison base'!K8-1,""),"")</f>
        <v/>
      </c>
      <c r="L12" s="692" t="str">
        <f>IF(ISNUMBER(L$6),IF((ABS('current res.'!L8/'comparison base'!L8-1)&gt;0.0001),'current res.'!L8/'comparison base'!L8-1,""),"")</f>
        <v/>
      </c>
      <c r="M12" s="692" t="str">
        <f>IF(ISNUMBER(M$6),IF((ABS('current res.'!M8/'comparison base'!M8-1)&gt;0.0001),'current res.'!M8/'comparison base'!M8-1,""),"")</f>
        <v/>
      </c>
      <c r="N12" s="692" t="str">
        <f>IF(ISNUMBER(N$6),IF((ABS('current res.'!N8/'comparison base'!N8-1)&gt;0.0001),'current res.'!N8/'comparison base'!N8-1,""),"")</f>
        <v/>
      </c>
      <c r="O12" s="692" t="str">
        <f>IF(ISNUMBER(O$6),IF((ABS('current res.'!O8/'comparison base'!O8-1)&gt;0.0001),'current res.'!O8/'comparison base'!O8-1,""),"")</f>
        <v/>
      </c>
    </row>
    <row r="13" spans="1:15" s="692" customFormat="1">
      <c r="A13" s="184" t="str">
        <f>'1-2-3'!B55</f>
        <v>Total Income (Y)</v>
      </c>
      <c r="B13" s="692" t="str">
        <f>IF(ISNUMBER(B$6),IF((ABS('current res.'!B9/'comparison base'!B9-1)&gt;0.0001),'current res.'!B9/'comparison base'!B9-1,""),"")</f>
        <v/>
      </c>
      <c r="C13" s="692">
        <f>IF(ISNUMBER(C$6),IF((ABS('current res.'!C9/'comparison base'!C9-1)&gt;0.0001),'current res.'!C9/'comparison base'!C9-1,""),"")</f>
        <v>-1.3961843571426824E-2</v>
      </c>
      <c r="D13" s="692">
        <f>IF(ISNUMBER(D$6),IF((ABS('current res.'!D9/'comparison base'!D9-1)&gt;0.0001),'current res.'!D9/'comparison base'!D9-1,""),"")</f>
        <v>-2.4197763101285075E-2</v>
      </c>
      <c r="E13" s="692">
        <f>IF(ISNUMBER(E$6),IF((ABS('current res.'!E9/'comparison base'!E9-1)&gt;0.0001),'current res.'!E9/'comparison base'!E9-1,""),"")</f>
        <v>-4.3208025924777793E-2</v>
      </c>
      <c r="F13" s="692" t="str">
        <f>IF(ISNUMBER(F$6),IF((ABS('current res.'!F9/'comparison base'!F9-1)&gt;0.0001),'current res.'!F9/'comparison base'!F9-1,""),"")</f>
        <v/>
      </c>
      <c r="G13" s="692" t="str">
        <f>IF(ISNUMBER(G$6),IF((ABS('current res.'!G9/'comparison base'!G9-1)&gt;0.0001),'current res.'!G9/'comparison base'!G9-1,""),"")</f>
        <v/>
      </c>
      <c r="H13" s="692" t="str">
        <f>IF(ISNUMBER(H$6),IF((ABS('current res.'!H9/'comparison base'!H9-1)&gt;0.0001),'current res.'!H9/'comparison base'!H9-1,""),"")</f>
        <v/>
      </c>
      <c r="I13" s="692" t="str">
        <f>IF(ISNUMBER(I$6),IF((ABS('current res.'!I9/'comparison base'!I9-1)&gt;0.0001),'current res.'!I9/'comparison base'!I9-1,""),"")</f>
        <v/>
      </c>
      <c r="J13" s="692" t="str">
        <f>IF(ISNUMBER(J$6),IF((ABS('current res.'!J9/'comparison base'!J9-1)&gt;0.0001),'current res.'!J9/'comparison base'!J9-1,""),"")</f>
        <v/>
      </c>
      <c r="K13" s="692" t="str">
        <f>IF(ISNUMBER(K$6),IF((ABS('current res.'!K9/'comparison base'!K9-1)&gt;0.0001),'current res.'!K9/'comparison base'!K9-1,""),"")</f>
        <v/>
      </c>
      <c r="L13" s="692" t="str">
        <f>IF(ISNUMBER(L$6),IF((ABS('current res.'!L9/'comparison base'!L9-1)&gt;0.0001),'current res.'!L9/'comparison base'!L9-1,""),"")</f>
        <v/>
      </c>
      <c r="M13" s="692" t="str">
        <f>IF(ISNUMBER(M$6),IF((ABS('current res.'!M9/'comparison base'!M9-1)&gt;0.0001),'current res.'!M9/'comparison base'!M9-1,""),"")</f>
        <v/>
      </c>
      <c r="N13" s="692" t="str">
        <f>IF(ISNUMBER(N$6),IF((ABS('current res.'!N9/'comparison base'!N9-1)&gt;0.0001),'current res.'!N9/'comparison base'!N9-1,""),"")</f>
        <v/>
      </c>
      <c r="O13" s="692" t="str">
        <f>IF(ISNUMBER(O$6),IF((ABS('current res.'!O9/'comparison base'!O9-1)&gt;0.0001),'current res.'!O9/'comparison base'!O9-1,""),"")</f>
        <v/>
      </c>
    </row>
    <row r="14" spans="1:15" s="692" customFormat="1">
      <c r="A14" s="184" t="str">
        <f>'1-2-3'!B56</f>
        <v>Aggregate Savings (S)</v>
      </c>
      <c r="B14" s="692" t="str">
        <f>IF(ISNUMBER(B$6),IF((ABS('current res.'!B10/'comparison base'!B10-1)&gt;0.0001),'current res.'!B10/'comparison base'!B10-1,""),"")</f>
        <v/>
      </c>
      <c r="C14" s="692">
        <f>IF(ISNUMBER(C$6),IF((ABS('current res.'!C10/'comparison base'!C10-1)&gt;0.0001),'current res.'!C10/'comparison base'!C10-1,""),"")</f>
        <v>0.16126588636470074</v>
      </c>
      <c r="D14" s="692">
        <f>IF(ISNUMBER(D$6),IF((ABS('current res.'!D10/'comparison base'!D10-1)&gt;0.0001),'current res.'!D10/'comparison base'!D10-1,""),"")</f>
        <v>0.31182607670006779</v>
      </c>
      <c r="E14" s="692">
        <f>IF(ISNUMBER(E$6),IF((ABS('current res.'!E10/'comparison base'!E10-1)&gt;0.0001),'current res.'!E10/'comparison base'!E10-1,""),"")</f>
        <v>0.26937593620609679</v>
      </c>
      <c r="F14" s="692" t="str">
        <f>IF(ISNUMBER(F$6),IF((ABS('current res.'!F10/'comparison base'!F10-1)&gt;0.0001),'current res.'!F10/'comparison base'!F10-1,""),"")</f>
        <v/>
      </c>
      <c r="G14" s="692" t="str">
        <f>IF(ISNUMBER(G$6),IF((ABS('current res.'!G10/'comparison base'!G10-1)&gt;0.0001),'current res.'!G10/'comparison base'!G10-1,""),"")</f>
        <v/>
      </c>
      <c r="H14" s="692" t="str">
        <f>IF(ISNUMBER(H$6),IF((ABS('current res.'!H10/'comparison base'!H10-1)&gt;0.0001),'current res.'!H10/'comparison base'!H10-1,""),"")</f>
        <v/>
      </c>
      <c r="I14" s="692" t="str">
        <f>IF(ISNUMBER(I$6),IF((ABS('current res.'!I10/'comparison base'!I10-1)&gt;0.0001),'current res.'!I10/'comparison base'!I10-1,""),"")</f>
        <v/>
      </c>
      <c r="J14" s="692" t="str">
        <f>IF(ISNUMBER(J$6),IF((ABS('current res.'!J10/'comparison base'!J10-1)&gt;0.0001),'current res.'!J10/'comparison base'!J10-1,""),"")</f>
        <v/>
      </c>
      <c r="K14" s="692" t="str">
        <f>IF(ISNUMBER(K$6),IF((ABS('current res.'!K10/'comparison base'!K10-1)&gt;0.0001),'current res.'!K10/'comparison base'!K10-1,""),"")</f>
        <v/>
      </c>
      <c r="L14" s="692" t="str">
        <f>IF(ISNUMBER(L$6),IF((ABS('current res.'!L10/'comparison base'!L10-1)&gt;0.0001),'current res.'!L10/'comparison base'!L10-1,""),"")</f>
        <v/>
      </c>
      <c r="M14" s="692" t="str">
        <f>IF(ISNUMBER(M$6),IF((ABS('current res.'!M10/'comparison base'!M10-1)&gt;0.0001),'current res.'!M10/'comparison base'!M10-1,""),"")</f>
        <v/>
      </c>
      <c r="N14" s="692" t="str">
        <f>IF(ISNUMBER(N$6),IF((ABS('current res.'!N10/'comparison base'!N10-1)&gt;0.0001),'current res.'!N10/'comparison base'!N10-1,""),"")</f>
        <v/>
      </c>
      <c r="O14" s="692" t="str">
        <f>IF(ISNUMBER(O$6),IF((ABS('current res.'!O10/'comparison base'!O10-1)&gt;0.0001),'current res.'!O10/'comparison base'!O10-1,""),"")</f>
        <v/>
      </c>
    </row>
    <row r="15" spans="1:15" s="692" customFormat="1">
      <c r="A15" s="184" t="str">
        <f>'1-2-3'!B57</f>
        <v>Consumption (Cn)</v>
      </c>
      <c r="B15" s="692" t="str">
        <f>IF(ISNUMBER(B$6),IF((ABS('current res.'!B11/'comparison base'!B11-1)&gt;0.0001),'current res.'!B11/'comparison base'!B11-1,""),"")</f>
        <v/>
      </c>
      <c r="C15" s="692">
        <f>IF(ISNUMBER(C$6),IF((ABS('current res.'!C11/'comparison base'!C11-1)&gt;0.0001),'current res.'!C11/'comparison base'!C11-1,""),"")</f>
        <v>-6.1573371487071871E-2</v>
      </c>
      <c r="D15" s="692">
        <f>IF(ISNUMBER(D$6),IF((ABS('current res.'!D11/'comparison base'!D11-1)&gt;0.0001),'current res.'!D11/'comparison base'!D11-1,""),"")</f>
        <v>-0.10212147627405632</v>
      </c>
      <c r="E15" s="692">
        <f>IF(ISNUMBER(E$6),IF((ABS('current res.'!E11/'comparison base'!E11-1)&gt;0.0001),'current res.'!E11/'comparison base'!E11-1,""),"")</f>
        <v>-0.11707959414171132</v>
      </c>
      <c r="F15" s="692" t="str">
        <f>IF(ISNUMBER(F$6),IF((ABS('current res.'!F11/'comparison base'!F11-1)&gt;0.0001),'current res.'!F11/'comparison base'!F11-1,""),"")</f>
        <v/>
      </c>
      <c r="G15" s="692" t="str">
        <f>IF(ISNUMBER(G$6),IF((ABS('current res.'!G11/'comparison base'!G11-1)&gt;0.0001),'current res.'!G11/'comparison base'!G11-1,""),"")</f>
        <v/>
      </c>
      <c r="H15" s="692" t="str">
        <f>IF(ISNUMBER(H$6),IF((ABS('current res.'!H11/'comparison base'!H11-1)&gt;0.0001),'current res.'!H11/'comparison base'!H11-1,""),"")</f>
        <v/>
      </c>
      <c r="I15" s="692" t="str">
        <f>IF(ISNUMBER(I$6),IF((ABS('current res.'!I11/'comparison base'!I11-1)&gt;0.0001),'current res.'!I11/'comparison base'!I11-1,""),"")</f>
        <v/>
      </c>
      <c r="J15" s="692" t="str">
        <f>IF(ISNUMBER(J$6),IF((ABS('current res.'!J11/'comparison base'!J11-1)&gt;0.0001),'current res.'!J11/'comparison base'!J11-1,""),"")</f>
        <v/>
      </c>
      <c r="K15" s="692" t="str">
        <f>IF(ISNUMBER(K$6),IF((ABS('current res.'!K11/'comparison base'!K11-1)&gt;0.0001),'current res.'!K11/'comparison base'!K11-1,""),"")</f>
        <v/>
      </c>
      <c r="L15" s="692" t="str">
        <f>IF(ISNUMBER(L$6),IF((ABS('current res.'!L11/'comparison base'!L11-1)&gt;0.0001),'current res.'!L11/'comparison base'!L11-1,""),"")</f>
        <v/>
      </c>
      <c r="M15" s="692" t="str">
        <f>IF(ISNUMBER(M$6),IF((ABS('current res.'!M11/'comparison base'!M11-1)&gt;0.0001),'current res.'!M11/'comparison base'!M11-1,""),"")</f>
        <v/>
      </c>
      <c r="N15" s="692" t="str">
        <f>IF(ISNUMBER(N$6),IF((ABS('current res.'!N11/'comparison base'!N11-1)&gt;0.0001),'current res.'!N11/'comparison base'!N11-1,""),"")</f>
        <v/>
      </c>
      <c r="O15" s="692" t="str">
        <f>IF(ISNUMBER(O$6),IF((ABS('current res.'!O11/'comparison base'!O11-1)&gt;0.0001),'current res.'!O11/'comparison base'!O11-1,""),"")</f>
        <v/>
      </c>
    </row>
    <row r="16" spans="1:15" s="692" customFormat="1">
      <c r="A16" s="184" t="str">
        <f>'1-2-3'!B58</f>
        <v>Import Price (Pm)</v>
      </c>
      <c r="B16" s="692" t="str">
        <f>IF(ISNUMBER(B$6),IF((ABS('current res.'!B12/'comparison base'!B12-1)&gt;0.0001),'current res.'!B12/'comparison base'!B12-1,""),"")</f>
        <v/>
      </c>
      <c r="C16" s="692">
        <f>IF(ISNUMBER(C$6),IF((ABS('current res.'!C12/'comparison base'!C12-1)&gt;0.0001),'current res.'!C12/'comparison base'!C12-1,""),"")</f>
        <v>0.11490578439093979</v>
      </c>
      <c r="D16" s="692">
        <f>IF(ISNUMBER(D$6),IF((ABS('current res.'!D12/'comparison base'!D12-1)&gt;0.0001),'current res.'!D12/'comparison base'!D12-1,""),"")</f>
        <v>0.19850089838543616</v>
      </c>
      <c r="E16" s="692">
        <f>IF(ISNUMBER(E$6),IF((ABS('current res.'!E12/'comparison base'!E12-1)&gt;0.0001),'current res.'!E12/'comparison base'!E12-1,""),"")</f>
        <v>0.18829653662255552</v>
      </c>
      <c r="F16" s="692" t="str">
        <f>IF(ISNUMBER(F$6),IF((ABS('current res.'!F12/'comparison base'!F12-1)&gt;0.0001),'current res.'!F12/'comparison base'!F12-1,""),"")</f>
        <v/>
      </c>
      <c r="G16" s="692" t="str">
        <f>IF(ISNUMBER(G$6),IF((ABS('current res.'!G12/'comparison base'!G12-1)&gt;0.0001),'current res.'!G12/'comparison base'!G12-1,""),"")</f>
        <v/>
      </c>
      <c r="H16" s="692" t="str">
        <f>IF(ISNUMBER(H$6),IF((ABS('current res.'!H12/'comparison base'!H12-1)&gt;0.0001),'current res.'!H12/'comparison base'!H12-1,""),"")</f>
        <v/>
      </c>
      <c r="I16" s="692" t="str">
        <f>IF(ISNUMBER(I$6),IF((ABS('current res.'!I12/'comparison base'!I12-1)&gt;0.0001),'current res.'!I12/'comparison base'!I12-1,""),"")</f>
        <v/>
      </c>
      <c r="J16" s="692" t="str">
        <f>IF(ISNUMBER(J$6),IF((ABS('current res.'!J12/'comparison base'!J12-1)&gt;0.0001),'current res.'!J12/'comparison base'!J12-1,""),"")</f>
        <v/>
      </c>
      <c r="K16" s="692" t="str">
        <f>IF(ISNUMBER(K$6),IF((ABS('current res.'!K12/'comparison base'!K12-1)&gt;0.0001),'current res.'!K12/'comparison base'!K12-1,""),"")</f>
        <v/>
      </c>
      <c r="L16" s="692" t="str">
        <f>IF(ISNUMBER(L$6),IF((ABS('current res.'!L12/'comparison base'!L12-1)&gt;0.0001),'current res.'!L12/'comparison base'!L12-1,""),"")</f>
        <v/>
      </c>
      <c r="M16" s="692" t="str">
        <f>IF(ISNUMBER(M$6),IF((ABS('current res.'!M12/'comparison base'!M12-1)&gt;0.0001),'current res.'!M12/'comparison base'!M12-1,""),"")</f>
        <v/>
      </c>
      <c r="N16" s="692" t="str">
        <f>IF(ISNUMBER(N$6),IF((ABS('current res.'!N12/'comparison base'!N12-1)&gt;0.0001),'current res.'!N12/'comparison base'!N12-1,""),"")</f>
        <v/>
      </c>
      <c r="O16" s="692" t="str">
        <f>IF(ISNUMBER(O$6),IF((ABS('current res.'!O12/'comparison base'!O12-1)&gt;0.0001),'current res.'!O12/'comparison base'!O12-1,""),"")</f>
        <v/>
      </c>
    </row>
    <row r="17" spans="1:15" s="692" customFormat="1">
      <c r="A17" s="184" t="str">
        <f>'1-2-3'!B59</f>
        <v>Export Price (Pe)</v>
      </c>
      <c r="B17" s="692" t="str">
        <f>IF(ISNUMBER(B$6),IF((ABS('current res.'!B13/'comparison base'!B13-1)&gt;0.0001),'current res.'!B13/'comparison base'!B13-1,""),"")</f>
        <v/>
      </c>
      <c r="C17" s="692">
        <f>IF(ISNUMBER(C$6),IF((ABS('current res.'!C13/'comparison base'!C13-1)&gt;0.0001),'current res.'!C13/'comparison base'!C13-1,""),"")</f>
        <v>3.4152059518457456E-3</v>
      </c>
      <c r="D17" s="692">
        <f>IF(ISNUMBER(D$6),IF((ABS('current res.'!D13/'comparison base'!D13-1)&gt;0.0001),'current res.'!D13/'comparison base'!D13-1,""),"")</f>
        <v>6.6133608425704704E-3</v>
      </c>
      <c r="E17" s="692">
        <f>IF(ISNUMBER(E$6),IF((ABS('current res.'!E13/'comparison base'!E13-1)&gt;0.0001),'current res.'!E13/'comparison base'!E13-1,""),"")</f>
        <v>6.3702054199139546E-3</v>
      </c>
      <c r="F17" s="692" t="str">
        <f>IF(ISNUMBER(F$6),IF((ABS('current res.'!F13/'comparison base'!F13-1)&gt;0.0001),'current res.'!F13/'comparison base'!F13-1,""),"")</f>
        <v/>
      </c>
      <c r="G17" s="692" t="str">
        <f>IF(ISNUMBER(G$6),IF((ABS('current res.'!G13/'comparison base'!G13-1)&gt;0.0001),'current res.'!G13/'comparison base'!G13-1,""),"")</f>
        <v/>
      </c>
      <c r="H17" s="692" t="str">
        <f>IF(ISNUMBER(H$6),IF((ABS('current res.'!H13/'comparison base'!H13-1)&gt;0.0001),'current res.'!H13/'comparison base'!H13-1,""),"")</f>
        <v/>
      </c>
      <c r="I17" s="692" t="str">
        <f>IF(ISNUMBER(I$6),IF((ABS('current res.'!I13/'comparison base'!I13-1)&gt;0.0001),'current res.'!I13/'comparison base'!I13-1,""),"")</f>
        <v/>
      </c>
      <c r="J17" s="692" t="str">
        <f>IF(ISNUMBER(J$6),IF((ABS('current res.'!J13/'comparison base'!J13-1)&gt;0.0001),'current res.'!J13/'comparison base'!J13-1,""),"")</f>
        <v/>
      </c>
      <c r="K17" s="692" t="str">
        <f>IF(ISNUMBER(K$6),IF((ABS('current res.'!K13/'comparison base'!K13-1)&gt;0.0001),'current res.'!K13/'comparison base'!K13-1,""),"")</f>
        <v/>
      </c>
      <c r="L17" s="692" t="str">
        <f>IF(ISNUMBER(L$6),IF((ABS('current res.'!L13/'comparison base'!L13-1)&gt;0.0001),'current res.'!L13/'comparison base'!L13-1,""),"")</f>
        <v/>
      </c>
      <c r="M17" s="692" t="str">
        <f>IF(ISNUMBER(M$6),IF((ABS('current res.'!M13/'comparison base'!M13-1)&gt;0.0001),'current res.'!M13/'comparison base'!M13-1,""),"")</f>
        <v/>
      </c>
      <c r="N17" s="692" t="str">
        <f>IF(ISNUMBER(N$6),IF((ABS('current res.'!N13/'comparison base'!N13-1)&gt;0.0001),'current res.'!N13/'comparison base'!N13-1,""),"")</f>
        <v/>
      </c>
      <c r="O17" s="692" t="str">
        <f>IF(ISNUMBER(O$6),IF((ABS('current res.'!O13/'comparison base'!O13-1)&gt;0.0001),'current res.'!O13/'comparison base'!O13-1,""),"")</f>
        <v/>
      </c>
    </row>
    <row r="18" spans="1:15" s="692" customFormat="1">
      <c r="A18" s="184" t="str">
        <f>'1-2-3'!B60</f>
        <v>Sales Price (Pt)</v>
      </c>
      <c r="B18" s="692" t="str">
        <f>IF(ISNUMBER(B$6),IF((ABS('current res.'!B14/'comparison base'!B14-1)&gt;0.0001),'current res.'!B14/'comparison base'!B14-1,""),"")</f>
        <v/>
      </c>
      <c r="C18" s="692">
        <f>IF(ISNUMBER(C$6),IF((ABS('current res.'!C14/'comparison base'!C14-1)&gt;0.0001),'current res.'!C14/'comparison base'!C14-1,""),"")</f>
        <v>4.9840745087759153E-2</v>
      </c>
      <c r="D18" s="692">
        <f>IF(ISNUMBER(D$6),IF((ABS('current res.'!D14/'comparison base'!D14-1)&gt;0.0001),'current res.'!D14/'comparison base'!D14-1,""),"")</f>
        <v>8.5439764423887343E-2</v>
      </c>
      <c r="E18" s="692">
        <f>IF(ISNUMBER(E$6),IF((ABS('current res.'!E14/'comparison base'!E14-1)&gt;0.0001),'current res.'!E14/'comparison base'!E14-1,""),"")</f>
        <v>8.1395967549473758E-2</v>
      </c>
      <c r="F18" s="692" t="str">
        <f>IF(ISNUMBER(F$6),IF((ABS('current res.'!F14/'comparison base'!F14-1)&gt;0.0001),'current res.'!F14/'comparison base'!F14-1,""),"")</f>
        <v/>
      </c>
      <c r="G18" s="692" t="str">
        <f>IF(ISNUMBER(G$6),IF((ABS('current res.'!G14/'comparison base'!G14-1)&gt;0.0001),'current res.'!G14/'comparison base'!G14-1,""),"")</f>
        <v/>
      </c>
      <c r="H18" s="692" t="str">
        <f>IF(ISNUMBER(H$6),IF((ABS('current res.'!H14/'comparison base'!H14-1)&gt;0.0001),'current res.'!H14/'comparison base'!H14-1,""),"")</f>
        <v/>
      </c>
      <c r="I18" s="692" t="str">
        <f>IF(ISNUMBER(I$6),IF((ABS('current res.'!I14/'comparison base'!I14-1)&gt;0.0001),'current res.'!I14/'comparison base'!I14-1,""),"")</f>
        <v/>
      </c>
      <c r="J18" s="692" t="str">
        <f>IF(ISNUMBER(J$6),IF((ABS('current res.'!J14/'comparison base'!J14-1)&gt;0.0001),'current res.'!J14/'comparison base'!J14-1,""),"")</f>
        <v/>
      </c>
      <c r="K18" s="692" t="str">
        <f>IF(ISNUMBER(K$6),IF((ABS('current res.'!K14/'comparison base'!K14-1)&gt;0.0001),'current res.'!K14/'comparison base'!K14-1,""),"")</f>
        <v/>
      </c>
      <c r="L18" s="692" t="str">
        <f>IF(ISNUMBER(L$6),IF((ABS('current res.'!L14/'comparison base'!L14-1)&gt;0.0001),'current res.'!L14/'comparison base'!L14-1,""),"")</f>
        <v/>
      </c>
      <c r="M18" s="692" t="str">
        <f>IF(ISNUMBER(M$6),IF((ABS('current res.'!M14/'comparison base'!M14-1)&gt;0.0001),'current res.'!M14/'comparison base'!M14-1,""),"")</f>
        <v/>
      </c>
      <c r="N18" s="692" t="str">
        <f>IF(ISNUMBER(N$6),IF((ABS('current res.'!N14/'comparison base'!N14-1)&gt;0.0001),'current res.'!N14/'comparison base'!N14-1,""),"")</f>
        <v/>
      </c>
      <c r="O18" s="692" t="str">
        <f>IF(ISNUMBER(O$6),IF((ABS('current res.'!O14/'comparison base'!O14-1)&gt;0.0001),'current res.'!O14/'comparison base'!O14-1,""),"")</f>
        <v/>
      </c>
    </row>
    <row r="19" spans="1:15" s="692" customFormat="1">
      <c r="A19" s="184" t="str">
        <f>'1-2-3'!B61</f>
        <v>Price of Supply (Pq)</v>
      </c>
      <c r="B19" s="692" t="str">
        <f>IF(ISNUMBER(B$6),IF((ABS('current res.'!B15/'comparison base'!B15-1)&gt;0.0001),'current res.'!B15/'comparison base'!B15-1,""),"")</f>
        <v/>
      </c>
      <c r="C19" s="692">
        <f>IF(ISNUMBER(C$6),IF((ABS('current res.'!C15/'comparison base'!C15-1)&gt;0.0001),'current res.'!C15/'comparison base'!C15-1,""),"")</f>
        <v>4.9746944997370202E-2</v>
      </c>
      <c r="D19" s="692">
        <f>IF(ISNUMBER(D$6),IF((ABS('current res.'!D15/'comparison base'!D15-1)&gt;0.0001),'current res.'!D15/'comparison base'!D15-1,""),"")</f>
        <v>8.5290325700499547E-2</v>
      </c>
      <c r="E19" s="692">
        <f>IF(ISNUMBER(E$6),IF((ABS('current res.'!E15/'comparison base'!E15-1)&gt;0.0001),'current res.'!E15/'comparison base'!E15-1,""),"")</f>
        <v>8.1404023259203484E-2</v>
      </c>
      <c r="F19" s="692" t="str">
        <f>IF(ISNUMBER(F$6),IF((ABS('current res.'!F15/'comparison base'!F15-1)&gt;0.0001),'current res.'!F15/'comparison base'!F15-1,""),"")</f>
        <v/>
      </c>
      <c r="G19" s="692" t="str">
        <f>IF(ISNUMBER(G$6),IF((ABS('current res.'!G15/'comparison base'!G15-1)&gt;0.0001),'current res.'!G15/'comparison base'!G15-1,""),"")</f>
        <v/>
      </c>
      <c r="H19" s="692" t="str">
        <f>IF(ISNUMBER(H$6),IF((ABS('current res.'!H15/'comparison base'!H15-1)&gt;0.0001),'current res.'!H15/'comparison base'!H15-1,""),"")</f>
        <v/>
      </c>
      <c r="I19" s="692" t="str">
        <f>IF(ISNUMBER(I$6),IF((ABS('current res.'!I15/'comparison base'!I15-1)&gt;0.0001),'current res.'!I15/'comparison base'!I15-1,""),"")</f>
        <v/>
      </c>
      <c r="J19" s="692" t="str">
        <f>IF(ISNUMBER(J$6),IF((ABS('current res.'!J15/'comparison base'!J15-1)&gt;0.0001),'current res.'!J15/'comparison base'!J15-1,""),"")</f>
        <v/>
      </c>
      <c r="K19" s="692" t="str">
        <f>IF(ISNUMBER(K$6),IF((ABS('current res.'!K15/'comparison base'!K15-1)&gt;0.0001),'current res.'!K15/'comparison base'!K15-1,""),"")</f>
        <v/>
      </c>
      <c r="L19" s="692" t="str">
        <f>IF(ISNUMBER(L$6),IF((ABS('current res.'!L15/'comparison base'!L15-1)&gt;0.0001),'current res.'!L15/'comparison base'!L15-1,""),"")</f>
        <v/>
      </c>
      <c r="M19" s="692" t="str">
        <f>IF(ISNUMBER(M$6),IF((ABS('current res.'!M15/'comparison base'!M15-1)&gt;0.0001),'current res.'!M15/'comparison base'!M15-1,""),"")</f>
        <v/>
      </c>
      <c r="N19" s="692" t="str">
        <f>IF(ISNUMBER(N$6),IF((ABS('current res.'!N15/'comparison base'!N15-1)&gt;0.0001),'current res.'!N15/'comparison base'!N15-1,""),"")</f>
        <v/>
      </c>
      <c r="O19" s="692" t="str">
        <f>IF(ISNUMBER(O$6),IF((ABS('current res.'!O15/'comparison base'!O15-1)&gt;0.0001),'current res.'!O15/'comparison base'!O15-1,""),"")</f>
        <v/>
      </c>
    </row>
    <row r="20" spans="1:15" s="692" customFormat="1">
      <c r="A20" s="184" t="str">
        <f>'1-2-3'!B62</f>
        <v>Price of Dom. Good (Pd)</v>
      </c>
      <c r="B20" s="692" t="str">
        <f>IF(ISNUMBER(B$6),IF((ABS('current res.'!B16/'comparison base'!B16-1)&gt;0.0001),'current res.'!B16/'comparison base'!B16-1,""),"")</f>
        <v/>
      </c>
      <c r="C20" s="692">
        <f>IF(ISNUMBER(C$6),IF((ABS('current res.'!C16/'comparison base'!C16-1)&gt;0.0001),'current res.'!C16/'comparison base'!C16-1,""),"")</f>
        <v>-1.7418536607024526E-3</v>
      </c>
      <c r="D20" s="692">
        <f>IF(ISNUMBER(D$6),IF((ABS('current res.'!D16/'comparison base'!D16-1)&gt;0.0001),'current res.'!D16/'comparison base'!D16-1,""),"")</f>
        <v>-3.5606821265152799E-3</v>
      </c>
      <c r="E20" s="692">
        <f>IF(ISNUMBER(E$6),IF((ABS('current res.'!E16/'comparison base'!E16-1)&gt;0.0001),'current res.'!E16/'comparison base'!E16-1,""),"")</f>
        <v>-3.5924571675527428E-3</v>
      </c>
      <c r="F20" s="692" t="str">
        <f>IF(ISNUMBER(F$6),IF((ABS('current res.'!F16/'comparison base'!F16-1)&gt;0.0001),'current res.'!F16/'comparison base'!F16-1,""),"")</f>
        <v/>
      </c>
      <c r="G20" s="692" t="str">
        <f>IF(ISNUMBER(G$6),IF((ABS('current res.'!G16/'comparison base'!G16-1)&gt;0.0001),'current res.'!G16/'comparison base'!G16-1,""),"")</f>
        <v/>
      </c>
      <c r="H20" s="692" t="str">
        <f>IF(ISNUMBER(H$6),IF((ABS('current res.'!H16/'comparison base'!H16-1)&gt;0.0001),'current res.'!H16/'comparison base'!H16-1,""),"")</f>
        <v/>
      </c>
      <c r="I20" s="692" t="str">
        <f>IF(ISNUMBER(I$6),IF((ABS('current res.'!I16/'comparison base'!I16-1)&gt;0.0001),'current res.'!I16/'comparison base'!I16-1,""),"")</f>
        <v/>
      </c>
      <c r="J20" s="692" t="str">
        <f>IF(ISNUMBER(J$6),IF((ABS('current res.'!J16/'comparison base'!J16-1)&gt;0.0001),'current res.'!J16/'comparison base'!J16-1,""),"")</f>
        <v/>
      </c>
      <c r="K20" s="692" t="str">
        <f>IF(ISNUMBER(K$6),IF((ABS('current res.'!K16/'comparison base'!K16-1)&gt;0.0001),'current res.'!K16/'comparison base'!K16-1,""),"")</f>
        <v/>
      </c>
      <c r="L20" s="692" t="str">
        <f>IF(ISNUMBER(L$6),IF((ABS('current res.'!L16/'comparison base'!L16-1)&gt;0.0001),'current res.'!L16/'comparison base'!L16-1,""),"")</f>
        <v/>
      </c>
      <c r="M20" s="692" t="str">
        <f>IF(ISNUMBER(M$6),IF((ABS('current res.'!M16/'comparison base'!M16-1)&gt;0.0001),'current res.'!M16/'comparison base'!M16-1,""),"")</f>
        <v/>
      </c>
      <c r="N20" s="692" t="str">
        <f>IF(ISNUMBER(N$6),IF((ABS('current res.'!N16/'comparison base'!N16-1)&gt;0.0001),'current res.'!N16/'comparison base'!N16-1,""),"")</f>
        <v/>
      </c>
      <c r="O20" s="692" t="str">
        <f>IF(ISNUMBER(O$6),IF((ABS('current res.'!O16/'comparison base'!O16-1)&gt;0.0001),'current res.'!O16/'comparison base'!O16-1,""),"")</f>
        <v/>
      </c>
    </row>
    <row r="21" spans="1:15" s="692" customFormat="1">
      <c r="A21" s="184" t="str">
        <f>'1-2-3'!B63</f>
        <v>Gross Price of Output</v>
      </c>
      <c r="B21" s="692" t="str">
        <f>IF(ISNUMBER(B$6),IF((ABS('current res.'!B17/'comparison base'!B17-1)&gt;0.0001),'current res.'!B17/'comparison base'!B17-1,""),"")</f>
        <v/>
      </c>
      <c r="C21" s="692">
        <f>IF(ISNUMBER(C$6),IF((ABS('current res.'!C17/'comparison base'!C17-1)&gt;0.0001),'current res.'!C17/'comparison base'!C17-1,""),"")</f>
        <v>0.11490578439093979</v>
      </c>
      <c r="D21" s="692">
        <f>IF(ISNUMBER(D$6),IF((ABS('current res.'!D17/'comparison base'!D17-1)&gt;0.0001),'current res.'!D17/'comparison base'!D17-1,""),"")</f>
        <v>0.19850089838543616</v>
      </c>
      <c r="E21" s="692">
        <f>IF(ISNUMBER(E$6),IF((ABS('current res.'!E17/'comparison base'!E17-1)&gt;0.0001),'current res.'!E17/'comparison base'!E17-1,""),"")</f>
        <v>0.1882965366225553</v>
      </c>
      <c r="F21" s="692" t="str">
        <f>IF(ISNUMBER(F$6),IF((ABS('current res.'!F17/'comparison base'!F17-1)&gt;0.0001),'current res.'!F17/'comparison base'!F17-1,""),"")</f>
        <v/>
      </c>
      <c r="G21" s="692" t="str">
        <f>IF(ISNUMBER(G$6),IF((ABS('current res.'!G17/'comparison base'!G17-1)&gt;0.0001),'current res.'!G17/'comparison base'!G17-1,""),"")</f>
        <v/>
      </c>
      <c r="H21" s="692" t="str">
        <f>IF(ISNUMBER(H$6),IF((ABS('current res.'!H17/'comparison base'!H17-1)&gt;0.0001),'current res.'!H17/'comparison base'!H17-1,""),"")</f>
        <v/>
      </c>
      <c r="I21" s="692" t="str">
        <f>IF(ISNUMBER(I$6),IF((ABS('current res.'!I17/'comparison base'!I17-1)&gt;0.0001),'current res.'!I17/'comparison base'!I17-1,""),"")</f>
        <v/>
      </c>
      <c r="J21" s="692" t="str">
        <f>IF(ISNUMBER(J$6),IF((ABS('current res.'!J17/'comparison base'!J17-1)&gt;0.0001),'current res.'!J17/'comparison base'!J17-1,""),"")</f>
        <v/>
      </c>
      <c r="K21" s="692" t="str">
        <f>IF(ISNUMBER(K$6),IF((ABS('current res.'!K17/'comparison base'!K17-1)&gt;0.0001),'current res.'!K17/'comparison base'!K17-1,""),"")</f>
        <v/>
      </c>
      <c r="L21" s="692" t="str">
        <f>IF(ISNUMBER(L$6),IF((ABS('current res.'!L17/'comparison base'!L17-1)&gt;0.0001),'current res.'!L17/'comparison base'!L17-1,""),"")</f>
        <v/>
      </c>
      <c r="M21" s="692" t="str">
        <f>IF(ISNUMBER(M$6),IF((ABS('current res.'!M17/'comparison base'!M17-1)&gt;0.0001),'current res.'!M17/'comparison base'!M17-1,""),"")</f>
        <v/>
      </c>
      <c r="N21" s="692" t="str">
        <f>IF(ISNUMBER(N$6),IF((ABS('current res.'!N17/'comparison base'!N17-1)&gt;0.0001),'current res.'!N17/'comparison base'!N17-1,""),"")</f>
        <v/>
      </c>
      <c r="O21" s="692" t="str">
        <f>IF(ISNUMBER(O$6),IF((ABS('current res.'!O17/'comparison base'!O17-1)&gt;0.0001),'current res.'!O17/'comparison base'!O17-1,""),"")</f>
        <v/>
      </c>
    </row>
    <row r="22" spans="1:15" s="692" customFormat="1">
      <c r="A22" s="184" t="str">
        <f>'1-2-3'!B64</f>
        <v>Real Exchange Rate (PPP)</v>
      </c>
      <c r="B22" s="692" t="str">
        <f>IF(ISNUMBER(B$6),IF((ABS('current res.'!B18/'comparison base'!B18-1)&gt;0.0001),'current res.'!B18/'comparison base'!B18-1,""),"")</f>
        <v/>
      </c>
      <c r="C22" s="692" t="str">
        <f>IF(ISNUMBER(C$6),IF((ABS('current res.'!C18/'comparison base'!C18-1)&gt;0.0001),'current res.'!C18/'comparison base'!C18-1,""),"")</f>
        <v/>
      </c>
      <c r="D22" s="692" t="str">
        <f>IF(ISNUMBER(D$6),IF((ABS('current res.'!D18/'comparison base'!D18-1)&gt;0.0001),'current res.'!D18/'comparison base'!D18-1,""),"")</f>
        <v/>
      </c>
      <c r="E22" s="692" t="str">
        <f>IF(ISNUMBER(E$6),IF((ABS('current res.'!E18/'comparison base'!E18-1)&gt;0.0001),'current res.'!E18/'comparison base'!E18-1,""),"")</f>
        <v/>
      </c>
      <c r="F22" s="692" t="str">
        <f>IF(ISNUMBER(F$6),IF((ABS('current res.'!F18/'comparison base'!F18-1)&gt;0.0001),'current res.'!F18/'comparison base'!F18-1,""),"")</f>
        <v/>
      </c>
      <c r="G22" s="692" t="str">
        <f>IF(ISNUMBER(G$6),IF((ABS('current res.'!G18/'comparison base'!G18-1)&gt;0.0001),'current res.'!G18/'comparison base'!G18-1,""),"")</f>
        <v/>
      </c>
      <c r="H22" s="692" t="str">
        <f>IF(ISNUMBER(H$6),IF((ABS('current res.'!H18/'comparison base'!H18-1)&gt;0.0001),'current res.'!H18/'comparison base'!H18-1,""),"")</f>
        <v/>
      </c>
      <c r="I22" s="692" t="str">
        <f>IF(ISNUMBER(I$6),IF((ABS('current res.'!I18/'comparison base'!I18-1)&gt;0.0001),'current res.'!I18/'comparison base'!I18-1,""),"")</f>
        <v/>
      </c>
      <c r="J22" s="692" t="str">
        <f>IF(ISNUMBER(J$6),IF((ABS('current res.'!J18/'comparison base'!J18-1)&gt;0.0001),'current res.'!J18/'comparison base'!J18-1,""),"")</f>
        <v/>
      </c>
      <c r="K22" s="692" t="str">
        <f>IF(ISNUMBER(K$6),IF((ABS('current res.'!K18/'comparison base'!K18-1)&gt;0.0001),'current res.'!K18/'comparison base'!K18-1,""),"")</f>
        <v/>
      </c>
      <c r="L22" s="692" t="str">
        <f>IF(ISNUMBER(L$6),IF((ABS('current res.'!L18/'comparison base'!L18-1)&gt;0.0001),'current res.'!L18/'comparison base'!L18-1,""),"")</f>
        <v/>
      </c>
      <c r="M22" s="692" t="str">
        <f>IF(ISNUMBER(M$6),IF((ABS('current res.'!M18/'comparison base'!M18-1)&gt;0.0001),'current res.'!M18/'comparison base'!M18-1,""),"")</f>
        <v/>
      </c>
      <c r="N22" s="692" t="str">
        <f>IF(ISNUMBER(N$6),IF((ABS('current res.'!N18/'comparison base'!N18-1)&gt;0.0001),'current res.'!N18/'comparison base'!N18-1,""),"")</f>
        <v/>
      </c>
      <c r="O22" s="692" t="str">
        <f>IF(ISNUMBER(O$6),IF((ABS('current res.'!O18/'comparison base'!O18-1)&gt;0.0001),'current res.'!O18/'comparison base'!O18-1,""),"")</f>
        <v/>
      </c>
    </row>
    <row r="23" spans="1:15" s="692" customFormat="1">
      <c r="A23" s="184" t="str">
        <f>'1-2-3'!B65</f>
        <v>Investment (Z)</v>
      </c>
      <c r="B23" s="692" t="str">
        <f>IF(ISNUMBER(B$6),IF((ABS('current res.'!B19/'comparison base'!B19-1)&gt;0.0001),'current res.'!B19/'comparison base'!B19-1,""),"")</f>
        <v/>
      </c>
      <c r="C23" s="692">
        <f>IF(ISNUMBER(C$6),IF((ABS('current res.'!C19/'comparison base'!C19-1)&gt;0.0001),'current res.'!C19/'comparison base'!C19-1,""),"")</f>
        <v>0.10613534372311761</v>
      </c>
      <c r="D23" s="692">
        <f>IF(ISNUMBER(D$6),IF((ABS('current res.'!D19/'comparison base'!D19-1)&gt;0.0001),'current res.'!D19/'comparison base'!D19-1,""),"")</f>
        <v>0.20856603071679869</v>
      </c>
      <c r="E23" s="692">
        <f>IF(ISNUMBER(E$6),IF((ABS('current res.'!E19/'comparison base'!E19-1)&gt;0.0001),'current res.'!E19/'comparison base'!E19-1,""),"")</f>
        <v>0.17383093150678164</v>
      </c>
      <c r="F23" s="692" t="str">
        <f>IF(ISNUMBER(F$6),IF((ABS('current res.'!F19/'comparison base'!F19-1)&gt;0.0001),'current res.'!F19/'comparison base'!F19-1,""),"")</f>
        <v/>
      </c>
      <c r="G23" s="692" t="str">
        <f>IF(ISNUMBER(G$6),IF((ABS('current res.'!G19/'comparison base'!G19-1)&gt;0.0001),'current res.'!G19/'comparison base'!G19-1,""),"")</f>
        <v/>
      </c>
      <c r="H23" s="692" t="str">
        <f>IF(ISNUMBER(H$6),IF((ABS('current res.'!H19/'comparison base'!H19-1)&gt;0.0001),'current res.'!H19/'comparison base'!H19-1,""),"")</f>
        <v/>
      </c>
      <c r="I23" s="692" t="str">
        <f>IF(ISNUMBER(I$6),IF((ABS('current res.'!I19/'comparison base'!I19-1)&gt;0.0001),'current res.'!I19/'comparison base'!I19-1,""),"")</f>
        <v/>
      </c>
      <c r="J23" s="692" t="str">
        <f>IF(ISNUMBER(J$6),IF((ABS('current res.'!J19/'comparison base'!J19-1)&gt;0.0001),'current res.'!J19/'comparison base'!J19-1,""),"")</f>
        <v/>
      </c>
      <c r="K23" s="692" t="str">
        <f>IF(ISNUMBER(K$6),IF((ABS('current res.'!K19/'comparison base'!K19-1)&gt;0.0001),'current res.'!K19/'comparison base'!K19-1,""),"")</f>
        <v/>
      </c>
      <c r="L23" s="692" t="str">
        <f>IF(ISNUMBER(L$6),IF((ABS('current res.'!L19/'comparison base'!L19-1)&gt;0.0001),'current res.'!L19/'comparison base'!L19-1,""),"")</f>
        <v/>
      </c>
      <c r="M23" s="692" t="str">
        <f>IF(ISNUMBER(M$6),IF((ABS('current res.'!M19/'comparison base'!M19-1)&gt;0.0001),'current res.'!M19/'comparison base'!M19-1,""),"")</f>
        <v/>
      </c>
      <c r="N23" s="692" t="str">
        <f>IF(ISNUMBER(N$6),IF((ABS('current res.'!N19/'comparison base'!N19-1)&gt;0.0001),'current res.'!N19/'comparison base'!N19-1,""),"")</f>
        <v/>
      </c>
      <c r="O23" s="692" t="str">
        <f>IF(ISNUMBER(O$6),IF((ABS('current res.'!O19/'comparison base'!O19-1)&gt;0.0001),'current res.'!O19/'comparison base'!O19-1,""),"")</f>
        <v/>
      </c>
    </row>
    <row r="24" spans="1:15" s="692" customFormat="1">
      <c r="A24" s="184" t="str">
        <f>'1-2-3'!B66</f>
        <v>Money Supply</v>
      </c>
      <c r="B24" s="692" t="str">
        <f>IF(ISNUMBER(B$6),IF((ABS('current res.'!B20/'comparison base'!B20-1)&gt;0.0001),'current res.'!B20/'comparison base'!B20-1,""),"")</f>
        <v/>
      </c>
      <c r="C24" s="692">
        <f>IF(ISNUMBER(C$6),IF((ABS('current res.'!C20/'comparison base'!C20-1)&gt;0.0001),'current res.'!C20/'comparison base'!C20-1,""),"")</f>
        <v>-3.5900908532547904E-3</v>
      </c>
      <c r="D24" s="692">
        <f>IF(ISNUMBER(D$6),IF((ABS('current res.'!D20/'comparison base'!D20-1)&gt;0.0001),'current res.'!D20/'comparison base'!D20-1,""),"")</f>
        <v>-1.3046731235015208E-2</v>
      </c>
      <c r="E24" s="692">
        <f>IF(ISNUMBER(E$6),IF((ABS('current res.'!E20/'comparison base'!E20-1)&gt;0.0001),'current res.'!E20/'comparison base'!E20-1,""),"")</f>
        <v>-2.6900663913225542E-2</v>
      </c>
      <c r="F24" s="692" t="str">
        <f>IF(ISNUMBER(F$6),IF((ABS('current res.'!F20/'comparison base'!F20-1)&gt;0.0001),'current res.'!F20/'comparison base'!F20-1,""),"")</f>
        <v/>
      </c>
      <c r="G24" s="692" t="str">
        <f>IF(ISNUMBER(G$6),IF((ABS('current res.'!G20/'comparison base'!G20-1)&gt;0.0001),'current res.'!G20/'comparison base'!G20-1,""),"")</f>
        <v/>
      </c>
      <c r="H24" s="692" t="str">
        <f>IF(ISNUMBER(H$6),IF((ABS('current res.'!H20/'comparison base'!H20-1)&gt;0.0001),'current res.'!H20/'comparison base'!H20-1,""),"")</f>
        <v/>
      </c>
      <c r="I24" s="692" t="str">
        <f>IF(ISNUMBER(I$6),IF((ABS('current res.'!I20/'comparison base'!I20-1)&gt;0.0001),'current res.'!I20/'comparison base'!I20-1,""),"")</f>
        <v/>
      </c>
      <c r="J24" s="692" t="str">
        <f>IF(ISNUMBER(J$6),IF((ABS('current res.'!J20/'comparison base'!J20-1)&gt;0.0001),'current res.'!J20/'comparison base'!J20-1,""),"")</f>
        <v/>
      </c>
      <c r="K24" s="692" t="str">
        <f>IF(ISNUMBER(K$6),IF((ABS('current res.'!K20/'comparison base'!K20-1)&gt;0.0001),'current res.'!K20/'comparison base'!K20-1,""),"")</f>
        <v/>
      </c>
      <c r="L24" s="692" t="str">
        <f>IF(ISNUMBER(L$6),IF((ABS('current res.'!L20/'comparison base'!L20-1)&gt;0.0001),'current res.'!L20/'comparison base'!L20-1,""),"")</f>
        <v/>
      </c>
      <c r="M24" s="692" t="str">
        <f>IF(ISNUMBER(M$6),IF((ABS('current res.'!M20/'comparison base'!M20-1)&gt;0.0001),'current res.'!M20/'comparison base'!M20-1,""),"")</f>
        <v/>
      </c>
      <c r="N24" s="692" t="str">
        <f>IF(ISNUMBER(N$6),IF((ABS('current res.'!N20/'comparison base'!N20-1)&gt;0.0001),'current res.'!N20/'comparison base'!N20-1,""),"")</f>
        <v/>
      </c>
      <c r="O24" s="692" t="str">
        <f>IF(ISNUMBER(O$6),IF((ABS('current res.'!O20/'comparison base'!O20-1)&gt;0.0001),'current res.'!O20/'comparison base'!O20-1,""),"")</f>
        <v/>
      </c>
    </row>
    <row r="25" spans="1:15" s="692" customFormat="1">
      <c r="A25" s="184" t="str">
        <f>'1-2-3'!B67</f>
        <v>Money Velocity</v>
      </c>
      <c r="B25" s="692" t="str">
        <f>IF(ISNUMBER(B$6),IF((ABS('current res.'!B21/'comparison base'!B21-1)&gt;0.0001),'current res.'!B21/'comparison base'!B21-1,""),"")</f>
        <v/>
      </c>
      <c r="C25" s="692" t="str">
        <f>IF(ISNUMBER(C$6),IF((ABS('current res.'!C21/'comparison base'!C21-1)&gt;0.0001),'current res.'!C21/'comparison base'!C21-1,""),"")</f>
        <v/>
      </c>
      <c r="D25" s="692" t="str">
        <f>IF(ISNUMBER(D$6),IF((ABS('current res.'!D21/'comparison base'!D21-1)&gt;0.0001),'current res.'!D21/'comparison base'!D21-1,""),"")</f>
        <v/>
      </c>
      <c r="E25" s="692" t="str">
        <f>IF(ISNUMBER(E$6),IF((ABS('current res.'!E21/'comparison base'!E21-1)&gt;0.0001),'current res.'!E21/'comparison base'!E21-1,""),"")</f>
        <v/>
      </c>
      <c r="F25" s="692" t="str">
        <f>IF(ISNUMBER(F$6),IF((ABS('current res.'!F21/'comparison base'!F21-1)&gt;0.0001),'current res.'!F21/'comparison base'!F21-1,""),"")</f>
        <v/>
      </c>
      <c r="G25" s="692" t="str">
        <f>IF(ISNUMBER(G$6),IF((ABS('current res.'!G21/'comparison base'!G21-1)&gt;0.0001),'current res.'!G21/'comparison base'!G21-1,""),"")</f>
        <v/>
      </c>
      <c r="H25" s="692" t="str">
        <f>IF(ISNUMBER(H$6),IF((ABS('current res.'!H21/'comparison base'!H21-1)&gt;0.0001),'current res.'!H21/'comparison base'!H21-1,""),"")</f>
        <v/>
      </c>
      <c r="I25" s="692" t="str">
        <f>IF(ISNUMBER(I$6),IF((ABS('current res.'!I21/'comparison base'!I21-1)&gt;0.0001),'current res.'!I21/'comparison base'!I21-1,""),"")</f>
        <v/>
      </c>
      <c r="J25" s="692" t="str">
        <f>IF(ISNUMBER(J$6),IF((ABS('current res.'!J21/'comparison base'!J21-1)&gt;0.0001),'current res.'!J21/'comparison base'!J21-1,""),"")</f>
        <v/>
      </c>
      <c r="K25" s="692" t="str">
        <f>IF(ISNUMBER(K$6),IF((ABS('current res.'!K21/'comparison base'!K21-1)&gt;0.0001),'current res.'!K21/'comparison base'!K21-1,""),"")</f>
        <v/>
      </c>
      <c r="L25" s="692" t="str">
        <f>IF(ISNUMBER(L$6),IF((ABS('current res.'!L21/'comparison base'!L21-1)&gt;0.0001),'current res.'!L21/'comparison base'!L21-1,""),"")</f>
        <v/>
      </c>
      <c r="M25" s="692" t="str">
        <f>IF(ISNUMBER(M$6),IF((ABS('current res.'!M21/'comparison base'!M21-1)&gt;0.0001),'current res.'!M21/'comparison base'!M21-1,""),"")</f>
        <v/>
      </c>
      <c r="N25" s="692" t="str">
        <f>IF(ISNUMBER(N$6),IF((ABS('current res.'!N21/'comparison base'!N21-1)&gt;0.0001),'current res.'!N21/'comparison base'!N21-1,""),"")</f>
        <v/>
      </c>
      <c r="O25" s="692" t="str">
        <f>IF(ISNUMBER(O$6),IF((ABS('current res.'!O21/'comparison base'!O21-1)&gt;0.0001),'current res.'!O21/'comparison base'!O21-1,""),"")</f>
        <v/>
      </c>
    </row>
    <row r="26" spans="1:15" s="692" customFormat="1">
      <c r="A26" s="184" t="str">
        <f>'1-2-3'!B68</f>
        <v>Government Savings (Sg)</v>
      </c>
      <c r="B26" s="692" t="str">
        <f>IF(ISNUMBER(B$6),IF((ABS('current res.'!B22/'comparison base'!B22-1)&gt;0.0001),'current res.'!B22/'comparison base'!B22-1,""),"")</f>
        <v/>
      </c>
      <c r="C26" s="692">
        <f>IF(ISNUMBER(C$6),IF((ABS('current res.'!C22/'comparison base'!C22-1)&gt;0.0001),'current res.'!C22/'comparison base'!C22-1,""),"")</f>
        <v>-6.5527659789287984E-2</v>
      </c>
      <c r="D26" s="692">
        <f>IF(ISNUMBER(D$6),IF((ABS('current res.'!D22/'comparison base'!D22-1)&gt;0.0001),'current res.'!D22/'comparison base'!D22-1,""),"")</f>
        <v>-0.69118288753481405</v>
      </c>
      <c r="E26" s="692">
        <f>IF(ISNUMBER(E$6),IF((ABS('current res.'!E22/'comparison base'!E22-1)&gt;0.0001),'current res.'!E22/'comparison base'!E22-1,""),"")</f>
        <v>-0.45502176612726075</v>
      </c>
      <c r="F26" s="692" t="str">
        <f>IF(ISNUMBER(F$6),IF((ABS('current res.'!F22/'comparison base'!F22-1)&gt;0.0001),'current res.'!F22/'comparison base'!F22-1,""),"")</f>
        <v/>
      </c>
      <c r="G26" s="692" t="str">
        <f>IF(ISNUMBER(G$6),IF((ABS('current res.'!G22/'comparison base'!G22-1)&gt;0.0001),'current res.'!G22/'comparison base'!G22-1,""),"")</f>
        <v/>
      </c>
      <c r="H26" s="692" t="str">
        <f>IF(ISNUMBER(H$6),IF((ABS('current res.'!H22/'comparison base'!H22-1)&gt;0.0001),'current res.'!H22/'comparison base'!H22-1,""),"")</f>
        <v/>
      </c>
      <c r="I26" s="692" t="str">
        <f>IF(ISNUMBER(I$6),IF((ABS('current res.'!I22/'comparison base'!I22-1)&gt;0.0001),'current res.'!I22/'comparison base'!I22-1,""),"")</f>
        <v/>
      </c>
      <c r="J26" s="692" t="str">
        <f>IF(ISNUMBER(J$6),IF((ABS('current res.'!J22/'comparison base'!J22-1)&gt;0.0001),'current res.'!J22/'comparison base'!J22-1,""),"")</f>
        <v/>
      </c>
      <c r="K26" s="692" t="str">
        <f>IF(ISNUMBER(K$6),IF((ABS('current res.'!K22/'comparison base'!K22-1)&gt;0.0001),'current res.'!K22/'comparison base'!K22-1,""),"")</f>
        <v/>
      </c>
      <c r="L26" s="692" t="str">
        <f>IF(ISNUMBER(L$6),IF((ABS('current res.'!L22/'comparison base'!L22-1)&gt;0.0001),'current res.'!L22/'comparison base'!L22-1,""),"")</f>
        <v/>
      </c>
      <c r="M26" s="692" t="str">
        <f>IF(ISNUMBER(M$6),IF((ABS('current res.'!M22/'comparison base'!M22-1)&gt;0.0001),'current res.'!M22/'comparison base'!M22-1,""),"")</f>
        <v/>
      </c>
      <c r="N26" s="692" t="str">
        <f>IF(ISNUMBER(N$6),IF((ABS('current res.'!N22/'comparison base'!N22-1)&gt;0.0001),'current res.'!N22/'comparison base'!N22-1,""),"")</f>
        <v/>
      </c>
      <c r="O26" s="692" t="str">
        <f>IF(ISNUMBER(O$6),IF((ABS('current res.'!O22/'comparison base'!O22-1)&gt;0.0001),'current res.'!O22/'comparison base'!O22-1,""),"")</f>
        <v/>
      </c>
    </row>
    <row r="27" spans="1:15" s="692" customFormat="1">
      <c r="A27" s="184" t="str">
        <f>'1-2-3'!B69</f>
        <v>Tax Revenue (TAX)</v>
      </c>
      <c r="B27" s="692" t="str">
        <f>IF(ISNUMBER(B$6),IF((ABS('current res.'!B23/'comparison base'!B23-1)&gt;0.0001),'current res.'!B23/'comparison base'!B23-1,""),"")</f>
        <v/>
      </c>
      <c r="C27" s="692">
        <f>IF(ISNUMBER(C$6),IF((ABS('current res.'!C23/'comparison base'!C23-1)&gt;0.0001),'current res.'!C23/'comparison base'!C23-1,""),"")</f>
        <v>1.2508820821472089E-2</v>
      </c>
      <c r="D27" s="692">
        <f>IF(ISNUMBER(D$6),IF((ABS('current res.'!D23/'comparison base'!D23-1)&gt;0.0001),'current res.'!D23/'comparison base'!D23-1,""),"")</f>
        <v>1.5880054376086417E-2</v>
      </c>
      <c r="E27" s="692">
        <f>IF(ISNUMBER(E$6),IF((ABS('current res.'!E23/'comparison base'!E23-1)&gt;0.0001),'current res.'!E23/'comparison base'!E23-1,""),"")</f>
        <v>8.0995641646675054E-4</v>
      </c>
      <c r="F27" s="692" t="str">
        <f>IF(ISNUMBER(F$6),IF((ABS('current res.'!F23/'comparison base'!F23-1)&gt;0.0001),'current res.'!F23/'comparison base'!F23-1,""),"")</f>
        <v/>
      </c>
      <c r="G27" s="692" t="str">
        <f>IF(ISNUMBER(G$6),IF((ABS('current res.'!G23/'comparison base'!G23-1)&gt;0.0001),'current res.'!G23/'comparison base'!G23-1,""),"")</f>
        <v/>
      </c>
      <c r="H27" s="692" t="str">
        <f>IF(ISNUMBER(H$6),IF((ABS('current res.'!H23/'comparison base'!H23-1)&gt;0.0001),'current res.'!H23/'comparison base'!H23-1,""),"")</f>
        <v/>
      </c>
      <c r="I27" s="692" t="str">
        <f>IF(ISNUMBER(I$6),IF((ABS('current res.'!I23/'comparison base'!I23-1)&gt;0.0001),'current res.'!I23/'comparison base'!I23-1,""),"")</f>
        <v/>
      </c>
      <c r="J27" s="692" t="str">
        <f>IF(ISNUMBER(J$6),IF((ABS('current res.'!J23/'comparison base'!J23-1)&gt;0.0001),'current res.'!J23/'comparison base'!J23-1,""),"")</f>
        <v/>
      </c>
      <c r="K27" s="692" t="str">
        <f>IF(ISNUMBER(K$6),IF((ABS('current res.'!K23/'comparison base'!K23-1)&gt;0.0001),'current res.'!K23/'comparison base'!K23-1,""),"")</f>
        <v/>
      </c>
      <c r="L27" s="692" t="str">
        <f>IF(ISNUMBER(L$6),IF((ABS('current res.'!L23/'comparison base'!L23-1)&gt;0.0001),'current res.'!L23/'comparison base'!L23-1,""),"")</f>
        <v/>
      </c>
      <c r="M27" s="692" t="str">
        <f>IF(ISNUMBER(M$6),IF((ABS('current res.'!M23/'comparison base'!M23-1)&gt;0.0001),'current res.'!M23/'comparison base'!M23-1,""),"")</f>
        <v/>
      </c>
      <c r="N27" s="692" t="str">
        <f>IF(ISNUMBER(N$6),IF((ABS('current res.'!N23/'comparison base'!N23-1)&gt;0.0001),'current res.'!N23/'comparison base'!N23-1,""),"")</f>
        <v/>
      </c>
      <c r="O27" s="692" t="str">
        <f>IF(ISNUMBER(O$6),IF((ABS('current res.'!O23/'comparison base'!O23-1)&gt;0.0001),'current res.'!O23/'comparison base'!O23-1,""),"")</f>
        <v/>
      </c>
    </row>
    <row r="28" spans="1:15" s="692" customFormat="1">
      <c r="A28" s="184" t="str">
        <f>'1-2-3'!B70</f>
        <v>Tax Adjustment</v>
      </c>
      <c r="B28" s="692" t="str">
        <f>IF(ISNUMBER(B$6),IF((ABS('current res.'!B24/'comparison base'!B24-1)&gt;0.0001),'current res.'!B24/'comparison base'!B24-1,""),"")</f>
        <v/>
      </c>
      <c r="C28" s="692" t="str">
        <f>IF(ISNUMBER(C$6),IF((ABS('current res.'!C24/'comparison base'!C24-1)&gt;0.0001),'current res.'!C24/'comparison base'!C24-1,""),"")</f>
        <v/>
      </c>
      <c r="D28" s="692" t="str">
        <f>IF(ISNUMBER(D$6),IF((ABS('current res.'!D24/'comparison base'!D24-1)&gt;0.0001),'current res.'!D24/'comparison base'!D24-1,""),"")</f>
        <v/>
      </c>
      <c r="E28" s="692" t="str">
        <f>IF(ISNUMBER(E$6),IF((ABS('current res.'!E24/'comparison base'!E24-1)&gt;0.0001),'current res.'!E24/'comparison base'!E24-1,""),"")</f>
        <v/>
      </c>
      <c r="F28" s="692" t="str">
        <f>IF(ISNUMBER(F$6),IF((ABS('current res.'!F24/'comparison base'!F24-1)&gt;0.0001),'current res.'!F24/'comparison base'!F24-1,""),"")</f>
        <v/>
      </c>
      <c r="G28" s="692" t="str">
        <f>IF(ISNUMBER(G$6),IF((ABS('current res.'!G24/'comparison base'!G24-1)&gt;0.0001),'current res.'!G24/'comparison base'!G24-1,""),"")</f>
        <v/>
      </c>
      <c r="H28" s="692" t="str">
        <f>IF(ISNUMBER(H$6),IF((ABS('current res.'!H24/'comparison base'!H24-1)&gt;0.0001),'current res.'!H24/'comparison base'!H24-1,""),"")</f>
        <v/>
      </c>
      <c r="I28" s="692" t="str">
        <f>IF(ISNUMBER(I$6),IF((ABS('current res.'!I24/'comparison base'!I24-1)&gt;0.0001),'current res.'!I24/'comparison base'!I24-1,""),"")</f>
        <v/>
      </c>
      <c r="J28" s="692" t="str">
        <f>IF(ISNUMBER(J$6),IF((ABS('current res.'!J24/'comparison base'!J24-1)&gt;0.0001),'current res.'!J24/'comparison base'!J24-1,""),"")</f>
        <v/>
      </c>
      <c r="K28" s="692" t="str">
        <f>IF(ISNUMBER(K$6),IF((ABS('current res.'!K24/'comparison base'!K24-1)&gt;0.0001),'current res.'!K24/'comparison base'!K24-1,""),"")</f>
        <v/>
      </c>
      <c r="L28" s="692" t="str">
        <f>IF(ISNUMBER(L$6),IF((ABS('current res.'!L24/'comparison base'!L24-1)&gt;0.0001),'current res.'!L24/'comparison base'!L24-1,""),"")</f>
        <v/>
      </c>
      <c r="M28" s="692" t="str">
        <f>IF(ISNUMBER(M$6),IF((ABS('current res.'!M24/'comparison base'!M24-1)&gt;0.0001),'current res.'!M24/'comparison base'!M24-1,""),"")</f>
        <v/>
      </c>
      <c r="N28" s="692" t="str">
        <f>IF(ISNUMBER(N$6),IF((ABS('current res.'!N24/'comparison base'!N24-1)&gt;0.0001),'current res.'!N24/'comparison base'!N24-1,""),"")</f>
        <v/>
      </c>
      <c r="O28" s="692" t="str">
        <f>IF(ISNUMBER(O$6),IF((ABS('current res.'!O24/'comparison base'!O24-1)&gt;0.0001),'current res.'!O24/'comparison base'!O24-1,""),"")</f>
        <v/>
      </c>
    </row>
    <row r="29" spans="1:15" s="692" customFormat="1">
      <c r="A29" s="184" t="str">
        <f>'1-2-3'!B71</f>
        <v xml:space="preserve">   Dom Tax Adjustment</v>
      </c>
      <c r="B29" s="692" t="str">
        <f>IF(ISNUMBER(B$6),IF((ABS('current res.'!B25/'comparison base'!B25-1)&gt;0.0001),'current res.'!B25/'comparison base'!B25-1,""),"")</f>
        <v/>
      </c>
      <c r="C29" s="692" t="str">
        <f>IF(ISNUMBER(C$6),IF((ABS('current res.'!C25/'comparison base'!C25-1)&gt;0.0001),'current res.'!C25/'comparison base'!C25-1,""),"")</f>
        <v/>
      </c>
      <c r="D29" s="692" t="str">
        <f>IF(ISNUMBER(D$6),IF((ABS('current res.'!D25/'comparison base'!D25-1)&gt;0.0001),'current res.'!D25/'comparison base'!D25-1,""),"")</f>
        <v/>
      </c>
      <c r="E29" s="692" t="str">
        <f>IF(ISNUMBER(E$6),IF((ABS('current res.'!E25/'comparison base'!E25-1)&gt;0.0001),'current res.'!E25/'comparison base'!E25-1,""),"")</f>
        <v/>
      </c>
      <c r="F29" s="692" t="str">
        <f>IF(ISNUMBER(F$6),IF((ABS('current res.'!F25/'comparison base'!F25-1)&gt;0.0001),'current res.'!F25/'comparison base'!F25-1,""),"")</f>
        <v/>
      </c>
      <c r="G29" s="692" t="str">
        <f>IF(ISNUMBER(G$6),IF((ABS('current res.'!G25/'comparison base'!G25-1)&gt;0.0001),'current res.'!G25/'comparison base'!G25-1,""),"")</f>
        <v/>
      </c>
      <c r="H29" s="692" t="str">
        <f>IF(ISNUMBER(H$6),IF((ABS('current res.'!H25/'comparison base'!H25-1)&gt;0.0001),'current res.'!H25/'comparison base'!H25-1,""),"")</f>
        <v/>
      </c>
      <c r="I29" s="692" t="str">
        <f>IF(ISNUMBER(I$6),IF((ABS('current res.'!I25/'comparison base'!I25-1)&gt;0.0001),'current res.'!I25/'comparison base'!I25-1,""),"")</f>
        <v/>
      </c>
      <c r="J29" s="692" t="str">
        <f>IF(ISNUMBER(J$6),IF((ABS('current res.'!J25/'comparison base'!J25-1)&gt;0.0001),'current res.'!J25/'comparison base'!J25-1,""),"")</f>
        <v/>
      </c>
      <c r="K29" s="692" t="str">
        <f>IF(ISNUMBER(K$6),IF((ABS('current res.'!K25/'comparison base'!K25-1)&gt;0.0001),'current res.'!K25/'comparison base'!K25-1,""),"")</f>
        <v/>
      </c>
      <c r="L29" s="692" t="str">
        <f>IF(ISNUMBER(L$6),IF((ABS('current res.'!L25/'comparison base'!L25-1)&gt;0.0001),'current res.'!L25/'comparison base'!L25-1,""),"")</f>
        <v/>
      </c>
      <c r="M29" s="692" t="str">
        <f>IF(ISNUMBER(M$6),IF((ABS('current res.'!M25/'comparison base'!M25-1)&gt;0.0001),'current res.'!M25/'comparison base'!M25-1,""),"")</f>
        <v/>
      </c>
      <c r="N29" s="692" t="str">
        <f>IF(ISNUMBER(N$6),IF((ABS('current res.'!N25/'comparison base'!N25-1)&gt;0.0001),'current res.'!N25/'comparison base'!N25-1,""),"")</f>
        <v/>
      </c>
      <c r="O29" s="692" t="str">
        <f>IF(ISNUMBER(O$6),IF((ABS('current res.'!O25/'comparison base'!O25-1)&gt;0.0001),'current res.'!O25/'comparison base'!O25-1,""),"")</f>
        <v/>
      </c>
    </row>
    <row r="30" spans="1:15" s="692" customFormat="1">
      <c r="A30" s="184" t="str">
        <f>'1-2-3'!B72</f>
        <v xml:space="preserve">   Adjusted import tariffs</v>
      </c>
      <c r="B30" s="692" t="str">
        <f>IF(ISNUMBER(B$6),IF((ABS('current res.'!B26/'comparison base'!B26-1)&gt;0.0001),'current res.'!B26/'comparison base'!B26-1,""),"")</f>
        <v/>
      </c>
      <c r="C30" s="692" t="str">
        <f>IF(ISNUMBER(C$6),IF((ABS('current res.'!C26/'comparison base'!C26-1)&gt;0.0001),'current res.'!C26/'comparison base'!C26-1,""),"")</f>
        <v/>
      </c>
      <c r="D30" s="692" t="str">
        <f>IF(ISNUMBER(D$6),IF((ABS('current res.'!D26/'comparison base'!D26-1)&gt;0.0001),'current res.'!D26/'comparison base'!D26-1,""),"")</f>
        <v/>
      </c>
      <c r="E30" s="692" t="str">
        <f>IF(ISNUMBER(E$6),IF((ABS('current res.'!E26/'comparison base'!E26-1)&gt;0.0001),'current res.'!E26/'comparison base'!E26-1,""),"")</f>
        <v/>
      </c>
      <c r="F30" s="692" t="str">
        <f>IF(ISNUMBER(F$6),IF((ABS('current res.'!F26/'comparison base'!F26-1)&gt;0.0001),'current res.'!F26/'comparison base'!F26-1,""),"")</f>
        <v/>
      </c>
      <c r="G30" s="692" t="str">
        <f>IF(ISNUMBER(G$6),IF((ABS('current res.'!G26/'comparison base'!G26-1)&gt;0.0001),'current res.'!G26/'comparison base'!G26-1,""),"")</f>
        <v/>
      </c>
      <c r="H30" s="692" t="str">
        <f>IF(ISNUMBER(H$6),IF((ABS('current res.'!H26/'comparison base'!H26-1)&gt;0.0001),'current res.'!H26/'comparison base'!H26-1,""),"")</f>
        <v/>
      </c>
      <c r="I30" s="692" t="str">
        <f>IF(ISNUMBER(I$6),IF((ABS('current res.'!I26/'comparison base'!I26-1)&gt;0.0001),'current res.'!I26/'comparison base'!I26-1,""),"")</f>
        <v/>
      </c>
      <c r="J30" s="692" t="str">
        <f>IF(ISNUMBER(J$6),IF((ABS('current res.'!J26/'comparison base'!J26-1)&gt;0.0001),'current res.'!J26/'comparison base'!J26-1,""),"")</f>
        <v/>
      </c>
      <c r="K30" s="692" t="str">
        <f>IF(ISNUMBER(K$6),IF((ABS('current res.'!K26/'comparison base'!K26-1)&gt;0.0001),'current res.'!K26/'comparison base'!K26-1,""),"")</f>
        <v/>
      </c>
      <c r="L30" s="692" t="str">
        <f>IF(ISNUMBER(L$6),IF((ABS('current res.'!L26/'comparison base'!L26-1)&gt;0.0001),'current res.'!L26/'comparison base'!L26-1,""),"")</f>
        <v/>
      </c>
      <c r="M30" s="692" t="str">
        <f>IF(ISNUMBER(M$6),IF((ABS('current res.'!M26/'comparison base'!M26-1)&gt;0.0001),'current res.'!M26/'comparison base'!M26-1,""),"")</f>
        <v/>
      </c>
      <c r="N30" s="692" t="str">
        <f>IF(ISNUMBER(N$6),IF((ABS('current res.'!N26/'comparison base'!N26-1)&gt;0.0001),'current res.'!N26/'comparison base'!N26-1,""),"")</f>
        <v/>
      </c>
      <c r="O30" s="692" t="str">
        <f>IF(ISNUMBER(O$6),IF((ABS('current res.'!O26/'comparison base'!O26-1)&gt;0.0001),'current res.'!O26/'comparison base'!O26-1,""),"")</f>
        <v/>
      </c>
    </row>
    <row r="31" spans="1:15" s="692" customFormat="1">
      <c r="A31" s="184" t="str">
        <f>'1-2-3'!B73</f>
        <v xml:space="preserve">   Adjusted export duties</v>
      </c>
      <c r="B31" s="692" t="e">
        <f>IF(ISNUMBER(B$6),IF((ABS('current res.'!B27/'comparison base'!B27-1)&gt;0.0001),'current res.'!B27/'comparison base'!B27-1,""),"")</f>
        <v>#VALUE!</v>
      </c>
      <c r="C31" s="692" t="e">
        <f>IF(ISNUMBER(C$6),IF((ABS('current res.'!C27/'comparison base'!C27-1)&gt;0.0001),'current res.'!C27/'comparison base'!C27-1,""),"")</f>
        <v>#VALUE!</v>
      </c>
      <c r="D31" s="692" t="e">
        <f>IF(ISNUMBER(D$6),IF((ABS('current res.'!D27/'comparison base'!D27-1)&gt;0.0001),'current res.'!D27/'comparison base'!D27-1,""),"")</f>
        <v>#VALUE!</v>
      </c>
      <c r="E31" s="692" t="e">
        <f>IF(ISNUMBER(E$6),IF((ABS('current res.'!E27/'comparison base'!E27-1)&gt;0.0001),'current res.'!E27/'comparison base'!E27-1,""),"")</f>
        <v>#VALUE!</v>
      </c>
      <c r="F31" s="692" t="str">
        <f>IF(ISNUMBER(F$6),IF((ABS('current res.'!F27/'comparison base'!F27-1)&gt;0.0001),'current res.'!F27/'comparison base'!F27-1,""),"")</f>
        <v/>
      </c>
      <c r="G31" s="692" t="str">
        <f>IF(ISNUMBER(G$6),IF((ABS('current res.'!G27/'comparison base'!G27-1)&gt;0.0001),'current res.'!G27/'comparison base'!G27-1,""),"")</f>
        <v/>
      </c>
      <c r="H31" s="692" t="str">
        <f>IF(ISNUMBER(H$6),IF((ABS('current res.'!H27/'comparison base'!H27-1)&gt;0.0001),'current res.'!H27/'comparison base'!H27-1,""),"")</f>
        <v/>
      </c>
      <c r="I31" s="692" t="str">
        <f>IF(ISNUMBER(I$6),IF((ABS('current res.'!I27/'comparison base'!I27-1)&gt;0.0001),'current res.'!I27/'comparison base'!I27-1,""),"")</f>
        <v/>
      </c>
      <c r="J31" s="692" t="str">
        <f>IF(ISNUMBER(J$6),IF((ABS('current res.'!J27/'comparison base'!J27-1)&gt;0.0001),'current res.'!J27/'comparison base'!J27-1,""),"")</f>
        <v/>
      </c>
      <c r="K31" s="692" t="str">
        <f>IF(ISNUMBER(K$6),IF((ABS('current res.'!K27/'comparison base'!K27-1)&gt;0.0001),'current res.'!K27/'comparison base'!K27-1,""),"")</f>
        <v/>
      </c>
      <c r="L31" s="692" t="str">
        <f>IF(ISNUMBER(L$6),IF((ABS('current res.'!L27/'comparison base'!L27-1)&gt;0.0001),'current res.'!L27/'comparison base'!L27-1,""),"")</f>
        <v/>
      </c>
      <c r="M31" s="692" t="str">
        <f>IF(ISNUMBER(M$6),IF((ABS('current res.'!M27/'comparison base'!M27-1)&gt;0.0001),'current res.'!M27/'comparison base'!M27-1,""),"")</f>
        <v/>
      </c>
      <c r="N31" s="692" t="str">
        <f>IF(ISNUMBER(N$6),IF((ABS('current res.'!N27/'comparison base'!N27-1)&gt;0.0001),'current res.'!N27/'comparison base'!N27-1,""),"")</f>
        <v/>
      </c>
      <c r="O31" s="692" t="str">
        <f>IF(ISNUMBER(O$6),IF((ABS('current res.'!O27/'comparison base'!O27-1)&gt;0.0001),'current res.'!O27/'comparison base'!O27-1,""),"")</f>
        <v/>
      </c>
    </row>
    <row r="32" spans="1:15" s="692" customFormat="1">
      <c r="A32" s="184" t="str">
        <f>'1-2-3'!B74</f>
        <v xml:space="preserve">   Adjusted indirect taxes</v>
      </c>
      <c r="B32" s="692" t="str">
        <f>IF(ISNUMBER(B$6),IF((ABS('current res.'!B28/'comparison base'!B28-1)&gt;0.0001),'current res.'!B28/'comparison base'!B28-1,""),"")</f>
        <v/>
      </c>
      <c r="C32" s="692" t="str">
        <f>IF(ISNUMBER(C$6),IF((ABS('current res.'!C28/'comparison base'!C28-1)&gt;0.0001),'current res.'!C28/'comparison base'!C28-1,""),"")</f>
        <v/>
      </c>
      <c r="D32" s="692" t="str">
        <f>IF(ISNUMBER(D$6),IF((ABS('current res.'!D28/'comparison base'!D28-1)&gt;0.0001),'current res.'!D28/'comparison base'!D28-1,""),"")</f>
        <v/>
      </c>
      <c r="E32" s="692" t="str">
        <f>IF(ISNUMBER(E$6),IF((ABS('current res.'!E28/'comparison base'!E28-1)&gt;0.0001),'current res.'!E28/'comparison base'!E28-1,""),"")</f>
        <v/>
      </c>
      <c r="F32" s="692" t="str">
        <f>IF(ISNUMBER(F$6),IF((ABS('current res.'!F28/'comparison base'!F28-1)&gt;0.0001),'current res.'!F28/'comparison base'!F28-1,""),"")</f>
        <v/>
      </c>
      <c r="G32" s="692" t="str">
        <f>IF(ISNUMBER(G$6),IF((ABS('current res.'!G28/'comparison base'!G28-1)&gt;0.0001),'current res.'!G28/'comparison base'!G28-1,""),"")</f>
        <v/>
      </c>
      <c r="H32" s="692" t="str">
        <f>IF(ISNUMBER(H$6),IF((ABS('current res.'!H28/'comparison base'!H28-1)&gt;0.0001),'current res.'!H28/'comparison base'!H28-1,""),"")</f>
        <v/>
      </c>
      <c r="I32" s="692" t="str">
        <f>IF(ISNUMBER(I$6),IF((ABS('current res.'!I28/'comparison base'!I28-1)&gt;0.0001),'current res.'!I28/'comparison base'!I28-1,""),"")</f>
        <v/>
      </c>
      <c r="J32" s="692" t="str">
        <f>IF(ISNUMBER(J$6),IF((ABS('current res.'!J28/'comparison base'!J28-1)&gt;0.0001),'current res.'!J28/'comparison base'!J28-1,""),"")</f>
        <v/>
      </c>
      <c r="K32" s="692" t="str">
        <f>IF(ISNUMBER(K$6),IF((ABS('current res.'!K28/'comparison base'!K28-1)&gt;0.0001),'current res.'!K28/'comparison base'!K28-1,""),"")</f>
        <v/>
      </c>
      <c r="L32" s="692" t="str">
        <f>IF(ISNUMBER(L$6),IF((ABS('current res.'!L28/'comparison base'!L28-1)&gt;0.0001),'current res.'!L28/'comparison base'!L28-1,""),"")</f>
        <v/>
      </c>
      <c r="M32" s="692" t="str">
        <f>IF(ISNUMBER(M$6),IF((ABS('current res.'!M28/'comparison base'!M28-1)&gt;0.0001),'current res.'!M28/'comparison base'!M28-1,""),"")</f>
        <v/>
      </c>
      <c r="N32" s="692" t="str">
        <f>IF(ISNUMBER(N$6),IF((ABS('current res.'!N28/'comparison base'!N28-1)&gt;0.0001),'current res.'!N28/'comparison base'!N28-1,""),"")</f>
        <v/>
      </c>
      <c r="O32" s="692" t="str">
        <f>IF(ISNUMBER(O$6),IF((ABS('current res.'!O28/'comparison base'!O28-1)&gt;0.0001),'current res.'!O28/'comparison base'!O28-1,""),"")</f>
        <v/>
      </c>
    </row>
    <row r="33" spans="1:15" s="692" customFormat="1">
      <c r="A33" s="184" t="str">
        <f>'1-2-3'!B75</f>
        <v xml:space="preserve">   Adjusted direct taxes</v>
      </c>
      <c r="B33" s="692" t="str">
        <f>IF(ISNUMBER(B$6),IF((ABS('current res.'!B29/'comparison base'!B29-1)&gt;0.0001),'current res.'!B29/'comparison base'!B29-1,""),"")</f>
        <v/>
      </c>
      <c r="C33" s="692">
        <f>IF(ISNUMBER(C$6),IF((ABS('current res.'!C29/'comparison base'!C29-1)&gt;0.0001),'current res.'!C29/'comparison base'!C29-1,""),"")</f>
        <v>1.1461079110677064E-2</v>
      </c>
      <c r="D33" s="692">
        <f>IF(ISNUMBER(D$6),IF((ABS('current res.'!D29/'comparison base'!D29-1)&gt;0.0001),'current res.'!D29/'comparison base'!D29-1,""),"")</f>
        <v>1.7914738495346638E-2</v>
      </c>
      <c r="E33" s="692">
        <f>IF(ISNUMBER(E$6),IF((ABS('current res.'!E29/'comparison base'!E29-1)&gt;0.0001),'current res.'!E29/'comparison base'!E29-1,""),"")</f>
        <v>2.8745434139869186E-2</v>
      </c>
      <c r="F33" s="692" t="str">
        <f>IF(ISNUMBER(F$6),IF((ABS('current res.'!F29/'comparison base'!F29-1)&gt;0.0001),'current res.'!F29/'comparison base'!F29-1,""),"")</f>
        <v/>
      </c>
      <c r="G33" s="692" t="str">
        <f>IF(ISNUMBER(G$6),IF((ABS('current res.'!G29/'comparison base'!G29-1)&gt;0.0001),'current res.'!G29/'comparison base'!G29-1,""),"")</f>
        <v/>
      </c>
      <c r="H33" s="692" t="str">
        <f>IF(ISNUMBER(H$6),IF((ABS('current res.'!H29/'comparison base'!H29-1)&gt;0.0001),'current res.'!H29/'comparison base'!H29-1,""),"")</f>
        <v/>
      </c>
      <c r="I33" s="692" t="str">
        <f>IF(ISNUMBER(I$6),IF((ABS('current res.'!I29/'comparison base'!I29-1)&gt;0.0001),'current res.'!I29/'comparison base'!I29-1,""),"")</f>
        <v/>
      </c>
      <c r="J33" s="692" t="str">
        <f>IF(ISNUMBER(J$6),IF((ABS('current res.'!J29/'comparison base'!J29-1)&gt;0.0001),'current res.'!J29/'comparison base'!J29-1,""),"")</f>
        <v/>
      </c>
      <c r="K33" s="692" t="str">
        <f>IF(ISNUMBER(K$6),IF((ABS('current res.'!K29/'comparison base'!K29-1)&gt;0.0001),'current res.'!K29/'comparison base'!K29-1,""),"")</f>
        <v/>
      </c>
      <c r="L33" s="692" t="str">
        <f>IF(ISNUMBER(L$6),IF((ABS('current res.'!L29/'comparison base'!L29-1)&gt;0.0001),'current res.'!L29/'comparison base'!L29-1,""),"")</f>
        <v/>
      </c>
      <c r="M33" s="692" t="str">
        <f>IF(ISNUMBER(M$6),IF((ABS('current res.'!M29/'comparison base'!M29-1)&gt;0.0001),'current res.'!M29/'comparison base'!M29-1,""),"")</f>
        <v/>
      </c>
      <c r="N33" s="692" t="str">
        <f>IF(ISNUMBER(N$6),IF((ABS('current res.'!N29/'comparison base'!N29-1)&gt;0.0001),'current res.'!N29/'comparison base'!N29-1,""),"")</f>
        <v/>
      </c>
      <c r="O33" s="692" t="str">
        <f>IF(ISNUMBER(O$6),IF((ABS('current res.'!O29/'comparison base'!O29-1)&gt;0.0001),'current res.'!O29/'comparison base'!O29-1,""),"")</f>
        <v/>
      </c>
    </row>
    <row r="34" spans="1:15" s="692" customFormat="1">
      <c r="A34" s="184" t="str">
        <f>'1-2-3'!B76</f>
        <v>Govt. Consumption</v>
      </c>
      <c r="B34" s="692" t="str">
        <f>IF(ISNUMBER(B$6),IF((ABS('current res.'!B30/'comparison base'!B30-1)&gt;0.0001),'current res.'!B30/'comparison base'!B30-1,""),"")</f>
        <v/>
      </c>
      <c r="C34" s="692">
        <f>IF(ISNUMBER(C$6),IF((ABS('current res.'!C30/'comparison base'!C30-1)&gt;0.0001),'current res.'!C30/'comparison base'!C30-1,""),"")</f>
        <v>4.6240999956446149E-3</v>
      </c>
      <c r="D34" s="692">
        <f>IF(ISNUMBER(D$6),IF((ABS('current res.'!D30/'comparison base'!D30-1)&gt;0.0001),'current res.'!D30/'comparison base'!D30-1,""),"")</f>
        <v>-7.0579950830994553E-3</v>
      </c>
      <c r="E34" s="692">
        <f>IF(ISNUMBER(E$6),IF((ABS('current res.'!E30/'comparison base'!E30-1)&gt;0.0001),'current res.'!E30/'comparison base'!E30-1,""),"")</f>
        <v>-2.057150755638204E-2</v>
      </c>
      <c r="F34" s="692" t="str">
        <f>IF(ISNUMBER(F$6),IF((ABS('current res.'!F30/'comparison base'!F30-1)&gt;0.0001),'current res.'!F30/'comparison base'!F30-1,""),"")</f>
        <v/>
      </c>
      <c r="G34" s="692" t="str">
        <f>IF(ISNUMBER(G$6),IF((ABS('current res.'!G30/'comparison base'!G30-1)&gt;0.0001),'current res.'!G30/'comparison base'!G30-1,""),"")</f>
        <v/>
      </c>
      <c r="H34" s="692" t="str">
        <f>IF(ISNUMBER(H$6),IF((ABS('current res.'!H30/'comparison base'!H30-1)&gt;0.0001),'current res.'!H30/'comparison base'!H30-1,""),"")</f>
        <v/>
      </c>
      <c r="I34" s="692" t="str">
        <f>IF(ISNUMBER(I$6),IF((ABS('current res.'!I30/'comparison base'!I30-1)&gt;0.0001),'current res.'!I30/'comparison base'!I30-1,""),"")</f>
        <v/>
      </c>
      <c r="J34" s="692" t="str">
        <f>IF(ISNUMBER(J$6),IF((ABS('current res.'!J30/'comparison base'!J30-1)&gt;0.0001),'current res.'!J30/'comparison base'!J30-1,""),"")</f>
        <v/>
      </c>
      <c r="K34" s="692" t="str">
        <f>IF(ISNUMBER(K$6),IF((ABS('current res.'!K30/'comparison base'!K30-1)&gt;0.0001),'current res.'!K30/'comparison base'!K30-1,""),"")</f>
        <v/>
      </c>
      <c r="L34" s="692" t="str">
        <f>IF(ISNUMBER(L$6),IF((ABS('current res.'!L30/'comparison base'!L30-1)&gt;0.0001),'current res.'!L30/'comparison base'!L30-1,""),"")</f>
        <v/>
      </c>
      <c r="M34" s="692" t="str">
        <f>IF(ISNUMBER(M$6),IF((ABS('current res.'!M30/'comparison base'!M30-1)&gt;0.0001),'current res.'!M30/'comparison base'!M30-1,""),"")</f>
        <v/>
      </c>
      <c r="N34" s="692" t="str">
        <f>IF(ISNUMBER(N$6),IF((ABS('current res.'!N30/'comparison base'!N30-1)&gt;0.0001),'current res.'!N30/'comparison base'!N30-1,""),"")</f>
        <v/>
      </c>
      <c r="O34" s="692" t="str">
        <f>IF(ISNUMBER(O$6),IF((ABS('current res.'!O30/'comparison base'!O30-1)&gt;0.0001),'current res.'!O30/'comparison base'!O30-1,""),"")</f>
        <v/>
      </c>
    </row>
    <row r="35" spans="1:15" s="692" customFormat="1">
      <c r="A35" s="184" t="str">
        <f>'1-2-3'!B77</f>
        <v xml:space="preserve">Govt. Transfers </v>
      </c>
      <c r="B35" s="692" t="str">
        <f>IF(ISNUMBER(B$6),IF((ABS('current res.'!B31/'comparison base'!B31-1)&gt;0.0001),'current res.'!B31/'comparison base'!B31-1,""),"")</f>
        <v/>
      </c>
      <c r="C35" s="692">
        <f>IF(ISNUMBER(C$6),IF((ABS('current res.'!C31/'comparison base'!C31-1)&gt;0.0001),'current res.'!C31/'comparison base'!C31-1,""),"")</f>
        <v>-4.2984504810565594E-2</v>
      </c>
      <c r="D35" s="692">
        <f>IF(ISNUMBER(D$6),IF((ABS('current res.'!D31/'comparison base'!D31-1)&gt;0.0001),'current res.'!D31/'comparison base'!D31-1,""),"")</f>
        <v>-7.8850291548707818E-2</v>
      </c>
      <c r="E35" s="692">
        <f>IF(ISNUMBER(E$6),IF((ABS('current res.'!E31/'comparison base'!E31-1)&gt;0.0001),'current res.'!E31/'comparison base'!E31-1,""),"")</f>
        <v>-7.9219659045318136E-2</v>
      </c>
      <c r="F35" s="692" t="str">
        <f>IF(ISNUMBER(F$6),IF((ABS('current res.'!F31/'comparison base'!F31-1)&gt;0.0001),'current res.'!F31/'comparison base'!F31-1,""),"")</f>
        <v/>
      </c>
      <c r="G35" s="692" t="str">
        <f>IF(ISNUMBER(G$6),IF((ABS('current res.'!G31/'comparison base'!G31-1)&gt;0.0001),'current res.'!G31/'comparison base'!G31-1,""),"")</f>
        <v/>
      </c>
      <c r="H35" s="692" t="str">
        <f>IF(ISNUMBER(H$6),IF((ABS('current res.'!H31/'comparison base'!H31-1)&gt;0.0001),'current res.'!H31/'comparison base'!H31-1,""),"")</f>
        <v/>
      </c>
      <c r="I35" s="692" t="str">
        <f>IF(ISNUMBER(I$6),IF((ABS('current res.'!I31/'comparison base'!I31-1)&gt;0.0001),'current res.'!I31/'comparison base'!I31-1,""),"")</f>
        <v/>
      </c>
      <c r="J35" s="692" t="str">
        <f>IF(ISNUMBER(J$6),IF((ABS('current res.'!J31/'comparison base'!J31-1)&gt;0.0001),'current res.'!J31/'comparison base'!J31-1,""),"")</f>
        <v/>
      </c>
      <c r="K35" s="692" t="str">
        <f>IF(ISNUMBER(K$6),IF((ABS('current res.'!K31/'comparison base'!K31-1)&gt;0.0001),'current res.'!K31/'comparison base'!K31-1,""),"")</f>
        <v/>
      </c>
      <c r="L35" s="692" t="str">
        <f>IF(ISNUMBER(L$6),IF((ABS('current res.'!L31/'comparison base'!L31-1)&gt;0.0001),'current res.'!L31/'comparison base'!L31-1,""),"")</f>
        <v/>
      </c>
      <c r="M35" s="692" t="str">
        <f>IF(ISNUMBER(M$6),IF((ABS('current res.'!M31/'comparison base'!M31-1)&gt;0.0001),'current res.'!M31/'comparison base'!M31-1,""),"")</f>
        <v/>
      </c>
      <c r="N35" s="692" t="str">
        <f>IF(ISNUMBER(N$6),IF((ABS('current res.'!N31/'comparison base'!N31-1)&gt;0.0001),'current res.'!N31/'comparison base'!N31-1,""),"")</f>
        <v/>
      </c>
      <c r="O35" s="692" t="str">
        <f>IF(ISNUMBER(O$6),IF((ABS('current res.'!O31/'comparison base'!O31-1)&gt;0.0001),'current res.'!O31/'comparison base'!O31-1,""),"")</f>
        <v/>
      </c>
    </row>
    <row r="36" spans="1:15" s="692" customFormat="1">
      <c r="A36" s="184" t="str">
        <f>'1-2-3'!B78</f>
        <v>Export subsidies  rate</v>
      </c>
      <c r="B36" s="692" t="e">
        <f>IF(ISNUMBER(B$6),IF((ABS('current res.'!B32/'comparison base'!B32-1)&gt;0.0001),'current res.'!B32/'comparison base'!B32-1,""),"")</f>
        <v>#VALUE!</v>
      </c>
      <c r="C36" s="692" t="e">
        <f>IF(ISNUMBER(C$6),IF((ABS('current res.'!C32/'comparison base'!C32-1)&gt;0.0001),'current res.'!C32/'comparison base'!C32-1,""),"")</f>
        <v>#VALUE!</v>
      </c>
      <c r="D36" s="692">
        <f>IF(ISNUMBER(D$6),IF((ABS('current res.'!D32/'comparison base'!D32-1)&gt;0.0001),'current res.'!D32/'comparison base'!D32-1,""),"")</f>
        <v>-0.85026995322646093</v>
      </c>
      <c r="E36" s="692" t="e">
        <f>IF(ISNUMBER(E$6),IF((ABS('current res.'!E32/'comparison base'!E32-1)&gt;0.0001),'current res.'!E32/'comparison base'!E32-1,""),"")</f>
        <v>#VALUE!</v>
      </c>
      <c r="F36" s="692" t="str">
        <f>IF(ISNUMBER(F$6),IF((ABS('current res.'!F32/'comparison base'!F32-1)&gt;0.0001),'current res.'!F32/'comparison base'!F32-1,""),"")</f>
        <v/>
      </c>
      <c r="G36" s="692" t="str">
        <f>IF(ISNUMBER(G$6),IF((ABS('current res.'!G32/'comparison base'!G32-1)&gt;0.0001),'current res.'!G32/'comparison base'!G32-1,""),"")</f>
        <v/>
      </c>
      <c r="H36" s="692" t="str">
        <f>IF(ISNUMBER(H$6),IF((ABS('current res.'!H32/'comparison base'!H32-1)&gt;0.0001),'current res.'!H32/'comparison base'!H32-1,""),"")</f>
        <v/>
      </c>
      <c r="I36" s="692" t="str">
        <f>IF(ISNUMBER(I$6),IF((ABS('current res.'!I32/'comparison base'!I32-1)&gt;0.0001),'current res.'!I32/'comparison base'!I32-1,""),"")</f>
        <v/>
      </c>
      <c r="J36" s="692" t="str">
        <f>IF(ISNUMBER(J$6),IF((ABS('current res.'!J32/'comparison base'!J32-1)&gt;0.0001),'current res.'!J32/'comparison base'!J32-1,""),"")</f>
        <v/>
      </c>
      <c r="K36" s="692" t="str">
        <f>IF(ISNUMBER(K$6),IF((ABS('current res.'!K32/'comparison base'!K32-1)&gt;0.0001),'current res.'!K32/'comparison base'!K32-1,""),"")</f>
        <v/>
      </c>
      <c r="L36" s="692" t="str">
        <f>IF(ISNUMBER(L$6),IF((ABS('current res.'!L32/'comparison base'!L32-1)&gt;0.0001),'current res.'!L32/'comparison base'!L32-1,""),"")</f>
        <v/>
      </c>
      <c r="M36" s="692" t="str">
        <f>IF(ISNUMBER(M$6),IF((ABS('current res.'!M32/'comparison base'!M32-1)&gt;0.0001),'current res.'!M32/'comparison base'!M32-1,""),"")</f>
        <v/>
      </c>
      <c r="N36" s="692" t="str">
        <f>IF(ISNUMBER(N$6),IF((ABS('current res.'!N32/'comparison base'!N32-1)&gt;0.0001),'current res.'!N32/'comparison base'!N32-1,""),"")</f>
        <v/>
      </c>
      <c r="O36" s="692" t="str">
        <f>IF(ISNUMBER(O$6),IF((ABS('current res.'!O32/'comparison base'!O32-1)&gt;0.0001),'current res.'!O32/'comparison base'!O32-1,""),"")</f>
        <v/>
      </c>
    </row>
    <row r="37" spans="1:15" s="692" customFormat="1">
      <c r="A37" s="184" t="str">
        <f>'1-2-3'!B79</f>
        <v>Other Subsidies</v>
      </c>
      <c r="B37" s="692" t="str">
        <f>IF(ISNUMBER(B$6),IF((ABS('current res.'!B33/'comparison base'!B33-1)&gt;0.0001),'current res.'!B33/'comparison base'!B33-1,""),"")</f>
        <v/>
      </c>
      <c r="C37" s="692">
        <f>IF(ISNUMBER(C$6),IF((ABS('current res.'!C33/'comparison base'!C33-1)&gt;0.0001),'current res.'!C33/'comparison base'!C33-1,""),"")</f>
        <v>-6.2238580147749856E-3</v>
      </c>
      <c r="D37" s="692">
        <f>IF(ISNUMBER(D$6),IF((ABS('current res.'!D33/'comparison base'!D33-1)&gt;0.0001),'current res.'!D33/'comparison base'!D33-1,""),"")</f>
        <v>-1.0520296691875264E-2</v>
      </c>
      <c r="E37" s="692">
        <f>IF(ISNUMBER(E$6),IF((ABS('current res.'!E33/'comparison base'!E33-1)&gt;0.0001),'current res.'!E33/'comparison base'!E33-1,""),"")</f>
        <v>6.1164205928787574E-4</v>
      </c>
      <c r="F37" s="692" t="str">
        <f>IF(ISNUMBER(F$6),IF((ABS('current res.'!F33/'comparison base'!F33-1)&gt;0.0001),'current res.'!F33/'comparison base'!F33-1,""),"")</f>
        <v/>
      </c>
      <c r="G37" s="692" t="str">
        <f>IF(ISNUMBER(G$6),IF((ABS('current res.'!G33/'comparison base'!G33-1)&gt;0.0001),'current res.'!G33/'comparison base'!G33-1,""),"")</f>
        <v/>
      </c>
      <c r="H37" s="692" t="str">
        <f>IF(ISNUMBER(H$6),IF((ABS('current res.'!H33/'comparison base'!H33-1)&gt;0.0001),'current res.'!H33/'comparison base'!H33-1,""),"")</f>
        <v/>
      </c>
      <c r="I37" s="692" t="str">
        <f>IF(ISNUMBER(I$6),IF((ABS('current res.'!I33/'comparison base'!I33-1)&gt;0.0001),'current res.'!I33/'comparison base'!I33-1,""),"")</f>
        <v/>
      </c>
      <c r="J37" s="692" t="str">
        <f>IF(ISNUMBER(J$6),IF((ABS('current res.'!J33/'comparison base'!J33-1)&gt;0.0001),'current res.'!J33/'comparison base'!J33-1,""),"")</f>
        <v/>
      </c>
      <c r="K37" s="692" t="str">
        <f>IF(ISNUMBER(K$6),IF((ABS('current res.'!K33/'comparison base'!K33-1)&gt;0.0001),'current res.'!K33/'comparison base'!K33-1,""),"")</f>
        <v/>
      </c>
      <c r="L37" s="692" t="str">
        <f>IF(ISNUMBER(L$6),IF((ABS('current res.'!L33/'comparison base'!L33-1)&gt;0.0001),'current res.'!L33/'comparison base'!L33-1,""),"")</f>
        <v/>
      </c>
      <c r="M37" s="692" t="str">
        <f>IF(ISNUMBER(M$6),IF((ABS('current res.'!M33/'comparison base'!M33-1)&gt;0.0001),'current res.'!M33/'comparison base'!M33-1,""),"")</f>
        <v/>
      </c>
      <c r="N37" s="692" t="str">
        <f>IF(ISNUMBER(N$6),IF((ABS('current res.'!N33/'comparison base'!N33-1)&gt;0.0001),'current res.'!N33/'comparison base'!N33-1,""),"")</f>
        <v/>
      </c>
      <c r="O37" s="692" t="str">
        <f>IF(ISNUMBER(O$6),IF((ABS('current res.'!O33/'comparison base'!O33-1)&gt;0.0001),'current res.'!O33/'comparison base'!O33-1,""),"")</f>
        <v/>
      </c>
    </row>
    <row r="38" spans="1:15" s="692" customFormat="1">
      <c r="A38" s="184" t="str">
        <f>'1-2-3'!B80</f>
        <v>Foreign Exchange Rate Index(Er)</v>
      </c>
      <c r="B38" s="692" t="str">
        <f>IF(ISNUMBER(B$6),IF((ABS('current res.'!B34/'comparison base'!B34-1)&gt;0.0001),'current res.'!B34/'comparison base'!B34-1,""),"")</f>
        <v/>
      </c>
      <c r="C38" s="692">
        <f>IF(ISNUMBER(C$6),IF((ABS('current res.'!C34/'comparison base'!C34-1)&gt;0.0001),'current res.'!C34/'comparison base'!C34-1,""),"")</f>
        <v>0.11490578439093957</v>
      </c>
      <c r="D38" s="692">
        <f>IF(ISNUMBER(D$6),IF((ABS('current res.'!D34/'comparison base'!D34-1)&gt;0.0001),'current res.'!D34/'comparison base'!D34-1,""),"")</f>
        <v>0.19850089838543616</v>
      </c>
      <c r="E38" s="692">
        <f>IF(ISNUMBER(E$6),IF((ABS('current res.'!E34/'comparison base'!E34-1)&gt;0.0001),'current res.'!E34/'comparison base'!E34-1,""),"")</f>
        <v>0.1882965366225553</v>
      </c>
      <c r="F38" s="692" t="str">
        <f>IF(ISNUMBER(F$6),IF((ABS('current res.'!F34/'comparison base'!F34-1)&gt;0.0001),'current res.'!F34/'comparison base'!F34-1,""),"")</f>
        <v/>
      </c>
      <c r="G38" s="692" t="str">
        <f>IF(ISNUMBER(G$6),IF((ABS('current res.'!G34/'comparison base'!G34-1)&gt;0.0001),'current res.'!G34/'comparison base'!G34-1,""),"")</f>
        <v/>
      </c>
      <c r="H38" s="692" t="str">
        <f>IF(ISNUMBER(H$6),IF((ABS('current res.'!H34/'comparison base'!H34-1)&gt;0.0001),'current res.'!H34/'comparison base'!H34-1,""),"")</f>
        <v/>
      </c>
      <c r="I38" s="692" t="str">
        <f>IF(ISNUMBER(I$6),IF((ABS('current res.'!I34/'comparison base'!I34-1)&gt;0.0001),'current res.'!I34/'comparison base'!I34-1,""),"")</f>
        <v/>
      </c>
      <c r="J38" s="692" t="str">
        <f>IF(ISNUMBER(J$6),IF((ABS('current res.'!J34/'comparison base'!J34-1)&gt;0.0001),'current res.'!J34/'comparison base'!J34-1,""),"")</f>
        <v/>
      </c>
      <c r="K38" s="692" t="str">
        <f>IF(ISNUMBER(K$6),IF((ABS('current res.'!K34/'comparison base'!K34-1)&gt;0.0001),'current res.'!K34/'comparison base'!K34-1,""),"")</f>
        <v/>
      </c>
      <c r="L38" s="692" t="str">
        <f>IF(ISNUMBER(L$6),IF((ABS('current res.'!L34/'comparison base'!L34-1)&gt;0.0001),'current res.'!L34/'comparison base'!L34-1,""),"")</f>
        <v/>
      </c>
      <c r="M38" s="692" t="str">
        <f>IF(ISNUMBER(M$6),IF((ABS('current res.'!M34/'comparison base'!M34-1)&gt;0.0001),'current res.'!M34/'comparison base'!M34-1,""),"")</f>
        <v/>
      </c>
      <c r="N38" s="692" t="str">
        <f>IF(ISNUMBER(N$6),IF((ABS('current res.'!N34/'comparison base'!N34-1)&gt;0.0001),'current res.'!N34/'comparison base'!N34-1,""),"")</f>
        <v/>
      </c>
      <c r="O38" s="692" t="str">
        <f>IF(ISNUMBER(O$6),IF((ABS('current res.'!O34/'comparison base'!O34-1)&gt;0.0001),'current res.'!O34/'comparison base'!O34-1,""),"")</f>
        <v/>
      </c>
    </row>
    <row r="39" spans="1:15" s="692" customFormat="1">
      <c r="A39" s="184" t="str">
        <f>'1-2-3'!B81</f>
        <v>Deflator (Px)</v>
      </c>
      <c r="B39" s="692" t="str">
        <f>IF(ISNUMBER(B$6),IF((ABS('current res.'!B35/'comparison base'!B35-1)&gt;0.0001),'current res.'!B35/'comparison base'!B35-1,""),"")</f>
        <v/>
      </c>
      <c r="C39" s="692" t="str">
        <f>IF(ISNUMBER(C$6),IF((ABS('current res.'!C35/'comparison base'!C35-1)&gt;0.0001),'current res.'!C35/'comparison base'!C35-1,""),"")</f>
        <v/>
      </c>
      <c r="D39" s="692" t="str">
        <f>IF(ISNUMBER(D$6),IF((ABS('current res.'!D35/'comparison base'!D35-1)&gt;0.0001),'current res.'!D35/'comparison base'!D35-1,""),"")</f>
        <v/>
      </c>
      <c r="E39" s="692" t="str">
        <f>IF(ISNUMBER(E$6),IF((ABS('current res.'!E35/'comparison base'!E35-1)&gt;0.0001),'current res.'!E35/'comparison base'!E35-1,""),"")</f>
        <v/>
      </c>
      <c r="F39" s="692" t="str">
        <f>IF(ISNUMBER(F$6),IF((ABS('current res.'!F35/'comparison base'!F35-1)&gt;0.0001),'current res.'!F35/'comparison base'!F35-1,""),"")</f>
        <v/>
      </c>
      <c r="G39" s="692" t="str">
        <f>IF(ISNUMBER(G$6),IF((ABS('current res.'!G35/'comparison base'!G35-1)&gt;0.0001),'current res.'!G35/'comparison base'!G35-1,""),"")</f>
        <v/>
      </c>
      <c r="H39" s="692" t="str">
        <f>IF(ISNUMBER(H$6),IF((ABS('current res.'!H35/'comparison base'!H35-1)&gt;0.0001),'current res.'!H35/'comparison base'!H35-1,""),"")</f>
        <v/>
      </c>
      <c r="I39" s="692" t="str">
        <f>IF(ISNUMBER(I$6),IF((ABS('current res.'!I35/'comparison base'!I35-1)&gt;0.0001),'current res.'!I35/'comparison base'!I35-1,""),"")</f>
        <v/>
      </c>
      <c r="J39" s="692" t="str">
        <f>IF(ISNUMBER(J$6),IF((ABS('current res.'!J35/'comparison base'!J35-1)&gt;0.0001),'current res.'!J35/'comparison base'!J35-1,""),"")</f>
        <v/>
      </c>
      <c r="K39" s="692" t="str">
        <f>IF(ISNUMBER(K$6),IF((ABS('current res.'!K35/'comparison base'!K35-1)&gt;0.0001),'current res.'!K35/'comparison base'!K35-1,""),"")</f>
        <v/>
      </c>
      <c r="L39" s="692" t="str">
        <f>IF(ISNUMBER(L$6),IF((ABS('current res.'!L35/'comparison base'!L35-1)&gt;0.0001),'current res.'!L35/'comparison base'!L35-1,""),"")</f>
        <v/>
      </c>
      <c r="M39" s="692" t="str">
        <f>IF(ISNUMBER(M$6),IF((ABS('current res.'!M35/'comparison base'!M35-1)&gt;0.0001),'current res.'!M35/'comparison base'!M35-1,""),"")</f>
        <v/>
      </c>
      <c r="N39" s="692" t="str">
        <f>IF(ISNUMBER(N$6),IF((ABS('current res.'!N35/'comparison base'!N35-1)&gt;0.0001),'current res.'!N35/'comparison base'!N35-1,""),"")</f>
        <v/>
      </c>
      <c r="O39" s="692" t="str">
        <f>IF(ISNUMBER(O$6),IF((ABS('current res.'!O35/'comparison base'!O35-1)&gt;0.0001),'current res.'!O35/'comparison base'!O35-1,""),"")</f>
        <v/>
      </c>
    </row>
    <row r="40" spans="1:15">
      <c r="B40" s="692"/>
      <c r="C40" s="692"/>
      <c r="D40" s="692"/>
      <c r="E40" s="692"/>
      <c r="F40" s="692"/>
      <c r="G40" s="692"/>
      <c r="H40" s="692"/>
      <c r="I40" s="692"/>
      <c r="J40" s="692"/>
      <c r="K40" s="692"/>
      <c r="L40" s="692"/>
      <c r="M40" s="692"/>
      <c r="N40" s="692"/>
      <c r="O40" s="692"/>
    </row>
    <row r="41" spans="1:15">
      <c r="A41" s="615" t="s">
        <v>226</v>
      </c>
      <c r="B41" s="692"/>
      <c r="C41" s="692"/>
      <c r="D41" s="692"/>
      <c r="E41" s="692"/>
      <c r="F41" s="692"/>
      <c r="G41" s="692"/>
      <c r="H41" s="692"/>
      <c r="I41" s="692"/>
      <c r="J41" s="692"/>
      <c r="K41" s="692"/>
      <c r="L41" s="692"/>
      <c r="M41" s="692"/>
      <c r="N41" s="692"/>
      <c r="O41" s="692"/>
    </row>
    <row r="42" spans="1:15">
      <c r="A42" s="615" t="str">
        <f>'Impact on poverty'!A51</f>
        <v>Decile 1</v>
      </c>
      <c r="B42" s="692" t="str">
        <f>IF(ISNUMBER(B$6),IF((ABS('current res.'!B38/'comparison base'!B38-1)&gt;0.0001),'current res.'!B38/'comparison base'!B38-1,""),"")</f>
        <v/>
      </c>
      <c r="C42" s="692">
        <f>IF(ISNUMBER(C$6),IF((ABS('current res.'!C38/'comparison base'!C38-1)&gt;0.0001),'current res.'!C38/'comparison base'!C38-1,""),"")</f>
        <v>-5.6135909672370254E-2</v>
      </c>
      <c r="D42" s="692">
        <f>IF(ISNUMBER(D$6),IF((ABS('current res.'!D38/'comparison base'!D38-1)&gt;0.0001),'current res.'!D38/'comparison base'!D38-1,""),"")</f>
        <v>-0.10730318687989937</v>
      </c>
      <c r="E42" s="692">
        <f>IF(ISNUMBER(E$6),IF((ABS('current res.'!E38/'comparison base'!E38-1)&gt;0.0001),'current res.'!E38/'comparison base'!E38-1,""),"")</f>
        <v>-0.11600949290865348</v>
      </c>
      <c r="F42" s="692" t="str">
        <f>IF(ISNUMBER(F$6),IF((ABS('current res.'!F38/'comparison base'!F38-1)&gt;0.0001),'current res.'!F38/'comparison base'!F38-1,""),"")</f>
        <v/>
      </c>
      <c r="G42" s="692" t="str">
        <f>IF(ISNUMBER(G$6),IF((ABS('current res.'!G38/'comparison base'!G38-1)&gt;0.0001),'current res.'!G38/'comparison base'!G38-1,""),"")</f>
        <v/>
      </c>
      <c r="H42" s="692" t="str">
        <f>IF(ISNUMBER(H$6),IF((ABS('current res.'!H38/'comparison base'!H38-1)&gt;0.0001),'current res.'!H38/'comparison base'!H38-1,""),"")</f>
        <v/>
      </c>
      <c r="I42" s="692" t="str">
        <f>IF(ISNUMBER(I$6),IF((ABS('current res.'!I38/'comparison base'!I38-1)&gt;0.0001),'current res.'!I38/'comparison base'!I38-1,""),"")</f>
        <v/>
      </c>
      <c r="J42" s="692" t="str">
        <f>IF(ISNUMBER(J$6),IF((ABS('current res.'!J38/'comparison base'!J38-1)&gt;0.0001),'current res.'!J38/'comparison base'!J38-1,""),"")</f>
        <v/>
      </c>
      <c r="K42" s="692" t="str">
        <f>IF(ISNUMBER(K$6),IF((ABS('current res.'!K38/'comparison base'!K38-1)&gt;0.0001),'current res.'!K38/'comparison base'!K38-1,""),"")</f>
        <v/>
      </c>
      <c r="L42" s="692" t="str">
        <f>IF(ISNUMBER(L$6),IF((ABS('current res.'!L38/'comparison base'!L38-1)&gt;0.0001),'current res.'!L38/'comparison base'!L38-1,""),"")</f>
        <v/>
      </c>
      <c r="M42" s="692" t="str">
        <f>IF(ISNUMBER(M$6),IF((ABS('current res.'!M38/'comparison base'!M38-1)&gt;0.0001),'current res.'!M38/'comparison base'!M38-1,""),"")</f>
        <v/>
      </c>
      <c r="N42" s="692" t="str">
        <f>IF(ISNUMBER(N$6),IF((ABS('current res.'!N38/'comparison base'!N38-1)&gt;0.0001),'current res.'!N38/'comparison base'!N38-1,""),"")</f>
        <v/>
      </c>
      <c r="O42" s="692" t="str">
        <f>IF(ISNUMBER(O$6),IF((ABS('current res.'!O38/'comparison base'!O38-1)&gt;0.0001),'current res.'!O38/'comparison base'!O38-1,""),"")</f>
        <v/>
      </c>
    </row>
    <row r="43" spans="1:15">
      <c r="A43" s="615" t="str">
        <f>'Impact on poverty'!A52</f>
        <v>Decile 2</v>
      </c>
      <c r="B43" s="692" t="str">
        <f>IF(ISNUMBER(B$6),IF((ABS('current res.'!B39/'comparison base'!B39-1)&gt;0.0001),'current res.'!B39/'comparison base'!B39-1,""),"")</f>
        <v/>
      </c>
      <c r="C43" s="692">
        <f>IF(ISNUMBER(C$6),IF((ABS('current res.'!C39/'comparison base'!C39-1)&gt;0.0001),'current res.'!C39/'comparison base'!C39-1,""),"")</f>
        <v>-5.5917599084194913E-2</v>
      </c>
      <c r="D43" s="692">
        <f>IF(ISNUMBER(D$6),IF((ABS('current res.'!D39/'comparison base'!D39-1)&gt;0.0001),'current res.'!D39/'comparison base'!D39-1,""),"")</f>
        <v>-0.10672330275764408</v>
      </c>
      <c r="E43" s="692">
        <f>IF(ISNUMBER(E$6),IF((ABS('current res.'!E39/'comparison base'!E39-1)&gt;0.0001),'current res.'!E39/'comparison base'!E39-1,""),"")</f>
        <v>-0.11544316093580875</v>
      </c>
      <c r="F43" s="692" t="str">
        <f>IF(ISNUMBER(F$6),IF((ABS('current res.'!F39/'comparison base'!F39-1)&gt;0.0001),'current res.'!F39/'comparison base'!F39-1,""),"")</f>
        <v/>
      </c>
      <c r="G43" s="692" t="str">
        <f>IF(ISNUMBER(G$6),IF((ABS('current res.'!G39/'comparison base'!G39-1)&gt;0.0001),'current res.'!G39/'comparison base'!G39-1,""),"")</f>
        <v/>
      </c>
      <c r="H43" s="692" t="str">
        <f>IF(ISNUMBER(H$6),IF((ABS('current res.'!H39/'comparison base'!H39-1)&gt;0.0001),'current res.'!H39/'comparison base'!H39-1,""),"")</f>
        <v/>
      </c>
      <c r="I43" s="692" t="str">
        <f>IF(ISNUMBER(I$6),IF((ABS('current res.'!I39/'comparison base'!I39-1)&gt;0.0001),'current res.'!I39/'comparison base'!I39-1,""),"")</f>
        <v/>
      </c>
      <c r="J43" s="692" t="str">
        <f>IF(ISNUMBER(J$6),IF((ABS('current res.'!J39/'comparison base'!J39-1)&gt;0.0001),'current res.'!J39/'comparison base'!J39-1,""),"")</f>
        <v/>
      </c>
      <c r="K43" s="692" t="str">
        <f>IF(ISNUMBER(K$6),IF((ABS('current res.'!K39/'comparison base'!K39-1)&gt;0.0001),'current res.'!K39/'comparison base'!K39-1,""),"")</f>
        <v/>
      </c>
      <c r="L43" s="692" t="str">
        <f>IF(ISNUMBER(L$6),IF((ABS('current res.'!L39/'comparison base'!L39-1)&gt;0.0001),'current res.'!L39/'comparison base'!L39-1,""),"")</f>
        <v/>
      </c>
      <c r="M43" s="692" t="str">
        <f>IF(ISNUMBER(M$6),IF((ABS('current res.'!M39/'comparison base'!M39-1)&gt;0.0001),'current res.'!M39/'comparison base'!M39-1,""),"")</f>
        <v/>
      </c>
      <c r="N43" s="692" t="str">
        <f>IF(ISNUMBER(N$6),IF((ABS('current res.'!N39/'comparison base'!N39-1)&gt;0.0001),'current res.'!N39/'comparison base'!N39-1,""),"")</f>
        <v/>
      </c>
      <c r="O43" s="692" t="str">
        <f>IF(ISNUMBER(O$6),IF((ABS('current res.'!O39/'comparison base'!O39-1)&gt;0.0001),'current res.'!O39/'comparison base'!O39-1,""),"")</f>
        <v/>
      </c>
    </row>
    <row r="44" spans="1:15">
      <c r="A44" s="615" t="str">
        <f>'Impact on poverty'!A53</f>
        <v>Decile 3</v>
      </c>
      <c r="B44" s="692" t="str">
        <f>IF(ISNUMBER(B$6),IF((ABS('current res.'!B40/'comparison base'!B40-1)&gt;0.0001),'current res.'!B40/'comparison base'!B40-1,""),"")</f>
        <v/>
      </c>
      <c r="C44" s="692">
        <f>IF(ISNUMBER(C$6),IF((ABS('current res.'!C40/'comparison base'!C40-1)&gt;0.0001),'current res.'!C40/'comparison base'!C40-1,""),"")</f>
        <v>-5.5803114858433922E-2</v>
      </c>
      <c r="D44" s="692">
        <f>IF(ISNUMBER(D$6),IF((ABS('current res.'!D40/'comparison base'!D40-1)&gt;0.0001),'current res.'!D40/'comparison base'!D40-1,""),"")</f>
        <v>-0.1064179446218172</v>
      </c>
      <c r="E44" s="692">
        <f>IF(ISNUMBER(E$6),IF((ABS('current res.'!E40/'comparison base'!E40-1)&gt;0.0001),'current res.'!E40/'comparison base'!E40-1,""),"")</f>
        <v>-0.11514338497926435</v>
      </c>
      <c r="F44" s="692" t="str">
        <f>IF(ISNUMBER(F$6),IF((ABS('current res.'!F40/'comparison base'!F40-1)&gt;0.0001),'current res.'!F40/'comparison base'!F40-1,""),"")</f>
        <v/>
      </c>
      <c r="G44" s="692" t="str">
        <f>IF(ISNUMBER(G$6),IF((ABS('current res.'!G40/'comparison base'!G40-1)&gt;0.0001),'current res.'!G40/'comparison base'!G40-1,""),"")</f>
        <v/>
      </c>
      <c r="H44" s="692" t="str">
        <f>IF(ISNUMBER(H$6),IF((ABS('current res.'!H40/'comparison base'!H40-1)&gt;0.0001),'current res.'!H40/'comparison base'!H40-1,""),"")</f>
        <v/>
      </c>
      <c r="I44" s="692" t="str">
        <f>IF(ISNUMBER(I$6),IF((ABS('current res.'!I40/'comparison base'!I40-1)&gt;0.0001),'current res.'!I40/'comparison base'!I40-1,""),"")</f>
        <v/>
      </c>
      <c r="J44" s="692" t="str">
        <f>IF(ISNUMBER(J$6),IF((ABS('current res.'!J40/'comparison base'!J40-1)&gt;0.0001),'current res.'!J40/'comparison base'!J40-1,""),"")</f>
        <v/>
      </c>
      <c r="K44" s="692" t="str">
        <f>IF(ISNUMBER(K$6),IF((ABS('current res.'!K40/'comparison base'!K40-1)&gt;0.0001),'current res.'!K40/'comparison base'!K40-1,""),"")</f>
        <v/>
      </c>
      <c r="L44" s="692" t="str">
        <f>IF(ISNUMBER(L$6),IF((ABS('current res.'!L40/'comparison base'!L40-1)&gt;0.0001),'current res.'!L40/'comparison base'!L40-1,""),"")</f>
        <v/>
      </c>
      <c r="M44" s="692" t="str">
        <f>IF(ISNUMBER(M$6),IF((ABS('current res.'!M40/'comparison base'!M40-1)&gt;0.0001),'current res.'!M40/'comparison base'!M40-1,""),"")</f>
        <v/>
      </c>
      <c r="N44" s="692" t="str">
        <f>IF(ISNUMBER(N$6),IF((ABS('current res.'!N40/'comparison base'!N40-1)&gt;0.0001),'current res.'!N40/'comparison base'!N40-1,""),"")</f>
        <v/>
      </c>
      <c r="O44" s="692" t="str">
        <f>IF(ISNUMBER(O$6),IF((ABS('current res.'!O40/'comparison base'!O40-1)&gt;0.0001),'current res.'!O40/'comparison base'!O40-1,""),"")</f>
        <v/>
      </c>
    </row>
    <row r="45" spans="1:15">
      <c r="A45" s="615" t="str">
        <f>'Impact on poverty'!A54</f>
        <v>Decile 4</v>
      </c>
      <c r="B45" s="692" t="str">
        <f>IF(ISNUMBER(B$6),IF((ABS('current res.'!B41/'comparison base'!B41-1)&gt;0.0001),'current res.'!B41/'comparison base'!B41-1,""),"")</f>
        <v/>
      </c>
      <c r="C45" s="692">
        <f>IF(ISNUMBER(C$6),IF((ABS('current res.'!C41/'comparison base'!C41-1)&gt;0.0001),'current res.'!C41/'comparison base'!C41-1,""),"")</f>
        <v>-5.5603058486984547E-2</v>
      </c>
      <c r="D45" s="692">
        <f>IF(ISNUMBER(D$6),IF((ABS('current res.'!D41/'comparison base'!D41-1)&gt;0.0001),'current res.'!D41/'comparison base'!D41-1,""),"")</f>
        <v>-0.10587444272721536</v>
      </c>
      <c r="E45" s="692">
        <f>IF(ISNUMBER(E$6),IF((ABS('current res.'!E41/'comparison base'!E41-1)&gt;0.0001),'current res.'!E41/'comparison base'!E41-1,""),"")</f>
        <v>-0.11460149519938867</v>
      </c>
      <c r="F45" s="692" t="str">
        <f>IF(ISNUMBER(F$6),IF((ABS('current res.'!F41/'comparison base'!F41-1)&gt;0.0001),'current res.'!F41/'comparison base'!F41-1,""),"")</f>
        <v/>
      </c>
      <c r="G45" s="692" t="str">
        <f>IF(ISNUMBER(G$6),IF((ABS('current res.'!G41/'comparison base'!G41-1)&gt;0.0001),'current res.'!G41/'comparison base'!G41-1,""),"")</f>
        <v/>
      </c>
      <c r="H45" s="692" t="str">
        <f>IF(ISNUMBER(H$6),IF((ABS('current res.'!H41/'comparison base'!H41-1)&gt;0.0001),'current res.'!H41/'comparison base'!H41-1,""),"")</f>
        <v/>
      </c>
      <c r="I45" s="692" t="str">
        <f>IF(ISNUMBER(I$6),IF((ABS('current res.'!I41/'comparison base'!I41-1)&gt;0.0001),'current res.'!I41/'comparison base'!I41-1,""),"")</f>
        <v/>
      </c>
      <c r="J45" s="692" t="str">
        <f>IF(ISNUMBER(J$6),IF((ABS('current res.'!J41/'comparison base'!J41-1)&gt;0.0001),'current res.'!J41/'comparison base'!J41-1,""),"")</f>
        <v/>
      </c>
      <c r="K45" s="692" t="str">
        <f>IF(ISNUMBER(K$6),IF((ABS('current res.'!K41/'comparison base'!K41-1)&gt;0.0001),'current res.'!K41/'comparison base'!K41-1,""),"")</f>
        <v/>
      </c>
      <c r="L45" s="692" t="str">
        <f>IF(ISNUMBER(L$6),IF((ABS('current res.'!L41/'comparison base'!L41-1)&gt;0.0001),'current res.'!L41/'comparison base'!L41-1,""),"")</f>
        <v/>
      </c>
      <c r="M45" s="692" t="str">
        <f>IF(ISNUMBER(M$6),IF((ABS('current res.'!M41/'comparison base'!M41-1)&gt;0.0001),'current res.'!M41/'comparison base'!M41-1,""),"")</f>
        <v/>
      </c>
      <c r="N45" s="692" t="str">
        <f>IF(ISNUMBER(N$6),IF((ABS('current res.'!N41/'comparison base'!N41-1)&gt;0.0001),'current res.'!N41/'comparison base'!N41-1,""),"")</f>
        <v/>
      </c>
      <c r="O45" s="692" t="str">
        <f>IF(ISNUMBER(O$6),IF((ABS('current res.'!O41/'comparison base'!O41-1)&gt;0.0001),'current res.'!O41/'comparison base'!O41-1,""),"")</f>
        <v/>
      </c>
    </row>
    <row r="46" spans="1:15">
      <c r="A46" s="615" t="str">
        <f>'Impact on poverty'!A55</f>
        <v>Decile 5</v>
      </c>
      <c r="B46" s="692" t="str">
        <f>IF(ISNUMBER(B$6),IF((ABS('current res.'!B42/'comparison base'!B42-1)&gt;0.0001),'current res.'!B42/'comparison base'!B42-1,""),"")</f>
        <v/>
      </c>
      <c r="C46" s="692">
        <f>IF(ISNUMBER(C$6),IF((ABS('current res.'!C42/'comparison base'!C42-1)&gt;0.0001),'current res.'!C42/'comparison base'!C42-1,""),"")</f>
        <v>-5.550758835121461E-2</v>
      </c>
      <c r="D46" s="692">
        <f>IF(ISNUMBER(D$6),IF((ABS('current res.'!D42/'comparison base'!D42-1)&gt;0.0001),'current res.'!D42/'comparison base'!D42-1,""),"")</f>
        <v>-0.10560963691945369</v>
      </c>
      <c r="E46" s="692">
        <f>IF(ISNUMBER(E$6),IF((ABS('current res.'!E42/'comparison base'!E42-1)&gt;0.0001),'current res.'!E42/'comparison base'!E42-1,""),"")</f>
        <v>-0.11433308315861157</v>
      </c>
      <c r="F46" s="692" t="str">
        <f>IF(ISNUMBER(F$6),IF((ABS('current res.'!F42/'comparison base'!F42-1)&gt;0.0001),'current res.'!F42/'comparison base'!F42-1,""),"")</f>
        <v/>
      </c>
      <c r="G46" s="692" t="str">
        <f>IF(ISNUMBER(G$6),IF((ABS('current res.'!G42/'comparison base'!G42-1)&gt;0.0001),'current res.'!G42/'comparison base'!G42-1,""),"")</f>
        <v/>
      </c>
      <c r="H46" s="692" t="str">
        <f>IF(ISNUMBER(H$6),IF((ABS('current res.'!H42/'comparison base'!H42-1)&gt;0.0001),'current res.'!H42/'comparison base'!H42-1,""),"")</f>
        <v/>
      </c>
      <c r="I46" s="692" t="str">
        <f>IF(ISNUMBER(I$6),IF((ABS('current res.'!I42/'comparison base'!I42-1)&gt;0.0001),'current res.'!I42/'comparison base'!I42-1,""),"")</f>
        <v/>
      </c>
      <c r="J46" s="692" t="str">
        <f>IF(ISNUMBER(J$6),IF((ABS('current res.'!J42/'comparison base'!J42-1)&gt;0.0001),'current res.'!J42/'comparison base'!J42-1,""),"")</f>
        <v/>
      </c>
      <c r="K46" s="692" t="str">
        <f>IF(ISNUMBER(K$6),IF((ABS('current res.'!K42/'comparison base'!K42-1)&gt;0.0001),'current res.'!K42/'comparison base'!K42-1,""),"")</f>
        <v/>
      </c>
      <c r="L46" s="692" t="str">
        <f>IF(ISNUMBER(L$6),IF((ABS('current res.'!L42/'comparison base'!L42-1)&gt;0.0001),'current res.'!L42/'comparison base'!L42-1,""),"")</f>
        <v/>
      </c>
      <c r="M46" s="692" t="str">
        <f>IF(ISNUMBER(M$6),IF((ABS('current res.'!M42/'comparison base'!M42-1)&gt;0.0001),'current res.'!M42/'comparison base'!M42-1,""),"")</f>
        <v/>
      </c>
      <c r="N46" s="692" t="str">
        <f>IF(ISNUMBER(N$6),IF((ABS('current res.'!N42/'comparison base'!N42-1)&gt;0.0001),'current res.'!N42/'comparison base'!N42-1,""),"")</f>
        <v/>
      </c>
      <c r="O46" s="692" t="str">
        <f>IF(ISNUMBER(O$6),IF((ABS('current res.'!O42/'comparison base'!O42-1)&gt;0.0001),'current res.'!O42/'comparison base'!O42-1,""),"")</f>
        <v/>
      </c>
    </row>
    <row r="47" spans="1:15">
      <c r="A47" s="615" t="str">
        <f>'Impact on poverty'!A56</f>
        <v>Decile 6</v>
      </c>
      <c r="B47" s="692" t="str">
        <f>IF(ISNUMBER(B$6),IF((ABS('current res.'!B43/'comparison base'!B43-1)&gt;0.0001),'current res.'!B43/'comparison base'!B43-1,""),"")</f>
        <v/>
      </c>
      <c r="C47" s="692">
        <f>IF(ISNUMBER(C$6),IF((ABS('current res.'!C43/'comparison base'!C43-1)&gt;0.0001),'current res.'!C43/'comparison base'!C43-1,""),"")</f>
        <v>-5.5159518166860377E-2</v>
      </c>
      <c r="D47" s="692">
        <f>IF(ISNUMBER(D$6),IF((ABS('current res.'!D43/'comparison base'!D43-1)&gt;0.0001),'current res.'!D43/'comparison base'!D43-1,""),"")</f>
        <v>-0.10466144739258709</v>
      </c>
      <c r="E47" s="692">
        <f>IF(ISNUMBER(E$6),IF((ABS('current res.'!E43/'comparison base'!E43-1)&gt;0.0001),'current res.'!E43/'comparison base'!E43-1,""),"")</f>
        <v>-0.11338163705005799</v>
      </c>
      <c r="F47" s="692" t="str">
        <f>IF(ISNUMBER(F$6),IF((ABS('current res.'!F43/'comparison base'!F43-1)&gt;0.0001),'current res.'!F43/'comparison base'!F43-1,""),"")</f>
        <v/>
      </c>
      <c r="G47" s="692" t="str">
        <f>IF(ISNUMBER(G$6),IF((ABS('current res.'!G43/'comparison base'!G43-1)&gt;0.0001),'current res.'!G43/'comparison base'!G43-1,""),"")</f>
        <v/>
      </c>
      <c r="H47" s="692" t="str">
        <f>IF(ISNUMBER(H$6),IF((ABS('current res.'!H43/'comparison base'!H43-1)&gt;0.0001),'current res.'!H43/'comparison base'!H43-1,""),"")</f>
        <v/>
      </c>
      <c r="I47" s="692" t="str">
        <f>IF(ISNUMBER(I$6),IF((ABS('current res.'!I43/'comparison base'!I43-1)&gt;0.0001),'current res.'!I43/'comparison base'!I43-1,""),"")</f>
        <v/>
      </c>
      <c r="J47" s="692" t="str">
        <f>IF(ISNUMBER(J$6),IF((ABS('current res.'!J43/'comparison base'!J43-1)&gt;0.0001),'current res.'!J43/'comparison base'!J43-1,""),"")</f>
        <v/>
      </c>
      <c r="K47" s="692" t="str">
        <f>IF(ISNUMBER(K$6),IF((ABS('current res.'!K43/'comparison base'!K43-1)&gt;0.0001),'current res.'!K43/'comparison base'!K43-1,""),"")</f>
        <v/>
      </c>
      <c r="L47" s="692" t="str">
        <f>IF(ISNUMBER(L$6),IF((ABS('current res.'!L43/'comparison base'!L43-1)&gt;0.0001),'current res.'!L43/'comparison base'!L43-1,""),"")</f>
        <v/>
      </c>
      <c r="M47" s="692" t="str">
        <f>IF(ISNUMBER(M$6),IF((ABS('current res.'!M43/'comparison base'!M43-1)&gt;0.0001),'current res.'!M43/'comparison base'!M43-1,""),"")</f>
        <v/>
      </c>
      <c r="N47" s="692" t="str">
        <f>IF(ISNUMBER(N$6),IF((ABS('current res.'!N43/'comparison base'!N43-1)&gt;0.0001),'current res.'!N43/'comparison base'!N43-1,""),"")</f>
        <v/>
      </c>
      <c r="O47" s="692" t="str">
        <f>IF(ISNUMBER(O$6),IF((ABS('current res.'!O43/'comparison base'!O43-1)&gt;0.0001),'current res.'!O43/'comparison base'!O43-1,""),"")</f>
        <v/>
      </c>
    </row>
    <row r="48" spans="1:15">
      <c r="A48" s="615" t="str">
        <f>'Impact on poverty'!A57</f>
        <v>Decile 7</v>
      </c>
      <c r="B48" s="692" t="str">
        <f>IF(ISNUMBER(B$6),IF((ABS('current res.'!B44/'comparison base'!B44-1)&gt;0.0001),'current res.'!B44/'comparison base'!B44-1,""),"")</f>
        <v/>
      </c>
      <c r="C48" s="692">
        <f>IF(ISNUMBER(C$6),IF((ABS('current res.'!C44/'comparison base'!C44-1)&gt;0.0001),'current res.'!C44/'comparison base'!C44-1,""),"")</f>
        <v>-5.5060266669217595E-2</v>
      </c>
      <c r="D48" s="692">
        <f>IF(ISNUMBER(D$6),IF((ABS('current res.'!D44/'comparison base'!D44-1)&gt;0.0001),'current res.'!D44/'comparison base'!D44-1,""),"")</f>
        <v>-0.1043926426356151</v>
      </c>
      <c r="E48" s="692">
        <f>IF(ISNUMBER(E$6),IF((ABS('current res.'!E44/'comparison base'!E44-1)&gt;0.0001),'current res.'!E44/'comparison base'!E44-1,""),"")</f>
        <v>-0.11311231487759565</v>
      </c>
      <c r="F48" s="692" t="str">
        <f>IF(ISNUMBER(F$6),IF((ABS('current res.'!F44/'comparison base'!F44-1)&gt;0.0001),'current res.'!F44/'comparison base'!F44-1,""),"")</f>
        <v/>
      </c>
      <c r="G48" s="692" t="str">
        <f>IF(ISNUMBER(G$6),IF((ABS('current res.'!G44/'comparison base'!G44-1)&gt;0.0001),'current res.'!G44/'comparison base'!G44-1,""),"")</f>
        <v/>
      </c>
      <c r="H48" s="692" t="str">
        <f>IF(ISNUMBER(H$6),IF((ABS('current res.'!H44/'comparison base'!H44-1)&gt;0.0001),'current res.'!H44/'comparison base'!H44-1,""),"")</f>
        <v/>
      </c>
      <c r="I48" s="692" t="str">
        <f>IF(ISNUMBER(I$6),IF((ABS('current res.'!I44/'comparison base'!I44-1)&gt;0.0001),'current res.'!I44/'comparison base'!I44-1,""),"")</f>
        <v/>
      </c>
      <c r="J48" s="692" t="str">
        <f>IF(ISNUMBER(J$6),IF((ABS('current res.'!J44/'comparison base'!J44-1)&gt;0.0001),'current res.'!J44/'comparison base'!J44-1,""),"")</f>
        <v/>
      </c>
      <c r="K48" s="692" t="str">
        <f>IF(ISNUMBER(K$6),IF((ABS('current res.'!K44/'comparison base'!K44-1)&gt;0.0001),'current res.'!K44/'comparison base'!K44-1,""),"")</f>
        <v/>
      </c>
      <c r="L48" s="692" t="str">
        <f>IF(ISNUMBER(L$6),IF((ABS('current res.'!L44/'comparison base'!L44-1)&gt;0.0001),'current res.'!L44/'comparison base'!L44-1,""),"")</f>
        <v/>
      </c>
      <c r="M48" s="692" t="str">
        <f>IF(ISNUMBER(M$6),IF((ABS('current res.'!M44/'comparison base'!M44-1)&gt;0.0001),'current res.'!M44/'comparison base'!M44-1,""),"")</f>
        <v/>
      </c>
      <c r="N48" s="692" t="str">
        <f>IF(ISNUMBER(N$6),IF((ABS('current res.'!N44/'comparison base'!N44-1)&gt;0.0001),'current res.'!N44/'comparison base'!N44-1,""),"")</f>
        <v/>
      </c>
      <c r="O48" s="692" t="str">
        <f>IF(ISNUMBER(O$6),IF((ABS('current res.'!O44/'comparison base'!O44-1)&gt;0.0001),'current res.'!O44/'comparison base'!O44-1,""),"")</f>
        <v/>
      </c>
    </row>
    <row r="49" spans="1:15">
      <c r="A49" s="615" t="str">
        <f>'Impact on poverty'!A58</f>
        <v>Decile 8</v>
      </c>
      <c r="B49" s="692" t="str">
        <f>IF(ISNUMBER(B$6),IF((ABS('current res.'!B45/'comparison base'!B45-1)&gt;0.0001),'current res.'!B45/'comparison base'!B45-1,""),"")</f>
        <v/>
      </c>
      <c r="C49" s="692">
        <f>IF(ISNUMBER(C$6),IF((ABS('current res.'!C45/'comparison base'!C45-1)&gt;0.0001),'current res.'!C45/'comparison base'!C45-1,""),"")</f>
        <v>-5.5197218504861589E-2</v>
      </c>
      <c r="D49" s="692">
        <f>IF(ISNUMBER(D$6),IF((ABS('current res.'!D45/'comparison base'!D45-1)&gt;0.0001),'current res.'!D45/'comparison base'!D45-1,""),"")</f>
        <v>-0.10475857883197381</v>
      </c>
      <c r="E49" s="692">
        <f>IF(ISNUMBER(E$6),IF((ABS('current res.'!E45/'comparison base'!E45-1)&gt;0.0001),'current res.'!E45/'comparison base'!E45-1,""),"")</f>
        <v>-0.11347529626214592</v>
      </c>
      <c r="F49" s="692" t="str">
        <f>IF(ISNUMBER(F$6),IF((ABS('current res.'!F45/'comparison base'!F45-1)&gt;0.0001),'current res.'!F45/'comparison base'!F45-1,""),"")</f>
        <v/>
      </c>
      <c r="G49" s="692" t="str">
        <f>IF(ISNUMBER(G$6),IF((ABS('current res.'!G45/'comparison base'!G45-1)&gt;0.0001),'current res.'!G45/'comparison base'!G45-1,""),"")</f>
        <v/>
      </c>
      <c r="H49" s="692" t="str">
        <f>IF(ISNUMBER(H$6),IF((ABS('current res.'!H45/'comparison base'!H45-1)&gt;0.0001),'current res.'!H45/'comparison base'!H45-1,""),"")</f>
        <v/>
      </c>
      <c r="I49" s="692" t="str">
        <f>IF(ISNUMBER(I$6),IF((ABS('current res.'!I45/'comparison base'!I45-1)&gt;0.0001),'current res.'!I45/'comparison base'!I45-1,""),"")</f>
        <v/>
      </c>
      <c r="J49" s="692" t="str">
        <f>IF(ISNUMBER(J$6),IF((ABS('current res.'!J45/'comparison base'!J45-1)&gt;0.0001),'current res.'!J45/'comparison base'!J45-1,""),"")</f>
        <v/>
      </c>
      <c r="K49" s="692" t="str">
        <f>IF(ISNUMBER(K$6),IF((ABS('current res.'!K45/'comparison base'!K45-1)&gt;0.0001),'current res.'!K45/'comparison base'!K45-1,""),"")</f>
        <v/>
      </c>
      <c r="L49" s="692" t="str">
        <f>IF(ISNUMBER(L$6),IF((ABS('current res.'!L45/'comparison base'!L45-1)&gt;0.0001),'current res.'!L45/'comparison base'!L45-1,""),"")</f>
        <v/>
      </c>
      <c r="M49" s="692" t="str">
        <f>IF(ISNUMBER(M$6),IF((ABS('current res.'!M45/'comparison base'!M45-1)&gt;0.0001),'current res.'!M45/'comparison base'!M45-1,""),"")</f>
        <v/>
      </c>
      <c r="N49" s="692" t="str">
        <f>IF(ISNUMBER(N$6),IF((ABS('current res.'!N45/'comparison base'!N45-1)&gt;0.0001),'current res.'!N45/'comparison base'!N45-1,""),"")</f>
        <v/>
      </c>
      <c r="O49" s="692" t="str">
        <f>IF(ISNUMBER(O$6),IF((ABS('current res.'!O45/'comparison base'!O45-1)&gt;0.0001),'current res.'!O45/'comparison base'!O45-1,""),"")</f>
        <v/>
      </c>
    </row>
    <row r="50" spans="1:15">
      <c r="A50" s="615" t="str">
        <f>'Impact on poverty'!A59</f>
        <v>Decile 9</v>
      </c>
      <c r="B50" s="692" t="str">
        <f>IF(ISNUMBER(B$6),IF((ABS('current res.'!B46/'comparison base'!B46-1)&gt;0.0001),'current res.'!B46/'comparison base'!B46-1,""),"")</f>
        <v/>
      </c>
      <c r="C50" s="692">
        <f>IF(ISNUMBER(C$6),IF((ABS('current res.'!C46/'comparison base'!C46-1)&gt;0.0001),'current res.'!C46/'comparison base'!C46-1,""),"")</f>
        <v>-5.5098889665696427E-2</v>
      </c>
      <c r="D50" s="692">
        <f>IF(ISNUMBER(D$6),IF((ABS('current res.'!D46/'comparison base'!D46-1)&gt;0.0001),'current res.'!D46/'comparison base'!D46-1,""),"")</f>
        <v>-0.10449489333317608</v>
      </c>
      <c r="E50" s="692">
        <f>IF(ISNUMBER(E$6),IF((ABS('current res.'!E46/'comparison base'!E46-1)&gt;0.0001),'current res.'!E46/'comparison base'!E46-1,""),"")</f>
        <v>-0.11321310750413904</v>
      </c>
      <c r="F50" s="692" t="str">
        <f>IF(ISNUMBER(F$6),IF((ABS('current res.'!F46/'comparison base'!F46-1)&gt;0.0001),'current res.'!F46/'comparison base'!F46-1,""),"")</f>
        <v/>
      </c>
      <c r="G50" s="692" t="str">
        <f>IF(ISNUMBER(G$6),IF((ABS('current res.'!G46/'comparison base'!G46-1)&gt;0.0001),'current res.'!G46/'comparison base'!G46-1,""),"")</f>
        <v/>
      </c>
      <c r="H50" s="692" t="str">
        <f>IF(ISNUMBER(H$6),IF((ABS('current res.'!H46/'comparison base'!H46-1)&gt;0.0001),'current res.'!H46/'comparison base'!H46-1,""),"")</f>
        <v/>
      </c>
      <c r="I50" s="692" t="str">
        <f>IF(ISNUMBER(I$6),IF((ABS('current res.'!I46/'comparison base'!I46-1)&gt;0.0001),'current res.'!I46/'comparison base'!I46-1,""),"")</f>
        <v/>
      </c>
      <c r="J50" s="692" t="str">
        <f>IF(ISNUMBER(J$6),IF((ABS('current res.'!J46/'comparison base'!J46-1)&gt;0.0001),'current res.'!J46/'comparison base'!J46-1,""),"")</f>
        <v/>
      </c>
      <c r="K50" s="692" t="str">
        <f>IF(ISNUMBER(K$6),IF((ABS('current res.'!K46/'comparison base'!K46-1)&gt;0.0001),'current res.'!K46/'comparison base'!K46-1,""),"")</f>
        <v/>
      </c>
      <c r="L50" s="692" t="str">
        <f>IF(ISNUMBER(L$6),IF((ABS('current res.'!L46/'comparison base'!L46-1)&gt;0.0001),'current res.'!L46/'comparison base'!L46-1,""),"")</f>
        <v/>
      </c>
      <c r="M50" s="692" t="str">
        <f>IF(ISNUMBER(M$6),IF((ABS('current res.'!M46/'comparison base'!M46-1)&gt;0.0001),'current res.'!M46/'comparison base'!M46-1,""),"")</f>
        <v/>
      </c>
      <c r="N50" s="692" t="str">
        <f>IF(ISNUMBER(N$6),IF((ABS('current res.'!N46/'comparison base'!N46-1)&gt;0.0001),'current res.'!N46/'comparison base'!N46-1,""),"")</f>
        <v/>
      </c>
      <c r="O50" s="692" t="str">
        <f>IF(ISNUMBER(O$6),IF((ABS('current res.'!O46/'comparison base'!O46-1)&gt;0.0001),'current res.'!O46/'comparison base'!O46-1,""),"")</f>
        <v/>
      </c>
    </row>
    <row r="51" spans="1:15">
      <c r="A51" s="615" t="str">
        <f>'Impact on poverty'!A60</f>
        <v>Decile 10</v>
      </c>
      <c r="B51" s="692" t="str">
        <f>IF(ISNUMBER(B$6),IF((ABS('current res.'!B47/'comparison base'!B47-1)&gt;0.0001),'current res.'!B47/'comparison base'!B47-1,""),"")</f>
        <v/>
      </c>
      <c r="C51" s="692">
        <f>IF(ISNUMBER(C$6),IF((ABS('current res.'!C47/'comparison base'!C47-1)&gt;0.0001),'current res.'!C47/'comparison base'!C47-1,""),"")</f>
        <v>-5.4654589653184371E-2</v>
      </c>
      <c r="D51" s="692">
        <f>IF(ISNUMBER(D$6),IF((ABS('current res.'!D47/'comparison base'!D47-1)&gt;0.0001),'current res.'!D47/'comparison base'!D47-1,""),"")</f>
        <v>-0.10336212310456283</v>
      </c>
      <c r="E51" s="692">
        <f>IF(ISNUMBER(E$6),IF((ABS('current res.'!E47/'comparison base'!E47-1)&gt;0.0001),'current res.'!E47/'comparison base'!E47-1,""),"")</f>
        <v>-0.1121257033020191</v>
      </c>
      <c r="F51" s="692" t="str">
        <f>IF(ISNUMBER(F$6),IF((ABS('current res.'!F47/'comparison base'!F47-1)&gt;0.0001),'current res.'!F47/'comparison base'!F47-1,""),"")</f>
        <v/>
      </c>
      <c r="G51" s="692" t="str">
        <f>IF(ISNUMBER(G$6),IF((ABS('current res.'!G47/'comparison base'!G47-1)&gt;0.0001),'current res.'!G47/'comparison base'!G47-1,""),"")</f>
        <v/>
      </c>
      <c r="H51" s="692" t="str">
        <f>IF(ISNUMBER(H$6),IF((ABS('current res.'!H47/'comparison base'!H47-1)&gt;0.0001),'current res.'!H47/'comparison base'!H47-1,""),"")</f>
        <v/>
      </c>
      <c r="I51" s="692" t="str">
        <f>IF(ISNUMBER(I$6),IF((ABS('current res.'!I47/'comparison base'!I47-1)&gt;0.0001),'current res.'!I47/'comparison base'!I47-1,""),"")</f>
        <v/>
      </c>
      <c r="J51" s="692" t="str">
        <f>IF(ISNUMBER(J$6),IF((ABS('current res.'!J47/'comparison base'!J47-1)&gt;0.0001),'current res.'!J47/'comparison base'!J47-1,""),"")</f>
        <v/>
      </c>
      <c r="K51" s="692" t="str">
        <f>IF(ISNUMBER(K$6),IF((ABS('current res.'!K47/'comparison base'!K47-1)&gt;0.0001),'current res.'!K47/'comparison base'!K47-1,""),"")</f>
        <v/>
      </c>
      <c r="L51" s="692" t="str">
        <f>IF(ISNUMBER(L$6),IF((ABS('current res.'!L47/'comparison base'!L47-1)&gt;0.0001),'current res.'!L47/'comparison base'!L47-1,""),"")</f>
        <v/>
      </c>
      <c r="M51" s="692" t="str">
        <f>IF(ISNUMBER(M$6),IF((ABS('current res.'!M47/'comparison base'!M47-1)&gt;0.0001),'current res.'!M47/'comparison base'!M47-1,""),"")</f>
        <v/>
      </c>
      <c r="N51" s="692" t="str">
        <f>IF(ISNUMBER(N$6),IF((ABS('current res.'!N47/'comparison base'!N47-1)&gt;0.0001),'current res.'!N47/'comparison base'!N47-1,""),"")</f>
        <v/>
      </c>
      <c r="O51" s="692" t="str">
        <f>IF(ISNUMBER(O$6),IF((ABS('current res.'!O47/'comparison base'!O47-1)&gt;0.0001),'current res.'!O47/'comparison base'!O47-1,""),"")</f>
        <v/>
      </c>
    </row>
    <row r="52" spans="1:15">
      <c r="B52" s="692"/>
      <c r="C52" s="692"/>
      <c r="D52" s="692"/>
      <c r="E52" s="692"/>
      <c r="F52" s="692"/>
      <c r="G52" s="692"/>
      <c r="H52" s="692"/>
      <c r="I52" s="692"/>
      <c r="J52" s="692"/>
      <c r="K52" s="692"/>
      <c r="L52" s="692"/>
      <c r="M52" s="692"/>
      <c r="N52" s="692"/>
      <c r="O52" s="692"/>
    </row>
    <row r="53" spans="1:15">
      <c r="A53" s="615" t="str">
        <f>'Impact on poverty'!A62</f>
        <v>Total</v>
      </c>
      <c r="B53" s="692" t="str">
        <f>IF(ISNUMBER(B$6),IF((ABS('current res.'!B49/'comparison base'!B49-1)&gt;0.0001),'current res.'!B49/'comparison base'!B49-1,""),"")</f>
        <v/>
      </c>
      <c r="C53" s="692">
        <f>IF(ISNUMBER(C$6),IF((ABS('current res.'!C49/'comparison base'!C49-1)&gt;0.0001),'current res.'!C49/'comparison base'!C49-1,""),"")</f>
        <v>-5.4865391406430764E-2</v>
      </c>
      <c r="D53" s="692">
        <f>IF(ISNUMBER(D$6),IF((ABS('current res.'!D49/'comparison base'!D49-1)&gt;0.0001),'current res.'!D49/'comparison base'!D49-1,""),"")</f>
        <v>-0.10390420520974242</v>
      </c>
      <c r="E53" s="692">
        <f>IF(ISNUMBER(E$6),IF((ABS('current res.'!E49/'comparison base'!E49-1)&gt;0.0001),'current res.'!E49/'comparison base'!E49-1,""),"")</f>
        <v>-0.11264891490348106</v>
      </c>
      <c r="F53" s="692" t="str">
        <f>IF(ISNUMBER(F$6),IF((ABS('current res.'!F49/'comparison base'!F49-1)&gt;0.0001),'current res.'!F49/'comparison base'!F49-1,""),"")</f>
        <v/>
      </c>
      <c r="G53" s="692" t="str">
        <f>IF(ISNUMBER(G$6),IF((ABS('current res.'!G49/'comparison base'!G49-1)&gt;0.0001),'current res.'!G49/'comparison base'!G49-1,""),"")</f>
        <v/>
      </c>
      <c r="H53" s="692" t="str">
        <f>IF(ISNUMBER(H$6),IF((ABS('current res.'!H49/'comparison base'!H49-1)&gt;0.0001),'current res.'!H49/'comparison base'!H49-1,""),"")</f>
        <v/>
      </c>
      <c r="I53" s="692" t="str">
        <f>IF(ISNUMBER(I$6),IF((ABS('current res.'!I49/'comparison base'!I49-1)&gt;0.0001),'current res.'!I49/'comparison base'!I49-1,""),"")</f>
        <v/>
      </c>
      <c r="J53" s="692" t="str">
        <f>IF(ISNUMBER(J$6),IF((ABS('current res.'!J49/'comparison base'!J49-1)&gt;0.0001),'current res.'!J49/'comparison base'!J49-1,""),"")</f>
        <v/>
      </c>
      <c r="K53" s="692" t="str">
        <f>IF(ISNUMBER(K$6),IF((ABS('current res.'!K49/'comparison base'!K49-1)&gt;0.0001),'current res.'!K49/'comparison base'!K49-1,""),"")</f>
        <v/>
      </c>
      <c r="L53" s="692" t="str">
        <f>IF(ISNUMBER(L$6),IF((ABS('current res.'!L49/'comparison base'!L49-1)&gt;0.0001),'current res.'!L49/'comparison base'!L49-1,""),"")</f>
        <v/>
      </c>
      <c r="M53" s="692" t="str">
        <f>IF(ISNUMBER(M$6),IF((ABS('current res.'!M49/'comparison base'!M49-1)&gt;0.0001),'current res.'!M49/'comparison base'!M49-1,""),"")</f>
        <v/>
      </c>
      <c r="N53" s="692" t="str">
        <f>IF(ISNUMBER(N$6),IF((ABS('current res.'!N49/'comparison base'!N49-1)&gt;0.0001),'current res.'!N49/'comparison base'!N49-1,""),"")</f>
        <v/>
      </c>
      <c r="O53" s="692" t="str">
        <f>IF(ISNUMBER(O$6),IF((ABS('current res.'!O49/'comparison base'!O49-1)&gt;0.0001),'current res.'!O49/'comparison base'!O49-1,""),"")</f>
        <v/>
      </c>
    </row>
    <row r="54" spans="1:15">
      <c r="B54" s="692"/>
      <c r="C54" s="692"/>
      <c r="D54" s="692"/>
      <c r="E54" s="692"/>
      <c r="F54" s="692"/>
      <c r="G54" s="692"/>
      <c r="H54" s="692"/>
      <c r="I54" s="692"/>
      <c r="J54" s="692"/>
      <c r="K54" s="692"/>
      <c r="L54" s="692"/>
      <c r="M54" s="692"/>
      <c r="N54" s="692"/>
      <c r="O54" s="692"/>
    </row>
    <row r="55" spans="1:15">
      <c r="A55" s="615" t="str">
        <f>'Impact on poverty'!A91</f>
        <v>GINI coefficient (inc.)</v>
      </c>
      <c r="B55" s="692" t="str">
        <f>IF(ISNUMBER(B$6),IF((ABS('current res.'!B51/'comparison base'!B51-1)&gt;0.0001),'current res.'!B51/'comparison base'!B51-1,""),"")</f>
        <v/>
      </c>
      <c r="C55" s="692">
        <f>IF(ISNUMBER(C$6),IF((ABS('current res.'!C51/'comparison base'!C51-1)&gt;0.0001),'current res.'!C51/'comparison base'!C51-1,""),"")</f>
        <v>1.2768845080524116E-4</v>
      </c>
      <c r="D55" s="692">
        <f>IF(ISNUMBER(D$6),IF((ABS('current res.'!D51/'comparison base'!D51-1)&gt;0.0001),'current res.'!D51/'comparison base'!D51-1,""),"")</f>
        <v>3.5057321574938349E-4</v>
      </c>
      <c r="E55" s="692">
        <f>IF(ISNUMBER(E$6),IF((ABS('current res.'!E51/'comparison base'!E51-1)&gt;0.0001),'current res.'!E51/'comparison base'!E51-1,""),"")</f>
        <v>3.4443965654307185E-4</v>
      </c>
      <c r="F55" s="692" t="str">
        <f>IF(ISNUMBER(F$6),IF((ABS('current res.'!F51/'comparison base'!F51-1)&gt;0.0001),'current res.'!F51/'comparison base'!F51-1,""),"")</f>
        <v/>
      </c>
      <c r="G55" s="692" t="str">
        <f>IF(ISNUMBER(G$6),IF((ABS('current res.'!G51/'comparison base'!G51-1)&gt;0.0001),'current res.'!G51/'comparison base'!G51-1,""),"")</f>
        <v/>
      </c>
      <c r="H55" s="692" t="str">
        <f>IF(ISNUMBER(H$6),IF((ABS('current res.'!H51/'comparison base'!H51-1)&gt;0.0001),'current res.'!H51/'comparison base'!H51-1,""),"")</f>
        <v/>
      </c>
      <c r="I55" s="692" t="str">
        <f>IF(ISNUMBER(I$6),IF((ABS('current res.'!I51/'comparison base'!I51-1)&gt;0.0001),'current res.'!I51/'comparison base'!I51-1,""),"")</f>
        <v/>
      </c>
      <c r="J55" s="692" t="str">
        <f>IF(ISNUMBER(J$6),IF((ABS('current res.'!J51/'comparison base'!J51-1)&gt;0.0001),'current res.'!J51/'comparison base'!J51-1,""),"")</f>
        <v/>
      </c>
      <c r="K55" s="692" t="str">
        <f>IF(ISNUMBER(K$6),IF((ABS('current res.'!K51/'comparison base'!K51-1)&gt;0.0001),'current res.'!K51/'comparison base'!K51-1,""),"")</f>
        <v/>
      </c>
      <c r="L55" s="692" t="str">
        <f>IF(ISNUMBER(L$6),IF((ABS('current res.'!L51/'comparison base'!L51-1)&gt;0.0001),'current res.'!L51/'comparison base'!L51-1,""),"")</f>
        <v/>
      </c>
      <c r="M55" s="692" t="str">
        <f>IF(ISNUMBER(M$6),IF((ABS('current res.'!M51/'comparison base'!M51-1)&gt;0.0001),'current res.'!M51/'comparison base'!M51-1,""),"")</f>
        <v/>
      </c>
      <c r="N55" s="692" t="str">
        <f>IF(ISNUMBER(N$6),IF((ABS('current res.'!N51/'comparison base'!N51-1)&gt;0.0001),'current res.'!N51/'comparison base'!N51-1,""),"")</f>
        <v/>
      </c>
      <c r="O55" s="692" t="str">
        <f>IF(ISNUMBER(O$6),IF((ABS('current res.'!O51/'comparison base'!O51-1)&gt;0.0001),'current res.'!O51/'comparison base'!O51-1,""),"")</f>
        <v/>
      </c>
    </row>
    <row r="56" spans="1:15">
      <c r="B56" s="692"/>
      <c r="C56" s="692"/>
      <c r="D56" s="692"/>
      <c r="E56" s="692"/>
      <c r="F56" s="692"/>
      <c r="G56" s="692"/>
      <c r="H56" s="692"/>
      <c r="I56" s="692"/>
      <c r="J56" s="692"/>
      <c r="K56" s="692"/>
      <c r="L56" s="692"/>
      <c r="M56" s="692"/>
      <c r="N56" s="692"/>
      <c r="O56" s="692"/>
    </row>
    <row r="57" spans="1:15">
      <c r="B57" s="692"/>
      <c r="C57" s="692"/>
      <c r="D57" s="692"/>
      <c r="E57" s="692"/>
      <c r="F57" s="692"/>
      <c r="G57" s="692"/>
      <c r="H57" s="692"/>
      <c r="I57" s="692"/>
      <c r="J57" s="692"/>
      <c r="K57" s="692"/>
      <c r="L57" s="692"/>
      <c r="M57" s="692"/>
      <c r="N57" s="692"/>
      <c r="O57" s="692"/>
    </row>
    <row r="58" spans="1:15">
      <c r="A58" s="615" t="s">
        <v>2409</v>
      </c>
      <c r="B58" s="692"/>
      <c r="C58" s="692"/>
      <c r="D58" s="692"/>
      <c r="E58" s="692"/>
      <c r="F58" s="692"/>
      <c r="G58" s="692"/>
      <c r="H58" s="692"/>
      <c r="I58" s="692"/>
      <c r="J58" s="692"/>
      <c r="K58" s="692"/>
      <c r="L58" s="692"/>
      <c r="M58" s="692"/>
      <c r="N58" s="692"/>
      <c r="O58" s="692"/>
    </row>
    <row r="59" spans="1:15">
      <c r="A59" s="615" t="str">
        <f>'Impact on poverty'!A95</f>
        <v>Decile 1</v>
      </c>
      <c r="B59" s="692" t="e">
        <f>IF(ISNUMBER(B$6),IF((ABS('current res.'!B55/'comparison base'!B55-1)&gt;0.0001),'current res.'!B55/'comparison base'!B55-1,""),"")</f>
        <v>#VALUE!</v>
      </c>
      <c r="C59" s="692" t="e">
        <f>IF(ISNUMBER(C$6),IF((ABS('current res.'!C55/'comparison base'!C55-1)&gt;0.0001),'current res.'!C55/'comparison base'!C55-1,""),"")</f>
        <v>#VALUE!</v>
      </c>
      <c r="D59" s="692" t="e">
        <f>IF(ISNUMBER(D$6),IF((ABS('current res.'!D55/'comparison base'!D55-1)&gt;0.0001),'current res.'!D55/'comparison base'!D55-1,""),"")</f>
        <v>#VALUE!</v>
      </c>
      <c r="E59" s="692" t="e">
        <f>IF(ISNUMBER(E$6),IF((ABS('current res.'!E55/'comparison base'!E55-1)&gt;0.0001),'current res.'!E55/'comparison base'!E55-1,""),"")</f>
        <v>#VALUE!</v>
      </c>
      <c r="F59" s="692"/>
      <c r="G59" s="692"/>
      <c r="H59" s="692"/>
      <c r="I59" s="692"/>
      <c r="J59" s="692"/>
      <c r="K59" s="692"/>
      <c r="L59" s="692"/>
      <c r="M59" s="692"/>
      <c r="N59" s="692"/>
      <c r="O59" s="692"/>
    </row>
    <row r="60" spans="1:15">
      <c r="A60" s="615" t="str">
        <f>'Impact on poverty'!A96</f>
        <v>Decile 2</v>
      </c>
      <c r="B60" s="692" t="e">
        <f>IF(ISNUMBER(B$6),IF((ABS('current res.'!B56/'comparison base'!B56-1)&gt;0.0001),'current res.'!B56/'comparison base'!B56-1,""),"")</f>
        <v>#VALUE!</v>
      </c>
      <c r="C60" s="692" t="e">
        <f>IF(ISNUMBER(C$6),IF((ABS('current res.'!C56/'comparison base'!C56-1)&gt;0.0001),'current res.'!C56/'comparison base'!C56-1,""),"")</f>
        <v>#VALUE!</v>
      </c>
      <c r="D60" s="692" t="e">
        <f>IF(ISNUMBER(D$6),IF((ABS('current res.'!D56/'comparison base'!D56-1)&gt;0.0001),'current res.'!D56/'comparison base'!D56-1,""),"")</f>
        <v>#VALUE!</v>
      </c>
      <c r="E60" s="692" t="e">
        <f>IF(ISNUMBER(E$6),IF((ABS('current res.'!E56/'comparison base'!E56-1)&gt;0.0001),'current res.'!E56/'comparison base'!E56-1,""),"")</f>
        <v>#VALUE!</v>
      </c>
      <c r="F60" s="692"/>
      <c r="G60" s="692"/>
      <c r="H60" s="692"/>
      <c r="I60" s="692"/>
      <c r="J60" s="692"/>
      <c r="K60" s="692"/>
      <c r="L60" s="692"/>
      <c r="M60" s="692"/>
      <c r="N60" s="692"/>
      <c r="O60" s="692"/>
    </row>
    <row r="61" spans="1:15">
      <c r="A61" s="615" t="str">
        <f>'Impact on poverty'!A97</f>
        <v>Decile 3</v>
      </c>
      <c r="B61" s="692" t="e">
        <f>IF(ISNUMBER(B$6),IF((ABS('current res.'!B57/'comparison base'!B57-1)&gt;0.0001),'current res.'!B57/'comparison base'!B57-1,""),"")</f>
        <v>#VALUE!</v>
      </c>
      <c r="C61" s="692" t="e">
        <f>IF(ISNUMBER(C$6),IF((ABS('current res.'!C57/'comparison base'!C57-1)&gt;0.0001),'current res.'!C57/'comparison base'!C57-1,""),"")</f>
        <v>#VALUE!</v>
      </c>
      <c r="D61" s="692" t="e">
        <f>IF(ISNUMBER(D$6),IF((ABS('current res.'!D57/'comparison base'!D57-1)&gt;0.0001),'current res.'!D57/'comparison base'!D57-1,""),"")</f>
        <v>#VALUE!</v>
      </c>
      <c r="E61" s="692" t="e">
        <f>IF(ISNUMBER(E$6),IF((ABS('current res.'!E57/'comparison base'!E57-1)&gt;0.0001),'current res.'!E57/'comparison base'!E57-1,""),"")</f>
        <v>#VALUE!</v>
      </c>
      <c r="F61" s="692"/>
      <c r="G61" s="692"/>
      <c r="H61" s="692"/>
      <c r="I61" s="692"/>
      <c r="J61" s="692"/>
      <c r="K61" s="692"/>
      <c r="L61" s="692"/>
      <c r="M61" s="692"/>
      <c r="N61" s="692"/>
      <c r="O61" s="692"/>
    </row>
    <row r="62" spans="1:15">
      <c r="A62" s="615" t="str">
        <f>'Impact on poverty'!A98</f>
        <v>Decile 4</v>
      </c>
      <c r="B62" s="692" t="e">
        <f>IF(ISNUMBER(B$6),IF((ABS('current res.'!B58/'comparison base'!B58-1)&gt;0.0001),'current res.'!B58/'comparison base'!B58-1,""),"")</f>
        <v>#VALUE!</v>
      </c>
      <c r="C62" s="692" t="e">
        <f>IF(ISNUMBER(C$6),IF((ABS('current res.'!C58/'comparison base'!C58-1)&gt;0.0001),'current res.'!C58/'comparison base'!C58-1,""),"")</f>
        <v>#VALUE!</v>
      </c>
      <c r="D62" s="692" t="e">
        <f>IF(ISNUMBER(D$6),IF((ABS('current res.'!D58/'comparison base'!D58-1)&gt;0.0001),'current res.'!D58/'comparison base'!D58-1,""),"")</f>
        <v>#VALUE!</v>
      </c>
      <c r="E62" s="692" t="e">
        <f>IF(ISNUMBER(E$6),IF((ABS('current res.'!E58/'comparison base'!E58-1)&gt;0.0001),'current res.'!E58/'comparison base'!E58-1,""),"")</f>
        <v>#VALUE!</v>
      </c>
      <c r="F62" s="692"/>
      <c r="G62" s="692"/>
      <c r="H62" s="692"/>
      <c r="I62" s="692"/>
      <c r="J62" s="692"/>
      <c r="K62" s="692"/>
      <c r="L62" s="692"/>
      <c r="M62" s="692"/>
      <c r="N62" s="692"/>
      <c r="O62" s="692"/>
    </row>
    <row r="63" spans="1:15">
      <c r="A63" s="615" t="str">
        <f>'Impact on poverty'!A99</f>
        <v>Decile 5</v>
      </c>
      <c r="B63" s="692" t="e">
        <f>IF(ISNUMBER(B$6),IF((ABS('current res.'!B59/'comparison base'!B59-1)&gt;0.0001),'current res.'!B59/'comparison base'!B59-1,""),"")</f>
        <v>#VALUE!</v>
      </c>
      <c r="C63" s="692" t="e">
        <f>IF(ISNUMBER(C$6),IF((ABS('current res.'!C59/'comparison base'!C59-1)&gt;0.0001),'current res.'!C59/'comparison base'!C59-1,""),"")</f>
        <v>#VALUE!</v>
      </c>
      <c r="D63" s="692" t="e">
        <f>IF(ISNUMBER(D$6),IF((ABS('current res.'!D59/'comparison base'!D59-1)&gt;0.0001),'current res.'!D59/'comparison base'!D59-1,""),"")</f>
        <v>#VALUE!</v>
      </c>
      <c r="E63" s="692" t="e">
        <f>IF(ISNUMBER(E$6),IF((ABS('current res.'!E59/'comparison base'!E59-1)&gt;0.0001),'current res.'!E59/'comparison base'!E59-1,""),"")</f>
        <v>#VALUE!</v>
      </c>
      <c r="F63" s="692"/>
      <c r="G63" s="692"/>
      <c r="H63" s="692"/>
      <c r="I63" s="692"/>
      <c r="J63" s="692"/>
      <c r="K63" s="692"/>
      <c r="L63" s="692"/>
      <c r="M63" s="692"/>
      <c r="N63" s="692"/>
      <c r="O63" s="692"/>
    </row>
    <row r="64" spans="1:15">
      <c r="A64" s="615" t="str">
        <f>'Impact on poverty'!A100</f>
        <v>Decile 6</v>
      </c>
      <c r="B64" s="692" t="e">
        <f>IF(ISNUMBER(B$6),IF((ABS('current res.'!B60/'comparison base'!B60-1)&gt;0.0001),'current res.'!B60/'comparison base'!B60-1,""),"")</f>
        <v>#VALUE!</v>
      </c>
      <c r="C64" s="692" t="e">
        <f>IF(ISNUMBER(C$6),IF((ABS('current res.'!C60/'comparison base'!C60-1)&gt;0.0001),'current res.'!C60/'comparison base'!C60-1,""),"")</f>
        <v>#VALUE!</v>
      </c>
      <c r="D64" s="692" t="e">
        <f>IF(ISNUMBER(D$6),IF((ABS('current res.'!D60/'comparison base'!D60-1)&gt;0.0001),'current res.'!D60/'comparison base'!D60-1,""),"")</f>
        <v>#VALUE!</v>
      </c>
      <c r="E64" s="692" t="e">
        <f>IF(ISNUMBER(E$6),IF((ABS('current res.'!E60/'comparison base'!E60-1)&gt;0.0001),'current res.'!E60/'comparison base'!E60-1,""),"")</f>
        <v>#VALUE!</v>
      </c>
      <c r="F64" s="692"/>
      <c r="G64" s="692"/>
      <c r="H64" s="692"/>
      <c r="I64" s="692"/>
      <c r="J64" s="692"/>
      <c r="K64" s="692"/>
      <c r="L64" s="692"/>
      <c r="M64" s="692"/>
      <c r="N64" s="692"/>
      <c r="O64" s="692"/>
    </row>
    <row r="65" spans="1:15">
      <c r="A65" s="615" t="str">
        <f>'Impact on poverty'!A101</f>
        <v>Decile 7</v>
      </c>
      <c r="B65" s="692" t="e">
        <f>IF(ISNUMBER(B$6),IF((ABS('current res.'!B61/'comparison base'!B61-1)&gt;0.0001),'current res.'!B61/'comparison base'!B61-1,""),"")</f>
        <v>#VALUE!</v>
      </c>
      <c r="C65" s="692" t="e">
        <f>IF(ISNUMBER(C$6),IF((ABS('current res.'!C61/'comparison base'!C61-1)&gt;0.0001),'current res.'!C61/'comparison base'!C61-1,""),"")</f>
        <v>#VALUE!</v>
      </c>
      <c r="D65" s="692" t="e">
        <f>IF(ISNUMBER(D$6),IF((ABS('current res.'!D61/'comparison base'!D61-1)&gt;0.0001),'current res.'!D61/'comparison base'!D61-1,""),"")</f>
        <v>#VALUE!</v>
      </c>
      <c r="E65" s="692" t="e">
        <f>IF(ISNUMBER(E$6),IF((ABS('current res.'!E61/'comparison base'!E61-1)&gt;0.0001),'current res.'!E61/'comparison base'!E61-1,""),"")</f>
        <v>#VALUE!</v>
      </c>
      <c r="F65" s="692"/>
      <c r="G65" s="692"/>
      <c r="H65" s="692"/>
      <c r="I65" s="692"/>
      <c r="J65" s="692"/>
      <c r="K65" s="692"/>
      <c r="L65" s="692"/>
      <c r="M65" s="692"/>
      <c r="N65" s="692"/>
      <c r="O65" s="692"/>
    </row>
    <row r="66" spans="1:15">
      <c r="A66" s="615" t="str">
        <f>'Impact on poverty'!A102</f>
        <v>Decile 8</v>
      </c>
      <c r="B66" s="692" t="e">
        <f>IF(ISNUMBER(B$6),IF((ABS('current res.'!B62/'comparison base'!B62-1)&gt;0.0001),'current res.'!B62/'comparison base'!B62-1,""),"")</f>
        <v>#VALUE!</v>
      </c>
      <c r="C66" s="692" t="e">
        <f>IF(ISNUMBER(C$6),IF((ABS('current res.'!C62/'comparison base'!C62-1)&gt;0.0001),'current res.'!C62/'comparison base'!C62-1,""),"")</f>
        <v>#VALUE!</v>
      </c>
      <c r="D66" s="692" t="e">
        <f>IF(ISNUMBER(D$6),IF((ABS('current res.'!D62/'comparison base'!D62-1)&gt;0.0001),'current res.'!D62/'comparison base'!D62-1,""),"")</f>
        <v>#VALUE!</v>
      </c>
      <c r="E66" s="692" t="e">
        <f>IF(ISNUMBER(E$6),IF((ABS('current res.'!E62/'comparison base'!E62-1)&gt;0.0001),'current res.'!E62/'comparison base'!E62-1,""),"")</f>
        <v>#VALUE!</v>
      </c>
      <c r="F66" s="692"/>
      <c r="G66" s="692"/>
      <c r="H66" s="692"/>
      <c r="I66" s="692"/>
      <c r="J66" s="692"/>
      <c r="K66" s="692"/>
      <c r="L66" s="692"/>
      <c r="M66" s="692"/>
      <c r="N66" s="692"/>
      <c r="O66" s="692"/>
    </row>
    <row r="67" spans="1:15">
      <c r="A67" s="615" t="str">
        <f>'Impact on poverty'!A103</f>
        <v>Decile 9</v>
      </c>
      <c r="B67" s="692" t="e">
        <f>IF(ISNUMBER(B$6),IF((ABS('current res.'!B63/'comparison base'!B63-1)&gt;0.0001),'current res.'!B63/'comparison base'!B63-1,""),"")</f>
        <v>#VALUE!</v>
      </c>
      <c r="C67" s="692" t="e">
        <f>IF(ISNUMBER(C$6),IF((ABS('current res.'!C63/'comparison base'!C63-1)&gt;0.0001),'current res.'!C63/'comparison base'!C63-1,""),"")</f>
        <v>#VALUE!</v>
      </c>
      <c r="D67" s="692" t="e">
        <f>IF(ISNUMBER(D$6),IF((ABS('current res.'!D63/'comparison base'!D63-1)&gt;0.0001),'current res.'!D63/'comparison base'!D63-1,""),"")</f>
        <v>#VALUE!</v>
      </c>
      <c r="E67" s="692" t="e">
        <f>IF(ISNUMBER(E$6),IF((ABS('current res.'!E63/'comparison base'!E63-1)&gt;0.0001),'current res.'!E63/'comparison base'!E63-1,""),"")</f>
        <v>#VALUE!</v>
      </c>
      <c r="F67" s="692"/>
      <c r="G67" s="692"/>
      <c r="H67" s="692"/>
      <c r="I67" s="692"/>
      <c r="J67" s="692"/>
      <c r="K67" s="692"/>
      <c r="L67" s="692"/>
      <c r="M67" s="692"/>
      <c r="N67" s="692"/>
      <c r="O67" s="692"/>
    </row>
    <row r="68" spans="1:15">
      <c r="A68" s="615" t="str">
        <f>'Impact on poverty'!A104</f>
        <v>Decile 10</v>
      </c>
      <c r="B68" s="692" t="e">
        <f>IF(ISNUMBER(B$6),IF((ABS('current res.'!B64/'comparison base'!B64-1)&gt;0.0001),'current res.'!B64/'comparison base'!B64-1,""),"")</f>
        <v>#VALUE!</v>
      </c>
      <c r="C68" s="692" t="e">
        <f>IF(ISNUMBER(C$6),IF((ABS('current res.'!C64/'comparison base'!C64-1)&gt;0.0001),'current res.'!C64/'comparison base'!C64-1,""),"")</f>
        <v>#VALUE!</v>
      </c>
      <c r="D68" s="692" t="e">
        <f>IF(ISNUMBER(D$6),IF((ABS('current res.'!D64/'comparison base'!D64-1)&gt;0.0001),'current res.'!D64/'comparison base'!D64-1,""),"")</f>
        <v>#VALUE!</v>
      </c>
      <c r="E68" s="692" t="e">
        <f>IF(ISNUMBER(E$6),IF((ABS('current res.'!E64/'comparison base'!E64-1)&gt;0.0001),'current res.'!E64/'comparison base'!E64-1,""),"")</f>
        <v>#VALUE!</v>
      </c>
      <c r="F68" s="692"/>
      <c r="G68" s="692"/>
      <c r="H68" s="692"/>
      <c r="I68" s="692"/>
      <c r="J68" s="692"/>
      <c r="K68" s="692"/>
      <c r="L68" s="692"/>
      <c r="M68" s="692"/>
      <c r="N68" s="692"/>
      <c r="O68" s="692"/>
    </row>
    <row r="69" spans="1:15">
      <c r="B69" s="692"/>
      <c r="C69" s="692"/>
      <c r="D69" s="692"/>
      <c r="E69" s="692"/>
      <c r="F69" s="692"/>
      <c r="G69" s="692"/>
      <c r="H69" s="692"/>
      <c r="I69" s="692"/>
      <c r="J69" s="692"/>
      <c r="K69" s="692"/>
      <c r="L69" s="692"/>
      <c r="M69" s="692"/>
      <c r="N69" s="692"/>
      <c r="O69" s="692"/>
    </row>
    <row r="70" spans="1:15">
      <c r="A70" s="615" t="str">
        <f>'Impact on poverty'!A106</f>
        <v>Total</v>
      </c>
      <c r="B70" s="692" t="e">
        <f>IF(ISNUMBER(B$6),IF((ABS('current res.'!B66/'comparison base'!B66-1)&gt;0.0001),'current res.'!B66/'comparison base'!B66-1,""),"")</f>
        <v>#VALUE!</v>
      </c>
      <c r="C70" s="692" t="e">
        <f>IF(ISNUMBER(C$6),IF((ABS('current res.'!C66/'comparison base'!C66-1)&gt;0.0001),'current res.'!C66/'comparison base'!C66-1,""),"")</f>
        <v>#VALUE!</v>
      </c>
      <c r="D70" s="692" t="e">
        <f>IF(ISNUMBER(D$6),IF((ABS('current res.'!D66/'comparison base'!D66-1)&gt;0.0001),'current res.'!D66/'comparison base'!D66-1,""),"")</f>
        <v>#VALUE!</v>
      </c>
      <c r="E70" s="692" t="e">
        <f>IF(ISNUMBER(E$6),IF((ABS('current res.'!E66/'comparison base'!E66-1)&gt;0.0001),'current res.'!E66/'comparison base'!E66-1,""),"")</f>
        <v>#VALUE!</v>
      </c>
      <c r="F70" s="692"/>
      <c r="G70" s="692"/>
      <c r="H70" s="692"/>
      <c r="I70" s="692"/>
      <c r="J70" s="692"/>
      <c r="K70" s="692"/>
      <c r="L70" s="692"/>
      <c r="M70" s="692"/>
      <c r="N70" s="692"/>
      <c r="O70" s="692"/>
    </row>
    <row r="71" spans="1:15">
      <c r="B71" s="692"/>
      <c r="C71" s="692"/>
      <c r="D71" s="692"/>
      <c r="E71" s="692"/>
      <c r="F71" s="692"/>
      <c r="G71" s="692"/>
      <c r="H71" s="692"/>
      <c r="I71" s="692"/>
      <c r="J71" s="692"/>
      <c r="K71" s="692"/>
      <c r="L71" s="692"/>
      <c r="M71" s="692"/>
      <c r="N71" s="692"/>
      <c r="O71" s="692"/>
    </row>
    <row r="72" spans="1:15">
      <c r="A72" s="615" t="str">
        <f>'Impact on poverty'!A135</f>
        <v>GINI coefficient (exp)</v>
      </c>
      <c r="B72" s="692"/>
      <c r="C72" s="692"/>
      <c r="D72" s="692"/>
      <c r="E72" s="692"/>
      <c r="F72" s="692"/>
      <c r="G72" s="692"/>
      <c r="H72" s="692"/>
      <c r="I72" s="692"/>
      <c r="J72" s="692"/>
      <c r="K72" s="692"/>
      <c r="L72" s="692"/>
      <c r="M72" s="692"/>
      <c r="N72" s="692"/>
      <c r="O72" s="692"/>
    </row>
    <row r="73" spans="1:15">
      <c r="B73" s="692"/>
      <c r="C73" s="692"/>
      <c r="D73" s="692"/>
      <c r="E73" s="692"/>
      <c r="F73" s="692"/>
      <c r="G73" s="692"/>
      <c r="H73" s="692"/>
      <c r="I73" s="692"/>
      <c r="J73" s="692"/>
      <c r="K73" s="692"/>
      <c r="L73" s="692"/>
      <c r="M73" s="692"/>
      <c r="N73" s="692"/>
      <c r="O73" s="692"/>
    </row>
    <row r="74" spans="1:15">
      <c r="B74" s="692"/>
      <c r="C74" s="692"/>
      <c r="D74" s="692"/>
      <c r="E74" s="692"/>
      <c r="F74" s="692"/>
      <c r="G74" s="692"/>
      <c r="H74" s="692"/>
      <c r="I74" s="692"/>
      <c r="J74" s="692"/>
      <c r="K74" s="692"/>
      <c r="L74" s="692"/>
      <c r="M74" s="692"/>
      <c r="N74" s="692"/>
      <c r="O74" s="692"/>
    </row>
    <row r="75" spans="1:15" s="693" customFormat="1">
      <c r="B75" s="692"/>
      <c r="C75" s="692"/>
      <c r="D75" s="692"/>
      <c r="E75" s="692"/>
      <c r="F75" s="692"/>
      <c r="G75" s="692"/>
      <c r="H75" s="692"/>
      <c r="I75" s="692"/>
      <c r="J75" s="692"/>
      <c r="K75" s="692"/>
      <c r="L75" s="692"/>
      <c r="M75" s="692"/>
      <c r="N75" s="692"/>
      <c r="O75" s="692"/>
    </row>
    <row r="76" spans="1:15">
      <c r="B76" s="692"/>
      <c r="C76" s="692"/>
      <c r="D76" s="692"/>
      <c r="E76" s="692"/>
      <c r="F76" s="692"/>
      <c r="G76" s="692"/>
      <c r="H76" s="692"/>
      <c r="I76" s="692"/>
      <c r="J76" s="692"/>
      <c r="K76" s="692"/>
      <c r="L76" s="692"/>
      <c r="M76" s="692"/>
      <c r="N76" s="692"/>
      <c r="O76" s="692"/>
    </row>
    <row r="77" spans="1:15">
      <c r="B77" s="692"/>
      <c r="C77" s="692"/>
      <c r="D77" s="692"/>
      <c r="E77" s="692"/>
      <c r="F77" s="692"/>
      <c r="G77" s="692"/>
      <c r="H77" s="692"/>
      <c r="I77" s="692"/>
      <c r="J77" s="692"/>
      <c r="K77" s="692"/>
      <c r="L77" s="692"/>
      <c r="M77" s="692"/>
      <c r="N77" s="692"/>
      <c r="O77" s="692"/>
    </row>
    <row r="78" spans="1:15">
      <c r="B78" s="692"/>
      <c r="C78" s="692"/>
      <c r="D78" s="692"/>
      <c r="E78" s="692"/>
      <c r="F78" s="692"/>
      <c r="G78" s="692"/>
      <c r="H78" s="692"/>
      <c r="I78" s="692"/>
      <c r="J78" s="692"/>
      <c r="K78" s="692"/>
      <c r="L78" s="692"/>
      <c r="M78" s="692"/>
      <c r="N78" s="692"/>
      <c r="O78" s="692"/>
    </row>
    <row r="79" spans="1:15">
      <c r="B79" s="692"/>
      <c r="C79" s="692"/>
      <c r="D79" s="692"/>
      <c r="E79" s="692"/>
      <c r="F79" s="692"/>
      <c r="G79" s="692"/>
      <c r="H79" s="692"/>
      <c r="I79" s="692"/>
      <c r="J79" s="692"/>
      <c r="K79" s="692"/>
      <c r="L79" s="692"/>
      <c r="M79" s="692"/>
      <c r="N79" s="692"/>
      <c r="O79" s="692"/>
    </row>
    <row r="80" spans="1:15">
      <c r="B80" s="692"/>
      <c r="C80" s="692"/>
      <c r="D80" s="692"/>
      <c r="E80" s="692"/>
      <c r="F80" s="692"/>
      <c r="G80" s="692"/>
      <c r="H80" s="692"/>
      <c r="I80" s="692"/>
      <c r="J80" s="692"/>
      <c r="K80" s="692"/>
      <c r="L80" s="692"/>
      <c r="M80" s="692"/>
      <c r="N80" s="692"/>
      <c r="O80" s="692"/>
    </row>
    <row r="81" spans="2:15">
      <c r="B81" s="692"/>
      <c r="C81" s="692"/>
      <c r="D81" s="692"/>
      <c r="E81" s="692"/>
      <c r="F81" s="692"/>
      <c r="G81" s="692"/>
      <c r="H81" s="692"/>
      <c r="I81" s="692"/>
      <c r="J81" s="692"/>
      <c r="K81" s="692"/>
      <c r="L81" s="692"/>
      <c r="M81" s="692"/>
      <c r="N81" s="692"/>
      <c r="O81" s="692"/>
    </row>
    <row r="82" spans="2:15">
      <c r="B82" s="692"/>
      <c r="C82" s="692"/>
      <c r="D82" s="692"/>
      <c r="E82" s="692"/>
      <c r="F82" s="692"/>
      <c r="G82" s="692"/>
      <c r="H82" s="692"/>
      <c r="I82" s="692"/>
      <c r="J82" s="692"/>
      <c r="K82" s="692"/>
      <c r="L82" s="692"/>
      <c r="M82" s="692"/>
      <c r="N82" s="692"/>
      <c r="O82" s="692"/>
    </row>
    <row r="83" spans="2:15">
      <c r="B83" s="692"/>
      <c r="C83" s="692"/>
      <c r="D83" s="692"/>
      <c r="E83" s="692"/>
      <c r="F83" s="692"/>
      <c r="G83" s="692"/>
      <c r="H83" s="692"/>
      <c r="I83" s="692"/>
      <c r="J83" s="692"/>
      <c r="K83" s="692"/>
      <c r="L83" s="692"/>
      <c r="M83" s="692"/>
      <c r="N83" s="692"/>
      <c r="O83" s="692"/>
    </row>
    <row r="84" spans="2:15">
      <c r="B84" s="692"/>
      <c r="C84" s="692"/>
      <c r="D84" s="692"/>
      <c r="E84" s="692"/>
      <c r="F84" s="692"/>
      <c r="G84" s="692"/>
      <c r="H84" s="692"/>
      <c r="I84" s="692"/>
      <c r="J84" s="692"/>
      <c r="K84" s="692"/>
      <c r="L84" s="692"/>
      <c r="M84" s="692"/>
      <c r="N84" s="692"/>
      <c r="O84" s="692"/>
    </row>
    <row r="85" spans="2:15">
      <c r="B85" s="692"/>
      <c r="C85" s="692"/>
      <c r="D85" s="692"/>
      <c r="E85" s="692"/>
      <c r="F85" s="692"/>
      <c r="G85" s="692"/>
      <c r="H85" s="692"/>
      <c r="I85" s="692"/>
      <c r="J85" s="692"/>
      <c r="K85" s="692"/>
      <c r="L85" s="692"/>
      <c r="M85" s="692"/>
      <c r="N85" s="692"/>
      <c r="O85" s="692"/>
    </row>
    <row r="86" spans="2:15">
      <c r="B86" s="692"/>
      <c r="C86" s="692"/>
      <c r="D86" s="692"/>
      <c r="E86" s="692"/>
      <c r="F86" s="692"/>
      <c r="G86" s="692"/>
      <c r="H86" s="692"/>
      <c r="I86" s="692"/>
      <c r="J86" s="692"/>
      <c r="K86" s="692"/>
      <c r="L86" s="692"/>
      <c r="M86" s="692"/>
      <c r="N86" s="692"/>
      <c r="O86" s="692"/>
    </row>
    <row r="87" spans="2:15">
      <c r="B87" s="692"/>
      <c r="C87" s="692"/>
      <c r="D87" s="692"/>
      <c r="E87" s="692"/>
      <c r="F87" s="692"/>
      <c r="G87" s="692"/>
      <c r="H87" s="692"/>
      <c r="I87" s="692"/>
      <c r="J87" s="692"/>
      <c r="K87" s="692"/>
      <c r="L87" s="692"/>
      <c r="M87" s="692"/>
      <c r="N87" s="692"/>
      <c r="O87" s="692"/>
    </row>
    <row r="88" spans="2:15">
      <c r="B88" s="692"/>
      <c r="C88" s="692"/>
      <c r="D88" s="692"/>
      <c r="E88" s="692"/>
      <c r="F88" s="692"/>
      <c r="G88" s="692"/>
      <c r="H88" s="692"/>
      <c r="I88" s="692"/>
      <c r="J88" s="692"/>
      <c r="K88" s="692"/>
      <c r="L88" s="692"/>
      <c r="M88" s="692"/>
      <c r="N88" s="692"/>
      <c r="O88" s="692"/>
    </row>
    <row r="89" spans="2:15">
      <c r="B89" s="692"/>
      <c r="C89" s="692"/>
      <c r="D89" s="692"/>
      <c r="E89" s="692"/>
      <c r="F89" s="692"/>
      <c r="G89" s="692"/>
      <c r="H89" s="692"/>
      <c r="I89" s="692"/>
      <c r="J89" s="692"/>
      <c r="K89" s="692"/>
      <c r="L89" s="692"/>
      <c r="M89" s="692"/>
      <c r="N89" s="692"/>
      <c r="O89" s="692"/>
    </row>
    <row r="90" spans="2:15">
      <c r="B90" s="692"/>
      <c r="C90" s="692"/>
      <c r="D90" s="692"/>
      <c r="E90" s="692"/>
      <c r="F90" s="692"/>
      <c r="G90" s="692"/>
      <c r="H90" s="692"/>
      <c r="I90" s="692"/>
      <c r="J90" s="692"/>
      <c r="K90" s="692"/>
      <c r="L90" s="692"/>
      <c r="M90" s="692"/>
      <c r="N90" s="692"/>
      <c r="O90" s="692"/>
    </row>
    <row r="91" spans="2:15">
      <c r="B91" s="692"/>
      <c r="C91" s="692"/>
      <c r="D91" s="692"/>
      <c r="E91" s="692"/>
      <c r="F91" s="692"/>
      <c r="G91" s="692"/>
      <c r="H91" s="692"/>
      <c r="I91" s="692"/>
      <c r="J91" s="692"/>
      <c r="K91" s="692"/>
      <c r="L91" s="692"/>
      <c r="M91" s="692"/>
      <c r="N91" s="692"/>
      <c r="O91" s="692"/>
    </row>
    <row r="92" spans="2:15">
      <c r="B92" s="692"/>
      <c r="C92" s="692"/>
      <c r="D92" s="692"/>
      <c r="E92" s="692"/>
      <c r="F92" s="692"/>
      <c r="G92" s="692"/>
      <c r="H92" s="692"/>
      <c r="I92" s="692"/>
      <c r="J92" s="692"/>
      <c r="K92" s="692"/>
      <c r="L92" s="692"/>
      <c r="M92" s="692"/>
      <c r="N92" s="692"/>
      <c r="O92" s="692"/>
    </row>
    <row r="93" spans="2:15">
      <c r="B93" s="692"/>
      <c r="C93" s="692"/>
      <c r="D93" s="692"/>
      <c r="E93" s="692"/>
      <c r="F93" s="692"/>
      <c r="G93" s="692"/>
      <c r="H93" s="692"/>
      <c r="I93" s="692"/>
      <c r="J93" s="692"/>
      <c r="K93" s="692"/>
      <c r="L93" s="692"/>
      <c r="M93" s="692"/>
      <c r="N93" s="692"/>
      <c r="O93" s="692"/>
    </row>
    <row r="94" spans="2:15">
      <c r="B94" s="692"/>
      <c r="C94" s="692"/>
      <c r="D94" s="692"/>
      <c r="E94" s="692"/>
      <c r="F94" s="692"/>
      <c r="G94" s="692"/>
      <c r="H94" s="692"/>
      <c r="I94" s="692"/>
      <c r="J94" s="692"/>
      <c r="K94" s="692"/>
      <c r="L94" s="692"/>
      <c r="M94" s="692"/>
      <c r="N94" s="692"/>
      <c r="O94" s="692"/>
    </row>
    <row r="95" spans="2:15">
      <c r="B95" s="692"/>
      <c r="C95" s="692"/>
      <c r="D95" s="692"/>
      <c r="E95" s="692"/>
      <c r="F95" s="692"/>
      <c r="G95" s="692"/>
      <c r="H95" s="692"/>
      <c r="I95" s="692"/>
      <c r="J95" s="692"/>
      <c r="K95" s="692"/>
      <c r="L95" s="692"/>
      <c r="M95" s="692"/>
      <c r="N95" s="692"/>
      <c r="O95" s="692"/>
    </row>
    <row r="96" spans="2:15">
      <c r="B96" s="692"/>
      <c r="C96" s="692"/>
      <c r="D96" s="692"/>
      <c r="E96" s="692"/>
      <c r="F96" s="692"/>
      <c r="G96" s="692"/>
      <c r="H96" s="692"/>
      <c r="I96" s="692"/>
      <c r="J96" s="692"/>
      <c r="K96" s="692"/>
      <c r="L96" s="692"/>
      <c r="M96" s="692"/>
      <c r="N96" s="692"/>
      <c r="O96" s="692"/>
    </row>
    <row r="97" spans="2:15">
      <c r="B97" s="692"/>
      <c r="C97" s="692"/>
      <c r="D97" s="692"/>
      <c r="E97" s="692"/>
      <c r="F97" s="692"/>
      <c r="G97" s="692"/>
      <c r="H97" s="692"/>
      <c r="I97" s="692"/>
      <c r="J97" s="692"/>
      <c r="K97" s="692"/>
      <c r="L97" s="692"/>
      <c r="M97" s="692"/>
      <c r="N97" s="692"/>
      <c r="O97" s="692"/>
    </row>
    <row r="98" spans="2:15">
      <c r="B98" s="692"/>
      <c r="C98" s="692"/>
      <c r="D98" s="692"/>
      <c r="E98" s="692"/>
      <c r="F98" s="692"/>
      <c r="G98" s="692"/>
      <c r="H98" s="692"/>
      <c r="I98" s="692"/>
      <c r="J98" s="692"/>
      <c r="K98" s="692"/>
      <c r="L98" s="692"/>
      <c r="M98" s="692"/>
      <c r="N98" s="692"/>
      <c r="O98" s="692"/>
    </row>
    <row r="99" spans="2:15">
      <c r="B99" s="692"/>
      <c r="C99" s="692"/>
      <c r="D99" s="692"/>
      <c r="E99" s="692"/>
      <c r="F99" s="692"/>
      <c r="G99" s="692"/>
      <c r="H99" s="692"/>
      <c r="I99" s="692"/>
      <c r="J99" s="692"/>
      <c r="K99" s="692"/>
      <c r="L99" s="692"/>
      <c r="M99" s="692"/>
      <c r="N99" s="692"/>
      <c r="O99" s="692"/>
    </row>
    <row r="100" spans="2:15">
      <c r="B100" s="692"/>
      <c r="C100" s="692"/>
      <c r="D100" s="692"/>
      <c r="E100" s="692"/>
      <c r="F100" s="692"/>
      <c r="G100" s="692"/>
      <c r="H100" s="692"/>
      <c r="I100" s="692"/>
      <c r="J100" s="692"/>
      <c r="K100" s="692"/>
      <c r="L100" s="692"/>
      <c r="M100" s="692"/>
      <c r="N100" s="692"/>
      <c r="O100" s="692"/>
    </row>
    <row r="101" spans="2:15">
      <c r="B101" s="692"/>
      <c r="C101" s="692"/>
      <c r="D101" s="692"/>
      <c r="E101" s="692"/>
      <c r="F101" s="692"/>
      <c r="G101" s="692"/>
      <c r="H101" s="692"/>
      <c r="I101" s="692"/>
      <c r="J101" s="692"/>
      <c r="K101" s="692"/>
      <c r="L101" s="692"/>
      <c r="M101" s="692"/>
      <c r="N101" s="692"/>
      <c r="O101" s="692"/>
    </row>
    <row r="102" spans="2:15">
      <c r="B102" s="692"/>
      <c r="C102" s="692"/>
      <c r="D102" s="692"/>
      <c r="E102" s="692"/>
      <c r="F102" s="692"/>
      <c r="G102" s="692"/>
      <c r="H102" s="692"/>
      <c r="I102" s="692"/>
      <c r="J102" s="692"/>
      <c r="K102" s="692"/>
      <c r="L102" s="692"/>
      <c r="M102" s="692"/>
      <c r="N102" s="692"/>
      <c r="O102" s="692"/>
    </row>
    <row r="103" spans="2:15">
      <c r="B103" s="692"/>
      <c r="C103" s="692"/>
      <c r="D103" s="692"/>
      <c r="E103" s="692"/>
      <c r="F103" s="692"/>
      <c r="G103" s="692"/>
      <c r="H103" s="692"/>
      <c r="I103" s="692"/>
      <c r="J103" s="692"/>
      <c r="K103" s="692"/>
      <c r="L103" s="692"/>
      <c r="M103" s="692"/>
      <c r="N103" s="692"/>
      <c r="O103" s="692"/>
    </row>
    <row r="104" spans="2:15">
      <c r="B104" s="692"/>
      <c r="C104" s="692"/>
      <c r="D104" s="692"/>
      <c r="E104" s="692"/>
      <c r="F104" s="692"/>
      <c r="G104" s="692"/>
      <c r="H104" s="692"/>
      <c r="I104" s="692"/>
      <c r="J104" s="692"/>
      <c r="K104" s="692"/>
      <c r="L104" s="692"/>
      <c r="M104" s="692"/>
      <c r="N104" s="692"/>
      <c r="O104" s="692"/>
    </row>
    <row r="105" spans="2:15">
      <c r="B105" s="692"/>
      <c r="C105" s="692"/>
      <c r="D105" s="692"/>
      <c r="E105" s="692"/>
      <c r="F105" s="692"/>
      <c r="G105" s="692"/>
      <c r="H105" s="692"/>
      <c r="I105" s="692"/>
      <c r="J105" s="692"/>
      <c r="K105" s="692"/>
      <c r="L105" s="692"/>
      <c r="M105" s="692"/>
      <c r="N105" s="692"/>
      <c r="O105" s="692"/>
    </row>
    <row r="106" spans="2:15">
      <c r="B106" s="692"/>
      <c r="C106" s="692"/>
      <c r="D106" s="692"/>
      <c r="E106" s="692"/>
      <c r="F106" s="692"/>
      <c r="G106" s="692"/>
      <c r="H106" s="692"/>
      <c r="I106" s="692"/>
      <c r="J106" s="692"/>
      <c r="K106" s="692"/>
      <c r="L106" s="692"/>
      <c r="M106" s="692"/>
      <c r="N106" s="692"/>
      <c r="O106" s="692"/>
    </row>
    <row r="107" spans="2:15">
      <c r="B107" s="692"/>
      <c r="C107" s="692"/>
      <c r="D107" s="692"/>
      <c r="E107" s="692"/>
      <c r="F107" s="692"/>
      <c r="G107" s="692"/>
      <c r="H107" s="692"/>
      <c r="I107" s="692"/>
      <c r="J107" s="692"/>
      <c r="K107" s="692"/>
      <c r="L107" s="692"/>
      <c r="M107" s="692"/>
      <c r="N107" s="692"/>
      <c r="O107" s="692"/>
    </row>
    <row r="108" spans="2:15">
      <c r="B108" s="692"/>
      <c r="C108" s="692"/>
      <c r="D108" s="692"/>
      <c r="E108" s="692"/>
      <c r="F108" s="692"/>
      <c r="G108" s="692"/>
      <c r="H108" s="692"/>
      <c r="I108" s="692"/>
      <c r="J108" s="692"/>
      <c r="K108" s="692"/>
      <c r="L108" s="692"/>
      <c r="M108" s="692"/>
      <c r="N108" s="692"/>
      <c r="O108" s="692"/>
    </row>
    <row r="109" spans="2:15">
      <c r="B109" s="692"/>
      <c r="C109" s="692"/>
      <c r="D109" s="692"/>
      <c r="E109" s="692"/>
      <c r="F109" s="692"/>
      <c r="G109" s="692"/>
      <c r="H109" s="692"/>
      <c r="I109" s="692"/>
      <c r="J109" s="692"/>
      <c r="K109" s="692"/>
      <c r="L109" s="692"/>
      <c r="M109" s="692"/>
      <c r="N109" s="692"/>
      <c r="O109" s="692"/>
    </row>
    <row r="110" spans="2:15" s="693" customFormat="1">
      <c r="B110" s="692"/>
      <c r="C110" s="692"/>
      <c r="D110" s="692"/>
      <c r="E110" s="692"/>
      <c r="F110" s="692"/>
      <c r="G110" s="692"/>
      <c r="H110" s="692"/>
      <c r="I110" s="692"/>
      <c r="J110" s="692"/>
      <c r="K110" s="692"/>
      <c r="L110" s="692"/>
      <c r="M110" s="692"/>
      <c r="N110" s="692"/>
      <c r="O110" s="692"/>
    </row>
    <row r="111" spans="2:15" s="693" customFormat="1">
      <c r="B111" s="692"/>
      <c r="C111" s="692"/>
      <c r="D111" s="692"/>
      <c r="E111" s="692"/>
      <c r="F111" s="692"/>
      <c r="G111" s="692"/>
      <c r="H111" s="692"/>
      <c r="I111" s="692"/>
      <c r="J111" s="692"/>
      <c r="K111" s="692"/>
      <c r="L111" s="692"/>
      <c r="M111" s="692"/>
      <c r="N111" s="692"/>
      <c r="O111" s="692"/>
    </row>
    <row r="112" spans="2:15">
      <c r="B112" s="692"/>
      <c r="C112" s="692"/>
      <c r="D112" s="692"/>
      <c r="E112" s="692"/>
      <c r="F112" s="692"/>
      <c r="G112" s="692"/>
      <c r="H112" s="692"/>
      <c r="I112" s="692"/>
      <c r="J112" s="692"/>
      <c r="K112" s="692"/>
      <c r="L112" s="692"/>
      <c r="M112" s="692"/>
      <c r="N112" s="692"/>
      <c r="O112" s="692"/>
    </row>
    <row r="113" spans="2:15">
      <c r="B113" s="692"/>
      <c r="C113" s="692"/>
      <c r="D113" s="692"/>
      <c r="E113" s="692"/>
      <c r="F113" s="692"/>
      <c r="G113" s="692"/>
      <c r="H113" s="692"/>
      <c r="I113" s="692"/>
      <c r="J113" s="692"/>
      <c r="K113" s="692"/>
      <c r="L113" s="692"/>
      <c r="M113" s="692"/>
      <c r="N113" s="692"/>
      <c r="O113" s="692"/>
    </row>
    <row r="114" spans="2:15">
      <c r="B114" s="692"/>
      <c r="C114" s="692"/>
      <c r="D114" s="692"/>
      <c r="E114" s="692"/>
      <c r="F114" s="692"/>
      <c r="G114" s="692"/>
      <c r="H114" s="692"/>
      <c r="I114" s="692"/>
      <c r="J114" s="692"/>
      <c r="K114" s="692"/>
      <c r="L114" s="692"/>
      <c r="M114" s="692"/>
      <c r="N114" s="692"/>
      <c r="O114" s="692"/>
    </row>
    <row r="115" spans="2:15">
      <c r="B115" s="692"/>
      <c r="C115" s="692"/>
      <c r="D115" s="692"/>
      <c r="E115" s="692"/>
      <c r="F115" s="692"/>
      <c r="G115" s="692"/>
      <c r="H115" s="692"/>
      <c r="I115" s="692"/>
      <c r="J115" s="692"/>
      <c r="K115" s="692"/>
      <c r="L115" s="692"/>
      <c r="M115" s="692"/>
      <c r="N115" s="692"/>
      <c r="O115" s="692"/>
    </row>
    <row r="116" spans="2:15">
      <c r="B116" s="692"/>
      <c r="C116" s="692"/>
      <c r="D116" s="692"/>
      <c r="E116" s="692"/>
      <c r="F116" s="692"/>
      <c r="G116" s="692"/>
      <c r="H116" s="692"/>
      <c r="I116" s="692"/>
      <c r="J116" s="692"/>
      <c r="K116" s="692"/>
      <c r="L116" s="692"/>
      <c r="M116" s="692"/>
      <c r="N116" s="692"/>
      <c r="O116" s="692"/>
    </row>
    <row r="117" spans="2:15">
      <c r="B117" s="692"/>
      <c r="C117" s="692"/>
      <c r="D117" s="692"/>
      <c r="E117" s="692"/>
      <c r="F117" s="692"/>
      <c r="G117" s="692"/>
      <c r="H117" s="692"/>
      <c r="I117" s="692"/>
      <c r="J117" s="692"/>
      <c r="K117" s="692"/>
      <c r="L117" s="692"/>
      <c r="M117" s="692"/>
      <c r="N117" s="692"/>
      <c r="O117" s="692"/>
    </row>
    <row r="118" spans="2:15">
      <c r="B118" s="692"/>
      <c r="C118" s="692"/>
      <c r="D118" s="692"/>
      <c r="E118" s="692"/>
      <c r="F118" s="692"/>
      <c r="G118" s="692"/>
      <c r="H118" s="692"/>
      <c r="I118" s="692"/>
      <c r="J118" s="692"/>
      <c r="K118" s="692"/>
      <c r="L118" s="692"/>
      <c r="M118" s="692"/>
      <c r="N118" s="692"/>
      <c r="O118" s="692"/>
    </row>
    <row r="119" spans="2:15">
      <c r="B119" s="692"/>
      <c r="C119" s="692"/>
      <c r="D119" s="692"/>
      <c r="E119" s="692"/>
      <c r="F119" s="692"/>
      <c r="G119" s="692"/>
      <c r="H119" s="692"/>
      <c r="I119" s="692"/>
      <c r="J119" s="692"/>
      <c r="K119" s="692"/>
      <c r="L119" s="692"/>
      <c r="M119" s="692"/>
      <c r="N119" s="692"/>
      <c r="O119" s="692"/>
    </row>
    <row r="120" spans="2:15">
      <c r="B120" s="692"/>
      <c r="C120" s="692"/>
      <c r="D120" s="692"/>
      <c r="E120" s="692"/>
      <c r="F120" s="692"/>
      <c r="G120" s="692"/>
      <c r="H120" s="692"/>
      <c r="I120" s="692"/>
      <c r="J120" s="692"/>
      <c r="K120" s="692"/>
      <c r="L120" s="692"/>
      <c r="M120" s="692"/>
      <c r="N120" s="692"/>
      <c r="O120" s="692"/>
    </row>
    <row r="121" spans="2:15">
      <c r="B121" s="692"/>
      <c r="C121" s="692"/>
      <c r="D121" s="692"/>
      <c r="E121" s="692"/>
      <c r="F121" s="692"/>
      <c r="G121" s="692"/>
      <c r="H121" s="692"/>
      <c r="I121" s="692"/>
      <c r="J121" s="692"/>
      <c r="K121" s="692"/>
      <c r="L121" s="692"/>
      <c r="M121" s="692"/>
      <c r="N121" s="692"/>
      <c r="O121" s="692"/>
    </row>
    <row r="122" spans="2:15">
      <c r="B122" s="692"/>
      <c r="C122" s="692"/>
      <c r="D122" s="692"/>
      <c r="E122" s="692"/>
      <c r="F122" s="692"/>
      <c r="G122" s="692"/>
      <c r="H122" s="692"/>
      <c r="I122" s="692"/>
      <c r="J122" s="692"/>
      <c r="K122" s="692"/>
      <c r="L122" s="692"/>
      <c r="M122" s="692"/>
      <c r="N122" s="692"/>
      <c r="O122" s="692"/>
    </row>
    <row r="123" spans="2:15">
      <c r="B123" s="692"/>
      <c r="C123" s="692"/>
      <c r="D123" s="692"/>
      <c r="E123" s="692"/>
      <c r="F123" s="692"/>
      <c r="G123" s="692"/>
      <c r="H123" s="692"/>
      <c r="I123" s="692"/>
      <c r="J123" s="692"/>
      <c r="K123" s="692"/>
      <c r="L123" s="692"/>
      <c r="M123" s="692"/>
      <c r="N123" s="692"/>
      <c r="O123" s="692"/>
    </row>
    <row r="124" spans="2:15">
      <c r="B124" s="692"/>
      <c r="C124" s="692"/>
      <c r="D124" s="692"/>
      <c r="E124" s="692"/>
      <c r="F124" s="692"/>
      <c r="G124" s="692"/>
      <c r="H124" s="692"/>
      <c r="I124" s="692"/>
      <c r="J124" s="692"/>
      <c r="K124" s="692"/>
      <c r="L124" s="692"/>
      <c r="M124" s="692"/>
      <c r="N124" s="692"/>
      <c r="O124" s="692"/>
    </row>
    <row r="125" spans="2:15">
      <c r="B125" s="692"/>
      <c r="C125" s="692"/>
      <c r="D125" s="692"/>
      <c r="E125" s="692"/>
      <c r="F125" s="692"/>
      <c r="G125" s="692"/>
      <c r="H125" s="692"/>
      <c r="I125" s="692"/>
      <c r="J125" s="692"/>
      <c r="K125" s="692"/>
      <c r="L125" s="692"/>
      <c r="M125" s="692"/>
      <c r="N125" s="692"/>
      <c r="O125" s="692"/>
    </row>
    <row r="126" spans="2:15">
      <c r="B126" s="692"/>
      <c r="C126" s="692"/>
      <c r="D126" s="692"/>
      <c r="E126" s="692"/>
      <c r="F126" s="692"/>
      <c r="G126" s="692"/>
      <c r="H126" s="692"/>
      <c r="I126" s="692"/>
      <c r="J126" s="692"/>
      <c r="K126" s="692"/>
      <c r="L126" s="692"/>
      <c r="M126" s="692"/>
      <c r="N126" s="692"/>
      <c r="O126" s="692"/>
    </row>
    <row r="127" spans="2:15">
      <c r="B127" s="692"/>
      <c r="C127" s="692"/>
      <c r="D127" s="692"/>
      <c r="E127" s="692"/>
      <c r="F127" s="692"/>
      <c r="G127" s="692"/>
      <c r="H127" s="692"/>
      <c r="I127" s="692"/>
      <c r="J127" s="692"/>
      <c r="K127" s="692"/>
      <c r="L127" s="692"/>
      <c r="M127" s="692"/>
      <c r="N127" s="692"/>
      <c r="O127" s="692"/>
    </row>
    <row r="128" spans="2:15">
      <c r="B128" s="692"/>
      <c r="C128" s="692"/>
      <c r="D128" s="692"/>
      <c r="E128" s="692"/>
      <c r="F128" s="692"/>
      <c r="G128" s="692"/>
      <c r="H128" s="692"/>
      <c r="I128" s="692"/>
      <c r="J128" s="692"/>
      <c r="K128" s="692"/>
      <c r="L128" s="692"/>
      <c r="M128" s="692"/>
      <c r="N128" s="692"/>
      <c r="O128" s="692"/>
    </row>
    <row r="129" spans="2:15">
      <c r="B129" s="692"/>
      <c r="C129" s="692"/>
      <c r="D129" s="692"/>
      <c r="E129" s="692"/>
      <c r="F129" s="692"/>
      <c r="G129" s="692"/>
      <c r="H129" s="692"/>
      <c r="I129" s="692"/>
      <c r="J129" s="692"/>
      <c r="K129" s="692"/>
      <c r="L129" s="692"/>
      <c r="M129" s="692"/>
      <c r="N129" s="692"/>
      <c r="O129" s="692"/>
    </row>
    <row r="130" spans="2:15">
      <c r="B130" s="692"/>
      <c r="C130" s="692"/>
      <c r="D130" s="692"/>
      <c r="E130" s="692"/>
      <c r="F130" s="692"/>
      <c r="G130" s="692"/>
      <c r="H130" s="692"/>
      <c r="I130" s="692"/>
      <c r="J130" s="692"/>
      <c r="K130" s="692"/>
      <c r="L130" s="692"/>
      <c r="M130" s="692"/>
      <c r="N130" s="692"/>
      <c r="O130" s="692"/>
    </row>
    <row r="131" spans="2:15">
      <c r="B131" s="692"/>
      <c r="C131" s="692"/>
      <c r="D131" s="692"/>
      <c r="E131" s="692"/>
      <c r="F131" s="692"/>
      <c r="G131" s="692"/>
      <c r="H131" s="692"/>
      <c r="I131" s="692"/>
      <c r="J131" s="692"/>
      <c r="K131" s="692"/>
      <c r="L131" s="692"/>
      <c r="M131" s="692"/>
      <c r="N131" s="692"/>
      <c r="O131" s="692"/>
    </row>
    <row r="132" spans="2:15">
      <c r="B132" s="692"/>
      <c r="C132" s="692"/>
      <c r="D132" s="692"/>
      <c r="E132" s="692"/>
      <c r="F132" s="692"/>
      <c r="G132" s="692"/>
      <c r="H132" s="692"/>
      <c r="I132" s="692"/>
      <c r="J132" s="692"/>
      <c r="K132" s="692"/>
      <c r="L132" s="692"/>
      <c r="M132" s="692"/>
      <c r="N132" s="692"/>
      <c r="O132" s="692"/>
    </row>
    <row r="133" spans="2:15">
      <c r="B133" s="692"/>
      <c r="C133" s="692"/>
      <c r="D133" s="692"/>
      <c r="E133" s="692"/>
      <c r="F133" s="692"/>
      <c r="G133" s="692"/>
      <c r="H133" s="692"/>
      <c r="I133" s="692"/>
      <c r="J133" s="692"/>
      <c r="K133" s="692"/>
      <c r="L133" s="692"/>
      <c r="M133" s="692"/>
      <c r="N133" s="692"/>
      <c r="O133" s="692"/>
    </row>
    <row r="134" spans="2:15">
      <c r="B134" s="692"/>
      <c r="C134" s="692"/>
      <c r="D134" s="692"/>
      <c r="E134" s="692"/>
      <c r="F134" s="692"/>
      <c r="G134" s="692"/>
      <c r="H134" s="692"/>
      <c r="I134" s="692"/>
      <c r="J134" s="692"/>
      <c r="K134" s="692"/>
      <c r="L134" s="692"/>
      <c r="M134" s="692"/>
      <c r="N134" s="692"/>
      <c r="O134" s="692"/>
    </row>
    <row r="135" spans="2:15">
      <c r="B135" s="692"/>
      <c r="C135" s="692"/>
      <c r="D135" s="692"/>
      <c r="E135" s="692"/>
      <c r="F135" s="692"/>
      <c r="G135" s="692"/>
      <c r="H135" s="692"/>
      <c r="I135" s="692"/>
      <c r="J135" s="692"/>
      <c r="K135" s="692"/>
      <c r="L135" s="692"/>
      <c r="M135" s="692"/>
      <c r="N135" s="692"/>
      <c r="O135" s="692"/>
    </row>
    <row r="136" spans="2:15">
      <c r="B136" s="692"/>
      <c r="C136" s="692"/>
      <c r="D136" s="692"/>
      <c r="E136" s="692"/>
      <c r="F136" s="692"/>
      <c r="G136" s="692"/>
      <c r="H136" s="692"/>
      <c r="I136" s="692"/>
      <c r="J136" s="692"/>
      <c r="K136" s="692"/>
      <c r="L136" s="692"/>
      <c r="M136" s="692"/>
      <c r="N136" s="692"/>
      <c r="O136" s="692"/>
    </row>
    <row r="137" spans="2:15">
      <c r="B137" s="692"/>
      <c r="C137" s="692"/>
      <c r="D137" s="692"/>
      <c r="E137" s="692"/>
      <c r="F137" s="692"/>
      <c r="G137" s="692"/>
      <c r="H137" s="692"/>
      <c r="I137" s="692"/>
      <c r="J137" s="692"/>
      <c r="K137" s="692"/>
      <c r="L137" s="692"/>
      <c r="M137" s="692"/>
      <c r="N137" s="692"/>
      <c r="O137" s="692"/>
    </row>
    <row r="138" spans="2:15">
      <c r="B138" s="692"/>
      <c r="C138" s="692"/>
      <c r="D138" s="692"/>
      <c r="E138" s="692"/>
      <c r="F138" s="692"/>
      <c r="G138" s="692"/>
      <c r="H138" s="692"/>
      <c r="I138" s="692"/>
      <c r="J138" s="692"/>
      <c r="K138" s="692"/>
      <c r="L138" s="692"/>
      <c r="M138" s="692"/>
      <c r="N138" s="692"/>
      <c r="O138" s="692"/>
    </row>
    <row r="139" spans="2:15">
      <c r="B139" s="692"/>
      <c r="C139" s="692"/>
      <c r="D139" s="692"/>
      <c r="E139" s="692"/>
      <c r="F139" s="692"/>
      <c r="G139" s="692"/>
      <c r="H139" s="692"/>
      <c r="I139" s="692"/>
      <c r="J139" s="692"/>
      <c r="K139" s="692"/>
      <c r="L139" s="692"/>
      <c r="M139" s="692"/>
      <c r="N139" s="692"/>
      <c r="O139" s="692"/>
    </row>
    <row r="140" spans="2:15">
      <c r="B140" s="692"/>
      <c r="C140" s="692"/>
      <c r="D140" s="692"/>
      <c r="E140" s="692"/>
      <c r="F140" s="692"/>
      <c r="G140" s="692"/>
      <c r="H140" s="692"/>
      <c r="I140" s="692"/>
      <c r="J140" s="692"/>
      <c r="K140" s="692"/>
      <c r="L140" s="692"/>
      <c r="M140" s="692"/>
      <c r="N140" s="692"/>
      <c r="O140" s="692"/>
    </row>
    <row r="141" spans="2:15">
      <c r="B141" s="692"/>
      <c r="C141" s="692"/>
      <c r="D141" s="692"/>
      <c r="E141" s="692"/>
      <c r="F141" s="692"/>
      <c r="G141" s="692"/>
      <c r="H141" s="692"/>
      <c r="I141" s="692"/>
      <c r="J141" s="692"/>
      <c r="K141" s="692"/>
      <c r="L141" s="692"/>
      <c r="M141" s="692"/>
      <c r="N141" s="692"/>
      <c r="O141" s="692"/>
    </row>
    <row r="142" spans="2:15">
      <c r="B142" s="692"/>
      <c r="C142" s="692"/>
      <c r="D142" s="692"/>
      <c r="E142" s="692"/>
      <c r="F142" s="692"/>
      <c r="G142" s="692"/>
      <c r="H142" s="692"/>
      <c r="I142" s="692"/>
      <c r="J142" s="692"/>
      <c r="K142" s="692"/>
      <c r="L142" s="692"/>
      <c r="M142" s="692"/>
      <c r="N142" s="692"/>
      <c r="O142" s="692"/>
    </row>
    <row r="143" spans="2:15">
      <c r="B143" s="692"/>
      <c r="C143" s="692"/>
      <c r="D143" s="692"/>
      <c r="E143" s="692"/>
      <c r="F143" s="692"/>
      <c r="G143" s="692"/>
      <c r="H143" s="692"/>
      <c r="I143" s="692"/>
      <c r="J143" s="692"/>
      <c r="K143" s="692"/>
      <c r="L143" s="692"/>
      <c r="M143" s="692"/>
      <c r="N143" s="692"/>
      <c r="O143" s="692"/>
    </row>
    <row r="144" spans="2:15">
      <c r="B144" s="692"/>
      <c r="C144" s="692"/>
      <c r="D144" s="692"/>
      <c r="E144" s="692"/>
      <c r="F144" s="692"/>
      <c r="G144" s="692"/>
      <c r="H144" s="692"/>
      <c r="I144" s="692"/>
      <c r="J144" s="692"/>
      <c r="K144" s="692"/>
      <c r="L144" s="692"/>
      <c r="M144" s="692"/>
      <c r="N144" s="692"/>
      <c r="O144" s="692"/>
    </row>
    <row r="145" spans="2:15">
      <c r="B145" s="692"/>
      <c r="C145" s="692"/>
      <c r="D145" s="692"/>
      <c r="E145" s="692"/>
      <c r="F145" s="692"/>
      <c r="G145" s="692"/>
      <c r="H145" s="692"/>
      <c r="I145" s="692"/>
      <c r="J145" s="692"/>
      <c r="K145" s="692"/>
      <c r="L145" s="692"/>
      <c r="M145" s="692"/>
      <c r="N145" s="692"/>
      <c r="O145" s="692"/>
    </row>
    <row r="146" spans="2:15" s="703" customFormat="1">
      <c r="B146" s="692"/>
      <c r="C146" s="692"/>
      <c r="D146" s="692"/>
      <c r="E146" s="692"/>
      <c r="F146" s="692"/>
      <c r="G146" s="692"/>
      <c r="H146" s="692"/>
      <c r="I146" s="692"/>
      <c r="J146" s="692"/>
      <c r="K146" s="692"/>
      <c r="L146" s="692"/>
      <c r="M146" s="692"/>
      <c r="N146" s="692"/>
      <c r="O146" s="692"/>
    </row>
    <row r="147" spans="2:15" s="703" customFormat="1">
      <c r="B147" s="692"/>
      <c r="C147" s="692"/>
      <c r="D147" s="692"/>
      <c r="E147" s="692"/>
      <c r="F147" s="692"/>
      <c r="G147" s="692"/>
      <c r="H147" s="692"/>
      <c r="I147" s="692"/>
      <c r="J147" s="692"/>
      <c r="K147" s="692"/>
      <c r="L147" s="692"/>
      <c r="M147" s="692"/>
      <c r="N147" s="692"/>
      <c r="O147" s="692"/>
    </row>
    <row r="148" spans="2:15" s="703" customFormat="1">
      <c r="B148" s="692"/>
      <c r="C148" s="692"/>
      <c r="D148" s="692"/>
      <c r="E148" s="692"/>
      <c r="F148" s="692"/>
      <c r="G148" s="692"/>
      <c r="H148" s="692"/>
      <c r="I148" s="692"/>
      <c r="J148" s="692"/>
      <c r="K148" s="692"/>
      <c r="L148" s="692"/>
      <c r="M148" s="692"/>
      <c r="N148" s="692"/>
      <c r="O148" s="692"/>
    </row>
    <row r="149" spans="2:15" s="703" customFormat="1">
      <c r="B149" s="692"/>
      <c r="C149" s="692"/>
      <c r="D149" s="692"/>
      <c r="E149" s="692"/>
      <c r="F149" s="692"/>
      <c r="G149" s="692"/>
      <c r="H149" s="692"/>
      <c r="I149" s="692"/>
      <c r="J149" s="692"/>
      <c r="K149" s="692"/>
      <c r="L149" s="692"/>
      <c r="M149" s="692"/>
      <c r="N149" s="692"/>
      <c r="O149" s="692"/>
    </row>
    <row r="150" spans="2:15" s="703" customFormat="1">
      <c r="B150" s="692"/>
      <c r="C150" s="692"/>
      <c r="D150" s="692"/>
      <c r="E150" s="692"/>
      <c r="F150" s="692"/>
      <c r="G150" s="692"/>
      <c r="H150" s="692"/>
      <c r="I150" s="692"/>
      <c r="J150" s="692"/>
      <c r="K150" s="692"/>
      <c r="L150" s="692"/>
      <c r="M150" s="692"/>
      <c r="N150" s="692"/>
      <c r="O150" s="692"/>
    </row>
    <row r="151" spans="2:15" s="703" customFormat="1"/>
    <row r="152" spans="2:15" s="703" customFormat="1"/>
    <row r="153" spans="2:15" s="703" customFormat="1"/>
    <row r="154" spans="2:15" s="703" customFormat="1"/>
    <row r="155" spans="2:15" s="703" customFormat="1"/>
  </sheetData>
  <mergeCells count="1">
    <mergeCell ref="E2:F2"/>
  </mergeCells>
  <pageMargins left="0.75" right="0.3" top="1" bottom="1" header="0.5" footer="0.5"/>
  <pageSetup scale="93" orientation="portrait" horizontalDpi="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01"/>
  <dimension ref="A1:V68"/>
  <sheetViews>
    <sheetView topLeftCell="A32" zoomScale="60" workbookViewId="0">
      <selection activeCell="A68" sqref="A68"/>
    </sheetView>
  </sheetViews>
  <sheetFormatPr defaultRowHeight="12.75"/>
  <cols>
    <col min="1" max="1" width="28.140625" customWidth="1"/>
  </cols>
  <sheetData>
    <row r="1" spans="1:22" s="705" customFormat="1">
      <c r="E1" s="694"/>
    </row>
    <row r="2" spans="1:22" s="705" customFormat="1">
      <c r="A2" s="695" t="s">
        <v>1519</v>
      </c>
      <c r="B2" s="696">
        <f>IF($E$1=1,IF(OR('prev. run'!B2&gt;0,'prev. run'!B2&lt;0),'prev. run'!B2,""),IF(OR('base case'!B2&gt;0,'base case'!B2&lt;0),'base case'!B2,""))</f>
        <v>1999</v>
      </c>
      <c r="C2" s="696">
        <f>IF($E$1=1,IF(OR('prev. run'!C2&gt;0,'prev. run'!C2&lt;0),'prev. run'!C2,""),IF(OR('base case'!C2&gt;0,'base case'!C2&lt;0),'base case'!C2,""))</f>
        <v>2000</v>
      </c>
      <c r="D2" s="696">
        <f>IF($E$1=1,IF(OR('prev. run'!D2&gt;0,'prev. run'!D2&lt;0),'prev. run'!D2,""),IF(OR('base case'!D2&gt;0,'base case'!D2&lt;0),'base case'!D2,""))</f>
        <v>2001</v>
      </c>
      <c r="E2" s="696">
        <f>IF($E$1=1,IF(OR('prev. run'!E2&gt;0,'prev. run'!E2&lt;0),'prev. run'!E2,""),IF(OR('base case'!E2&gt;0,'base case'!E2&lt;0),'base case'!E2,""))</f>
        <v>2002</v>
      </c>
      <c r="F2" s="696" t="str">
        <f>IF($E$1=1,IF(OR('prev. run'!F2&gt;0,'prev. run'!F2&lt;0),'prev. run'!F2,""),IF(OR('base case'!F2&gt;0,'base case'!F2&lt;0),'base case'!F2,""))</f>
        <v/>
      </c>
      <c r="G2" s="696" t="str">
        <f>IF($E$1=1,IF(OR('prev. run'!G2&gt;0,'prev. run'!G2&lt;0),'prev. run'!G2,""),IF(OR('base case'!G2&gt;0,'base case'!G2&lt;0),'base case'!G2,""))</f>
        <v/>
      </c>
      <c r="H2" s="696" t="str">
        <f>IF($E$1=1,IF(OR('prev. run'!H2&gt;0,'prev. run'!H2&lt;0),'prev. run'!H2,""),IF(OR('base case'!H2&gt;0,'base case'!H2&lt;0),'base case'!H2,""))</f>
        <v/>
      </c>
      <c r="I2" s="696" t="str">
        <f>IF($E$1=1,IF(OR('prev. run'!I2&gt;0,'prev. run'!I2&lt;0),'prev. run'!I2,""),IF(OR('base case'!I2&gt;0,'base case'!I2&lt;0),'base case'!I2,""))</f>
        <v/>
      </c>
      <c r="J2" s="696" t="str">
        <f>IF($E$1=1,IF(OR('prev. run'!J2&gt;0,'prev. run'!J2&lt;0),'prev. run'!J2,""),IF(OR('base case'!J2&gt;0,'base case'!J2&lt;0),'base case'!J2,""))</f>
        <v/>
      </c>
      <c r="K2" s="696" t="str">
        <f>IF($E$1=1,IF(OR('prev. run'!K2&gt;0,'prev. run'!K2&lt;0),'prev. run'!K2,""),IF(OR('base case'!K2&gt;0,'base case'!K2&lt;0),'base case'!K2,""))</f>
        <v/>
      </c>
      <c r="L2" s="696" t="str">
        <f>IF($E$1=1,IF(OR('prev. run'!L2&gt;0,'prev. run'!L2&lt;0),'prev. run'!L2,""),IF(OR('base case'!L2&gt;0,'base case'!L2&lt;0),'base case'!L2,""))</f>
        <v/>
      </c>
      <c r="M2" s="696" t="str">
        <f>IF($E$1=1,IF(OR('prev. run'!M2&gt;0,'prev. run'!M2&lt;0),'prev. run'!M2,""),IF(OR('base case'!M2&gt;0,'base case'!M2&lt;0),'base case'!M2,""))</f>
        <v/>
      </c>
      <c r="N2" s="696" t="str">
        <f>IF($E$1=1,IF(OR('prev. run'!N2&gt;0,'prev. run'!N2&lt;0),'prev. run'!N2,""),IF(OR('base case'!N2&gt;0,'base case'!N2&lt;0),'base case'!N2,""))</f>
        <v/>
      </c>
      <c r="O2" s="696" t="str">
        <f>IF($E$1=1,IF(OR('prev. run'!O2&gt;0,'prev. run'!O2&lt;0),'prev. run'!O2,""),IF(OR('base case'!O2&gt;0,'base case'!O2&lt;0),'base case'!O2,""))</f>
        <v/>
      </c>
      <c r="P2" s="697"/>
      <c r="Q2" s="697"/>
      <c r="R2" s="697"/>
      <c r="S2" s="697"/>
      <c r="T2" s="697"/>
      <c r="U2" s="697"/>
      <c r="V2" s="697"/>
    </row>
    <row r="3" spans="1:22" s="705" customFormat="1">
      <c r="A3" s="699" t="str">
        <f>'%-Deviations from prev. results'!A7</f>
        <v>Export Good (E)</v>
      </c>
      <c r="B3" s="700">
        <f>'1-2-3'!I49</f>
        <v>0.8900000103416742</v>
      </c>
      <c r="C3" s="700">
        <f>'1-2-3'!J49</f>
        <v>0.92321187110995584</v>
      </c>
      <c r="D3" s="700">
        <f>'1-2-3'!K49</f>
        <v>0.97245571145032017</v>
      </c>
      <c r="E3" s="700">
        <f>'1-2-3'!L49</f>
        <v>1.0232605818170819</v>
      </c>
      <c r="F3" s="700">
        <f>'1-2-3'!M49</f>
        <v>0</v>
      </c>
      <c r="G3" s="700">
        <f>'1-2-3'!N49</f>
        <v>0</v>
      </c>
      <c r="H3" s="700">
        <f>'1-2-3'!O49</f>
        <v>0</v>
      </c>
      <c r="I3" s="700">
        <f>'1-2-3'!P49</f>
        <v>0</v>
      </c>
      <c r="J3" s="700">
        <f>'1-2-3'!Q49</f>
        <v>0</v>
      </c>
      <c r="K3" s="700">
        <f>'1-2-3'!R49</f>
        <v>0</v>
      </c>
      <c r="L3" s="700">
        <f>'1-2-3'!S49</f>
        <v>0</v>
      </c>
      <c r="M3" s="700">
        <f>'1-2-3'!T49</f>
        <v>0</v>
      </c>
      <c r="N3" s="700">
        <f>'1-2-3'!U49</f>
        <v>0</v>
      </c>
      <c r="O3" s="700">
        <f>'1-2-3'!V49</f>
        <v>0</v>
      </c>
      <c r="P3" s="701"/>
      <c r="Q3" s="701"/>
      <c r="R3" s="701"/>
      <c r="S3" s="701"/>
      <c r="T3" s="701"/>
      <c r="U3" s="701"/>
      <c r="V3" s="701"/>
    </row>
    <row r="4" spans="1:22" s="705" customFormat="1">
      <c r="A4" s="699" t="str">
        <f>'%-Deviations from prev. results'!A8</f>
        <v>Import Good (M)</v>
      </c>
      <c r="B4" s="700">
        <f>'1-2-3'!I50</f>
        <v>1.3330000103416744</v>
      </c>
      <c r="C4" s="700">
        <f>'1-2-3'!J50</f>
        <v>1.5100688207987438</v>
      </c>
      <c r="D4" s="700">
        <f>'1-2-3'!K50</f>
        <v>1.4531113173554586</v>
      </c>
      <c r="E4" s="700">
        <f>'1-2-3'!L50</f>
        <v>1.4869211949383694</v>
      </c>
      <c r="F4" s="700">
        <f>'1-2-3'!M50</f>
        <v>0</v>
      </c>
      <c r="G4" s="700">
        <f>'1-2-3'!N50</f>
        <v>0</v>
      </c>
      <c r="H4" s="700">
        <f>'1-2-3'!O50</f>
        <v>0</v>
      </c>
      <c r="I4" s="700">
        <f>'1-2-3'!P50</f>
        <v>0</v>
      </c>
      <c r="J4" s="700">
        <f>'1-2-3'!Q50</f>
        <v>0</v>
      </c>
      <c r="K4" s="700">
        <f>'1-2-3'!R50</f>
        <v>0</v>
      </c>
      <c r="L4" s="700">
        <f>'1-2-3'!S50</f>
        <v>0</v>
      </c>
      <c r="M4" s="700">
        <f>'1-2-3'!T50</f>
        <v>0</v>
      </c>
      <c r="N4" s="700">
        <f>'1-2-3'!U50</f>
        <v>0</v>
      </c>
      <c r="O4" s="700">
        <f>'1-2-3'!V50</f>
        <v>0</v>
      </c>
      <c r="P4" s="701"/>
      <c r="Q4" s="701"/>
      <c r="R4" s="701"/>
      <c r="S4" s="701"/>
      <c r="T4" s="701"/>
      <c r="U4" s="701"/>
      <c r="V4" s="701"/>
    </row>
    <row r="5" spans="1:22" s="705" customFormat="1">
      <c r="A5" s="699" t="str">
        <f>'%-Deviations from prev. results'!A9</f>
        <v>Supply of Domestic Good (Ds)</v>
      </c>
      <c r="B5" s="700">
        <f>'1-2-3'!I51</f>
        <v>5.2693879894805624</v>
      </c>
      <c r="C5" s="700">
        <f>'1-2-3'!J51</f>
        <v>5.5134181581136072</v>
      </c>
      <c r="D5" s="700">
        <f>'1-2-3'!K51</f>
        <v>5.6769086080751103</v>
      </c>
      <c r="E5" s="700">
        <f>'1-2-3'!L51</f>
        <v>5.8711745853385731</v>
      </c>
      <c r="F5" s="700">
        <f>'1-2-3'!M51</f>
        <v>0</v>
      </c>
      <c r="G5" s="700">
        <f>'1-2-3'!N51</f>
        <v>0</v>
      </c>
      <c r="H5" s="700">
        <f>'1-2-3'!O51</f>
        <v>0</v>
      </c>
      <c r="I5" s="700">
        <f>'1-2-3'!P51</f>
        <v>0</v>
      </c>
      <c r="J5" s="700">
        <f>'1-2-3'!Q51</f>
        <v>0</v>
      </c>
      <c r="K5" s="700">
        <f>'1-2-3'!R51</f>
        <v>0</v>
      </c>
      <c r="L5" s="700">
        <f>'1-2-3'!S51</f>
        <v>0</v>
      </c>
      <c r="M5" s="700">
        <f>'1-2-3'!T51</f>
        <v>0</v>
      </c>
      <c r="N5" s="700">
        <f>'1-2-3'!U51</f>
        <v>0</v>
      </c>
      <c r="O5" s="700">
        <f>'1-2-3'!V51</f>
        <v>0</v>
      </c>
      <c r="P5" s="701"/>
      <c r="Q5" s="701"/>
      <c r="R5" s="701"/>
      <c r="S5" s="701"/>
      <c r="T5" s="701"/>
      <c r="U5" s="701"/>
      <c r="V5" s="701"/>
    </row>
    <row r="6" spans="1:22" s="705" customFormat="1">
      <c r="A6" s="699" t="str">
        <f>'%-Deviations from prev. results'!A10</f>
        <v>Demand of Domestic Good (Dd)</v>
      </c>
      <c r="B6" s="700">
        <f>'1-2-3'!I52</f>
        <v>5.2693879894805669</v>
      </c>
      <c r="C6" s="700">
        <f>'1-2-3'!J52</f>
        <v>5.5134181581136108</v>
      </c>
      <c r="D6" s="700">
        <f>'1-2-3'!K52</f>
        <v>5.6769086080751139</v>
      </c>
      <c r="E6" s="700">
        <f>'1-2-3'!L52</f>
        <v>5.8711745853385775</v>
      </c>
      <c r="F6" s="700">
        <f>'1-2-3'!M52</f>
        <v>0</v>
      </c>
      <c r="G6" s="700">
        <f>'1-2-3'!N52</f>
        <v>0</v>
      </c>
      <c r="H6" s="700">
        <f>'1-2-3'!O52</f>
        <v>0</v>
      </c>
      <c r="I6" s="700">
        <f>'1-2-3'!P52</f>
        <v>0</v>
      </c>
      <c r="J6" s="700">
        <f>'1-2-3'!Q52</f>
        <v>0</v>
      </c>
      <c r="K6" s="700">
        <f>'1-2-3'!R52</f>
        <v>0</v>
      </c>
      <c r="L6" s="700">
        <f>'1-2-3'!S52</f>
        <v>0</v>
      </c>
      <c r="M6" s="700">
        <f>'1-2-3'!T52</f>
        <v>0</v>
      </c>
      <c r="N6" s="700">
        <f>'1-2-3'!U52</f>
        <v>0</v>
      </c>
      <c r="O6" s="700">
        <f>'1-2-3'!V52</f>
        <v>0</v>
      </c>
      <c r="P6" s="701"/>
      <c r="Q6" s="701"/>
      <c r="R6" s="701"/>
      <c r="S6" s="701"/>
      <c r="T6" s="701"/>
      <c r="U6" s="701"/>
      <c r="V6" s="701"/>
    </row>
    <row r="7" spans="1:22" s="705" customFormat="1">
      <c r="A7" s="699" t="str">
        <f>'%-Deviations from prev. results'!A11</f>
        <v>Supply of Composite Good (Qs)</v>
      </c>
      <c r="B7" s="700">
        <f>'1-2-3'!I53</f>
        <v>10.013084405759626</v>
      </c>
      <c r="C7" s="700">
        <f>'1-2-3'!J53</f>
        <v>10.872969334368365</v>
      </c>
      <c r="D7" s="700">
        <f>'1-2-3'!K53</f>
        <v>10.847727675709603</v>
      </c>
      <c r="E7" s="700">
        <f>'1-2-3'!L53</f>
        <v>11.162621476910534</v>
      </c>
      <c r="F7" s="700">
        <f>'1-2-3'!M53</f>
        <v>0</v>
      </c>
      <c r="G7" s="700">
        <f>'1-2-3'!N53</f>
        <v>0</v>
      </c>
      <c r="H7" s="700">
        <f>'1-2-3'!O53</f>
        <v>0</v>
      </c>
      <c r="I7" s="700">
        <f>'1-2-3'!P53</f>
        <v>0</v>
      </c>
      <c r="J7" s="700">
        <f>'1-2-3'!Q53</f>
        <v>0</v>
      </c>
      <c r="K7" s="700">
        <f>'1-2-3'!R53</f>
        <v>0</v>
      </c>
      <c r="L7" s="700">
        <f>'1-2-3'!S53</f>
        <v>0</v>
      </c>
      <c r="M7" s="700">
        <f>'1-2-3'!T53</f>
        <v>0</v>
      </c>
      <c r="N7" s="700">
        <f>'1-2-3'!U53</f>
        <v>0</v>
      </c>
      <c r="O7" s="700">
        <f>'1-2-3'!V53</f>
        <v>0</v>
      </c>
      <c r="P7" s="701"/>
      <c r="Q7" s="701"/>
      <c r="R7" s="701"/>
      <c r="S7" s="701"/>
      <c r="T7" s="701"/>
      <c r="U7" s="701"/>
      <c r="V7" s="701"/>
    </row>
    <row r="8" spans="1:22" s="705" customFormat="1">
      <c r="A8" s="699" t="str">
        <f>'%-Deviations from prev. results'!A12</f>
        <v>Demand of Composite Good (Qd)</v>
      </c>
      <c r="B8" s="700">
        <f>'1-2-3'!I54</f>
        <v>10.013084405759631</v>
      </c>
      <c r="C8" s="700">
        <f>'1-2-3'!J54</f>
        <v>10.872969334368372</v>
      </c>
      <c r="D8" s="700">
        <f>'1-2-3'!K54</f>
        <v>10.847727675709608</v>
      </c>
      <c r="E8" s="700">
        <f>'1-2-3'!L54</f>
        <v>11.162621476910543</v>
      </c>
      <c r="F8" s="700">
        <f>'1-2-3'!M54</f>
        <v>0</v>
      </c>
      <c r="G8" s="700">
        <f>'1-2-3'!N54</f>
        <v>0</v>
      </c>
      <c r="H8" s="700">
        <f>'1-2-3'!O54</f>
        <v>0</v>
      </c>
      <c r="I8" s="700">
        <f>'1-2-3'!P54</f>
        <v>0</v>
      </c>
      <c r="J8" s="700">
        <f>'1-2-3'!Q54</f>
        <v>0</v>
      </c>
      <c r="K8" s="700">
        <f>'1-2-3'!R54</f>
        <v>0</v>
      </c>
      <c r="L8" s="700">
        <f>'1-2-3'!S54</f>
        <v>0</v>
      </c>
      <c r="M8" s="700">
        <f>'1-2-3'!T54</f>
        <v>0</v>
      </c>
      <c r="N8" s="700">
        <f>'1-2-3'!U54</f>
        <v>0</v>
      </c>
      <c r="O8" s="700">
        <f>'1-2-3'!V54</f>
        <v>0</v>
      </c>
      <c r="P8" s="701"/>
      <c r="Q8" s="701"/>
      <c r="R8" s="701"/>
      <c r="S8" s="701"/>
      <c r="T8" s="701"/>
      <c r="U8" s="701"/>
      <c r="V8" s="701"/>
    </row>
    <row r="9" spans="1:22" s="705" customFormat="1">
      <c r="A9" s="699" t="str">
        <f>'%-Deviations from prev. results'!A13</f>
        <v>Total Income (Y)</v>
      </c>
      <c r="B9" s="700">
        <f>'1-2-3'!I55</f>
        <v>7.9390424087716349</v>
      </c>
      <c r="C9" s="700">
        <f>'1-2-3'!J55</f>
        <v>10.255370569948917</v>
      </c>
      <c r="D9" s="700">
        <f>'1-2-3'!K55</f>
        <v>12.826451102065388</v>
      </c>
      <c r="E9" s="700">
        <f>'1-2-3'!L55</f>
        <v>14.601518714732682</v>
      </c>
      <c r="F9" s="700">
        <f>'1-2-3'!M55</f>
        <v>0</v>
      </c>
      <c r="G9" s="700">
        <f>'1-2-3'!N55</f>
        <v>0</v>
      </c>
      <c r="H9" s="700">
        <f>'1-2-3'!O55</f>
        <v>0</v>
      </c>
      <c r="I9" s="700">
        <f>'1-2-3'!P55</f>
        <v>0</v>
      </c>
      <c r="J9" s="700">
        <f>'1-2-3'!Q55</f>
        <v>0</v>
      </c>
      <c r="K9" s="700">
        <f>'1-2-3'!R55</f>
        <v>0</v>
      </c>
      <c r="L9" s="700">
        <f>'1-2-3'!S55</f>
        <v>0</v>
      </c>
      <c r="M9" s="700">
        <f>'1-2-3'!T55</f>
        <v>0</v>
      </c>
      <c r="N9" s="700">
        <f>'1-2-3'!U55</f>
        <v>0</v>
      </c>
      <c r="O9" s="700">
        <f>'1-2-3'!V55</f>
        <v>0</v>
      </c>
      <c r="P9" s="701"/>
      <c r="Q9" s="701"/>
      <c r="R9" s="701"/>
      <c r="S9" s="701"/>
      <c r="T9" s="701"/>
      <c r="U9" s="701"/>
      <c r="V9" s="701"/>
    </row>
    <row r="10" spans="1:22" s="705" customFormat="1">
      <c r="A10" s="699" t="str">
        <f>'%-Deviations from prev. results'!A14</f>
        <v>Aggregate Savings (S)</v>
      </c>
      <c r="B10" s="700">
        <f>'1-2-3'!I56</f>
        <v>1.6548078813334341</v>
      </c>
      <c r="C10" s="700">
        <f>'1-2-3'!J56</f>
        <v>1.6888458814504539</v>
      </c>
      <c r="D10" s="700">
        <f>'1-2-3'!K56</f>
        <v>1.6440050583546846</v>
      </c>
      <c r="E10" s="700">
        <f>'1-2-3'!L56</f>
        <v>2.3490056341929635</v>
      </c>
      <c r="F10" s="700">
        <f>'1-2-3'!M56</f>
        <v>0</v>
      </c>
      <c r="G10" s="700">
        <f>'1-2-3'!N56</f>
        <v>0</v>
      </c>
      <c r="H10" s="700">
        <f>'1-2-3'!O56</f>
        <v>0</v>
      </c>
      <c r="I10" s="700">
        <f>'1-2-3'!P56</f>
        <v>0</v>
      </c>
      <c r="J10" s="700">
        <f>'1-2-3'!Q56</f>
        <v>0</v>
      </c>
      <c r="K10" s="700">
        <f>'1-2-3'!R56</f>
        <v>0</v>
      </c>
      <c r="L10" s="700">
        <f>'1-2-3'!S56</f>
        <v>0</v>
      </c>
      <c r="M10" s="700">
        <f>'1-2-3'!T56</f>
        <v>0</v>
      </c>
      <c r="N10" s="700">
        <f>'1-2-3'!U56</f>
        <v>0</v>
      </c>
      <c r="O10" s="700">
        <f>'1-2-3'!V56</f>
        <v>0</v>
      </c>
      <c r="P10" s="701"/>
      <c r="Q10" s="701"/>
      <c r="R10" s="701"/>
      <c r="S10" s="701"/>
      <c r="T10" s="701"/>
      <c r="U10" s="701"/>
      <c r="V10" s="701"/>
    </row>
    <row r="11" spans="1:22" s="705" customFormat="1">
      <c r="A11" s="699" t="str">
        <f>'%-Deviations from prev. results'!A15</f>
        <v>Consumption (Cn)</v>
      </c>
      <c r="B11" s="700">
        <f>'1-2-3'!I57</f>
        <v>7.5486476947184347</v>
      </c>
      <c r="C11" s="700">
        <f>'1-2-3'!J57</f>
        <v>8.4358539250541913</v>
      </c>
      <c r="D11" s="700">
        <f>'1-2-3'!K57</f>
        <v>8.6503161799803738</v>
      </c>
      <c r="E11" s="700">
        <f>'1-2-3'!L57</f>
        <v>8.6391811915843988</v>
      </c>
      <c r="F11" s="700">
        <f>'1-2-3'!M57</f>
        <v>0</v>
      </c>
      <c r="G11" s="700">
        <f>'1-2-3'!N57</f>
        <v>0</v>
      </c>
      <c r="H11" s="700">
        <f>'1-2-3'!O57</f>
        <v>0</v>
      </c>
      <c r="I11" s="700">
        <f>'1-2-3'!P57</f>
        <v>0</v>
      </c>
      <c r="J11" s="700">
        <f>'1-2-3'!Q57</f>
        <v>0</v>
      </c>
      <c r="K11" s="700">
        <f>'1-2-3'!R57</f>
        <v>0</v>
      </c>
      <c r="L11" s="700">
        <f>'1-2-3'!S57</f>
        <v>0</v>
      </c>
      <c r="M11" s="700">
        <f>'1-2-3'!T57</f>
        <v>0</v>
      </c>
      <c r="N11" s="700">
        <f>'1-2-3'!U57</f>
        <v>0</v>
      </c>
      <c r="O11" s="700">
        <f>'1-2-3'!V57</f>
        <v>0</v>
      </c>
      <c r="P11" s="701"/>
      <c r="Q11" s="701"/>
      <c r="R11" s="701"/>
      <c r="S11" s="701"/>
      <c r="T11" s="701"/>
      <c r="U11" s="701"/>
      <c r="V11" s="701"/>
    </row>
    <row r="12" spans="1:22" s="705" customFormat="1">
      <c r="A12" s="699" t="str">
        <f>'%-Deviations from prev. results'!A16</f>
        <v>Import Price (Pm)</v>
      </c>
      <c r="B12" s="700">
        <f>'1-2-3'!I58</f>
        <v>3.5586618858703924</v>
      </c>
      <c r="C12" s="700">
        <f>'1-2-3'!J58</f>
        <v>3.9126918307968572</v>
      </c>
      <c r="D12" s="700">
        <f>'1-2-3'!K58</f>
        <v>5.0662536822618263</v>
      </c>
      <c r="E12" s="700">
        <f>'1-2-3'!L58</f>
        <v>5.7828667723534721</v>
      </c>
      <c r="F12" s="700">
        <f>'1-2-3'!M58</f>
        <v>0</v>
      </c>
      <c r="G12" s="700">
        <f>'1-2-3'!N58</f>
        <v>0</v>
      </c>
      <c r="H12" s="700">
        <f>'1-2-3'!O58</f>
        <v>0</v>
      </c>
      <c r="I12" s="700">
        <f>'1-2-3'!P58</f>
        <v>0</v>
      </c>
      <c r="J12" s="700">
        <f>'1-2-3'!Q58</f>
        <v>0</v>
      </c>
      <c r="K12" s="700">
        <f>'1-2-3'!R58</f>
        <v>0</v>
      </c>
      <c r="L12" s="700">
        <f>'1-2-3'!S58</f>
        <v>0</v>
      </c>
      <c r="M12" s="700">
        <f>'1-2-3'!T58</f>
        <v>0</v>
      </c>
      <c r="N12" s="700">
        <f>'1-2-3'!U58</f>
        <v>0</v>
      </c>
      <c r="O12" s="700">
        <f>'1-2-3'!V58</f>
        <v>0</v>
      </c>
      <c r="P12" s="701"/>
      <c r="Q12" s="701"/>
      <c r="R12" s="701"/>
      <c r="S12" s="701"/>
      <c r="T12" s="701"/>
      <c r="U12" s="701"/>
      <c r="V12" s="701"/>
    </row>
    <row r="13" spans="1:22" s="705" customFormat="1">
      <c r="A13" s="699" t="str">
        <f>'%-Deviations from prev. results'!A17</f>
        <v>Export Price (Pe)</v>
      </c>
      <c r="B13" s="700">
        <f>'1-2-3'!I59</f>
        <v>3.1107999294364252</v>
      </c>
      <c r="C13" s="700">
        <f>'1-2-3'!J59</f>
        <v>3.8487678630526094</v>
      </c>
      <c r="D13" s="700">
        <f>'1-2-3'!K59</f>
        <v>4.6239607497061721</v>
      </c>
      <c r="E13" s="700">
        <f>'1-2-3'!L59</f>
        <v>5.3366561333048859</v>
      </c>
      <c r="F13" s="700">
        <f>'1-2-3'!M59</f>
        <v>0</v>
      </c>
      <c r="G13" s="700">
        <f>'1-2-3'!N59</f>
        <v>0</v>
      </c>
      <c r="H13" s="700">
        <f>'1-2-3'!O59</f>
        <v>0</v>
      </c>
      <c r="I13" s="700">
        <f>'1-2-3'!P59</f>
        <v>0</v>
      </c>
      <c r="J13" s="700">
        <f>'1-2-3'!Q59</f>
        <v>0</v>
      </c>
      <c r="K13" s="700">
        <f>'1-2-3'!R59</f>
        <v>0</v>
      </c>
      <c r="L13" s="700">
        <f>'1-2-3'!S59</f>
        <v>0</v>
      </c>
      <c r="M13" s="700">
        <f>'1-2-3'!T59</f>
        <v>0</v>
      </c>
      <c r="N13" s="700">
        <f>'1-2-3'!U59</f>
        <v>0</v>
      </c>
      <c r="O13" s="700">
        <f>'1-2-3'!V59</f>
        <v>0</v>
      </c>
      <c r="P13" s="701"/>
      <c r="Q13" s="701"/>
      <c r="R13" s="701"/>
      <c r="S13" s="701"/>
      <c r="T13" s="701"/>
      <c r="U13" s="701"/>
      <c r="V13" s="701"/>
    </row>
    <row r="14" spans="1:22" s="705" customFormat="1">
      <c r="A14" s="699" t="str">
        <f>'%-Deviations from prev. results'!A18</f>
        <v>Sales Price (Pt)</v>
      </c>
      <c r="B14" s="700">
        <f>'1-2-3'!I60</f>
        <v>1.0419451037419944</v>
      </c>
      <c r="C14" s="700">
        <f>'1-2-3'!J60</f>
        <v>1.2377794842138954</v>
      </c>
      <c r="D14" s="700">
        <f>'1-2-3'!K60</f>
        <v>1.5163658902786625</v>
      </c>
      <c r="E14" s="700">
        <f>'1-2-3'!L60</f>
        <v>1.7209347310082153</v>
      </c>
      <c r="F14" s="700">
        <f>'1-2-3'!M60</f>
        <v>0</v>
      </c>
      <c r="G14" s="700">
        <f>'1-2-3'!N60</f>
        <v>0</v>
      </c>
      <c r="H14" s="700">
        <f>'1-2-3'!O60</f>
        <v>0</v>
      </c>
      <c r="I14" s="700">
        <f>'1-2-3'!P60</f>
        <v>0</v>
      </c>
      <c r="J14" s="700">
        <f>'1-2-3'!Q60</f>
        <v>0</v>
      </c>
      <c r="K14" s="700">
        <f>'1-2-3'!R60</f>
        <v>0</v>
      </c>
      <c r="L14" s="700">
        <f>'1-2-3'!S60</f>
        <v>0</v>
      </c>
      <c r="M14" s="700">
        <f>'1-2-3'!T60</f>
        <v>0</v>
      </c>
      <c r="N14" s="700">
        <f>'1-2-3'!U60</f>
        <v>0</v>
      </c>
      <c r="O14" s="700">
        <f>'1-2-3'!V60</f>
        <v>0</v>
      </c>
      <c r="P14" s="701"/>
      <c r="Q14" s="701"/>
      <c r="R14" s="701"/>
      <c r="S14" s="701"/>
      <c r="T14" s="701"/>
      <c r="U14" s="701"/>
      <c r="V14" s="701"/>
    </row>
    <row r="15" spans="1:22" s="705" customFormat="1">
      <c r="A15" s="699" t="str">
        <f>'%-Deviations from prev. results'!A19</f>
        <v>Price of Supply (Pq)</v>
      </c>
      <c r="B15" s="700">
        <f>'1-2-3'!I61</f>
        <v>0.99999998695493642</v>
      </c>
      <c r="C15" s="700">
        <f>'1-2-3'!J61</f>
        <v>1.1798661596087661</v>
      </c>
      <c r="D15" s="700">
        <f>'1-2-3'!K61</f>
        <v>1.4384560317530939</v>
      </c>
      <c r="E15" s="700">
        <f>'1-2-3'!L61</f>
        <v>1.626630520577071</v>
      </c>
      <c r="F15" s="700">
        <f>'1-2-3'!M61</f>
        <v>0</v>
      </c>
      <c r="G15" s="700">
        <f>'1-2-3'!N61</f>
        <v>0</v>
      </c>
      <c r="H15" s="700">
        <f>'1-2-3'!O61</f>
        <v>0</v>
      </c>
      <c r="I15" s="700">
        <f>'1-2-3'!P61</f>
        <v>0</v>
      </c>
      <c r="J15" s="700">
        <f>'1-2-3'!Q61</f>
        <v>0</v>
      </c>
      <c r="K15" s="700">
        <f>'1-2-3'!R61</f>
        <v>0</v>
      </c>
      <c r="L15" s="700">
        <f>'1-2-3'!S61</f>
        <v>0</v>
      </c>
      <c r="M15" s="700">
        <f>'1-2-3'!T61</f>
        <v>0</v>
      </c>
      <c r="N15" s="700">
        <f>'1-2-3'!U61</f>
        <v>0</v>
      </c>
      <c r="O15" s="700">
        <f>'1-2-3'!V61</f>
        <v>0</v>
      </c>
      <c r="P15" s="701"/>
      <c r="Q15" s="701"/>
      <c r="R15" s="701"/>
      <c r="S15" s="701"/>
      <c r="T15" s="701"/>
      <c r="U15" s="701"/>
      <c r="V15" s="701"/>
    </row>
    <row r="16" spans="1:22" s="705" customFormat="1">
      <c r="A16" s="699" t="str">
        <f>'%-Deviations from prev. results'!A20</f>
        <v>Price of Dom. Good (Pd)</v>
      </c>
      <c r="B16" s="700">
        <f>'1-2-3'!I62</f>
        <v>1.0000000029602947</v>
      </c>
      <c r="C16" s="700">
        <f>'1-2-3'!J62</f>
        <v>1.2551587069997305</v>
      </c>
      <c r="D16" s="700">
        <f>'1-2-3'!K62</f>
        <v>1.451872726624811</v>
      </c>
      <c r="E16" s="700">
        <f>'1-2-3'!L62</f>
        <v>1.628088814764693</v>
      </c>
      <c r="F16" s="700">
        <f>'1-2-3'!M62</f>
        <v>0</v>
      </c>
      <c r="G16" s="700">
        <f>'1-2-3'!N62</f>
        <v>0</v>
      </c>
      <c r="H16" s="700">
        <f>'1-2-3'!O62</f>
        <v>0</v>
      </c>
      <c r="I16" s="700">
        <f>'1-2-3'!P62</f>
        <v>0</v>
      </c>
      <c r="J16" s="700">
        <f>'1-2-3'!Q62</f>
        <v>0</v>
      </c>
      <c r="K16" s="700">
        <f>'1-2-3'!R62</f>
        <v>0</v>
      </c>
      <c r="L16" s="700">
        <f>'1-2-3'!S62</f>
        <v>0</v>
      </c>
      <c r="M16" s="700">
        <f>'1-2-3'!T62</f>
        <v>0</v>
      </c>
      <c r="N16" s="700">
        <f>'1-2-3'!U62</f>
        <v>0</v>
      </c>
      <c r="O16" s="700">
        <f>'1-2-3'!V62</f>
        <v>0</v>
      </c>
      <c r="P16" s="701"/>
      <c r="Q16" s="701"/>
      <c r="R16" s="701"/>
      <c r="S16" s="701"/>
      <c r="T16" s="701"/>
      <c r="U16" s="701"/>
      <c r="V16" s="701"/>
    </row>
    <row r="17" spans="1:22" s="705" customFormat="1">
      <c r="A17" s="699" t="str">
        <f>'%-Deviations from prev. results'!A21</f>
        <v>Gross Price of Output</v>
      </c>
      <c r="B17" s="700">
        <f>'1-2-3'!I63</f>
        <v>1.1173482021511327</v>
      </c>
      <c r="C17" s="700">
        <f>'1-2-3'!J63</f>
        <v>1.0248303483022154</v>
      </c>
      <c r="D17" s="700">
        <f>'1-2-3'!K63</f>
        <v>1.1257318929546278</v>
      </c>
      <c r="E17" s="700">
        <f>'1-2-3'!L63</f>
        <v>1.1372384343400126</v>
      </c>
      <c r="F17" s="700">
        <f>'1-2-3'!M63</f>
        <v>0</v>
      </c>
      <c r="G17" s="700">
        <f>'1-2-3'!N63</f>
        <v>0</v>
      </c>
      <c r="H17" s="700">
        <f>'1-2-3'!O63</f>
        <v>0</v>
      </c>
      <c r="I17" s="700">
        <f>'1-2-3'!P63</f>
        <v>0</v>
      </c>
      <c r="J17" s="700">
        <f>'1-2-3'!Q63</f>
        <v>0</v>
      </c>
      <c r="K17" s="700">
        <f>'1-2-3'!R63</f>
        <v>0</v>
      </c>
      <c r="L17" s="700">
        <f>'1-2-3'!S63</f>
        <v>0</v>
      </c>
      <c r="M17" s="700">
        <f>'1-2-3'!T63</f>
        <v>0</v>
      </c>
      <c r="N17" s="700">
        <f>'1-2-3'!U63</f>
        <v>0</v>
      </c>
      <c r="O17" s="700">
        <f>'1-2-3'!V63</f>
        <v>0</v>
      </c>
      <c r="P17" s="701"/>
      <c r="Q17" s="701"/>
      <c r="R17" s="701"/>
      <c r="S17" s="701"/>
      <c r="T17" s="701"/>
      <c r="U17" s="701"/>
      <c r="V17" s="701"/>
    </row>
    <row r="18" spans="1:22" s="705" customFormat="1">
      <c r="A18" s="699" t="str">
        <f>'%-Deviations from prev. results'!A22</f>
        <v>Real Exchange Rate (PPP)</v>
      </c>
      <c r="B18" s="700">
        <f>'1-2-3'!I64</f>
        <v>1</v>
      </c>
      <c r="C18" s="700">
        <f>'1-2-3'!J64</f>
        <v>1</v>
      </c>
      <c r="D18" s="700">
        <f>'1-2-3'!K64</f>
        <v>1</v>
      </c>
      <c r="E18" s="700">
        <f>'1-2-3'!L64</f>
        <v>1</v>
      </c>
      <c r="F18" s="700">
        <f>'1-2-3'!M64</f>
        <v>0</v>
      </c>
      <c r="G18" s="700">
        <f>'1-2-3'!N64</f>
        <v>0</v>
      </c>
      <c r="H18" s="700">
        <f>'1-2-3'!O64</f>
        <v>0</v>
      </c>
      <c r="I18" s="700">
        <f>'1-2-3'!P64</f>
        <v>0</v>
      </c>
      <c r="J18" s="700">
        <f>'1-2-3'!Q64</f>
        <v>0</v>
      </c>
      <c r="K18" s="700">
        <f>'1-2-3'!R64</f>
        <v>0</v>
      </c>
      <c r="L18" s="700">
        <f>'1-2-3'!S64</f>
        <v>0</v>
      </c>
      <c r="M18" s="700">
        <f>'1-2-3'!T64</f>
        <v>0</v>
      </c>
      <c r="N18" s="700">
        <f>'1-2-3'!U64</f>
        <v>0</v>
      </c>
      <c r="O18" s="700">
        <f>'1-2-3'!V64</f>
        <v>0</v>
      </c>
      <c r="P18" s="701"/>
      <c r="Q18" s="701"/>
      <c r="R18" s="701"/>
      <c r="S18" s="701"/>
      <c r="T18" s="701"/>
      <c r="U18" s="701"/>
      <c r="V18" s="701"/>
    </row>
    <row r="19" spans="1:22" s="705" customFormat="1">
      <c r="A19" s="699" t="str">
        <f>'%-Deviations from prev. results'!A23</f>
        <v>Investment (Z)</v>
      </c>
      <c r="B19" s="700">
        <f>'1-2-3'!I65</f>
        <v>1.5881909426086136</v>
      </c>
      <c r="C19" s="700">
        <f>'1-2-3'!J65</f>
        <v>1.3644157663736411</v>
      </c>
      <c r="D19" s="700">
        <f>'1-2-3'!K65</f>
        <v>1.0841742552065132</v>
      </c>
      <c r="E19" s="700">
        <f>'1-2-3'!L65</f>
        <v>1.3649589626576759</v>
      </c>
      <c r="F19" s="700">
        <f>'1-2-3'!M65</f>
        <v>0</v>
      </c>
      <c r="G19" s="700">
        <f>'1-2-3'!N65</f>
        <v>0</v>
      </c>
      <c r="H19" s="700">
        <f>'1-2-3'!O65</f>
        <v>0</v>
      </c>
      <c r="I19" s="700">
        <f>'1-2-3'!P65</f>
        <v>0</v>
      </c>
      <c r="J19" s="700">
        <f>'1-2-3'!Q65</f>
        <v>0</v>
      </c>
      <c r="K19" s="700">
        <f>'1-2-3'!R65</f>
        <v>0</v>
      </c>
      <c r="L19" s="700">
        <f>'1-2-3'!S65</f>
        <v>0</v>
      </c>
      <c r="M19" s="700">
        <f>'1-2-3'!T65</f>
        <v>0</v>
      </c>
      <c r="N19" s="700">
        <f>'1-2-3'!U65</f>
        <v>0</v>
      </c>
      <c r="O19" s="700">
        <f>'1-2-3'!V65</f>
        <v>0</v>
      </c>
      <c r="P19" s="701"/>
      <c r="Q19" s="701"/>
      <c r="R19" s="701"/>
      <c r="S19" s="701"/>
      <c r="T19" s="701"/>
      <c r="U19" s="701"/>
      <c r="V19" s="701"/>
    </row>
    <row r="20" spans="1:22" s="705" customFormat="1">
      <c r="A20" s="699" t="str">
        <f>'%-Deviations from prev. results'!A24</f>
        <v>Money Supply</v>
      </c>
      <c r="B20" s="700">
        <f>'1-2-3'!I66</f>
        <v>1.7190066529120882</v>
      </c>
      <c r="C20" s="700">
        <f>'1-2-3'!J66</f>
        <v>2.2078792045840778</v>
      </c>
      <c r="D20" s="700">
        <f>'1-2-3'!K66</f>
        <v>2.7107481080178593</v>
      </c>
      <c r="E20" s="700">
        <f>'1-2-3'!L66</f>
        <v>3.2012585009977461</v>
      </c>
      <c r="F20" s="700">
        <f>'1-2-3'!M66</f>
        <v>0</v>
      </c>
      <c r="G20" s="700">
        <f>'1-2-3'!N66</f>
        <v>0</v>
      </c>
      <c r="H20" s="700">
        <f>'1-2-3'!O66</f>
        <v>0</v>
      </c>
      <c r="I20" s="700">
        <f>'1-2-3'!P66</f>
        <v>0</v>
      </c>
      <c r="J20" s="700">
        <f>'1-2-3'!Q66</f>
        <v>0</v>
      </c>
      <c r="K20" s="700">
        <f>'1-2-3'!R66</f>
        <v>0</v>
      </c>
      <c r="L20" s="700">
        <f>'1-2-3'!S66</f>
        <v>0</v>
      </c>
      <c r="M20" s="700">
        <f>'1-2-3'!T66</f>
        <v>0</v>
      </c>
      <c r="N20" s="700">
        <f>'1-2-3'!U66</f>
        <v>0</v>
      </c>
      <c r="O20" s="700">
        <f>'1-2-3'!V66</f>
        <v>0</v>
      </c>
      <c r="P20" s="701"/>
      <c r="Q20" s="701"/>
      <c r="R20" s="701"/>
      <c r="S20" s="701"/>
      <c r="T20" s="701"/>
      <c r="U20" s="701"/>
      <c r="V20" s="701"/>
    </row>
    <row r="21" spans="1:22" s="705" customFormat="1">
      <c r="A21" s="699" t="str">
        <f>'%-Deviations from prev. results'!A25</f>
        <v>Money Velocity</v>
      </c>
      <c r="B21" s="700">
        <f>'1-2-3'!I67</f>
        <v>5.2675770308123253</v>
      </c>
      <c r="C21" s="700">
        <f>'1-2-3'!J67</f>
        <v>5.2675770308123253</v>
      </c>
      <c r="D21" s="700">
        <f>'1-2-3'!K67</f>
        <v>5.2675770308123253</v>
      </c>
      <c r="E21" s="700">
        <f>'1-2-3'!L67</f>
        <v>5.2675770308123253</v>
      </c>
      <c r="F21" s="700">
        <f>'1-2-3'!M67</f>
        <v>0</v>
      </c>
      <c r="G21" s="700">
        <f>'1-2-3'!N67</f>
        <v>0</v>
      </c>
      <c r="H21" s="700">
        <f>'1-2-3'!O67</f>
        <v>0</v>
      </c>
      <c r="I21" s="700">
        <f>'1-2-3'!P67</f>
        <v>0</v>
      </c>
      <c r="J21" s="700">
        <f>'1-2-3'!Q67</f>
        <v>0</v>
      </c>
      <c r="K21" s="700">
        <f>'1-2-3'!R67</f>
        <v>0</v>
      </c>
      <c r="L21" s="700">
        <f>'1-2-3'!S67</f>
        <v>0</v>
      </c>
      <c r="M21" s="700">
        <f>'1-2-3'!T67</f>
        <v>0</v>
      </c>
      <c r="N21" s="700">
        <f>'1-2-3'!U67</f>
        <v>0</v>
      </c>
      <c r="O21" s="700">
        <f>'1-2-3'!V67</f>
        <v>0</v>
      </c>
      <c r="P21" s="701"/>
      <c r="Q21" s="701"/>
      <c r="R21" s="701"/>
      <c r="S21" s="701"/>
      <c r="T21" s="701"/>
      <c r="U21" s="701"/>
      <c r="V21" s="701"/>
    </row>
    <row r="22" spans="1:22" s="705" customFormat="1">
      <c r="A22" s="699" t="str">
        <f>'%-Deviations from prev. results'!A26</f>
        <v>Government Savings (Sg)</v>
      </c>
      <c r="B22" s="700">
        <f>'1-2-3'!I68</f>
        <v>0.5250071738106129</v>
      </c>
      <c r="C22" s="700">
        <f>'1-2-3'!J68</f>
        <v>0.30852903080940836</v>
      </c>
      <c r="D22" s="700">
        <f>'1-2-3'!K68</f>
        <v>4.6977917877560303E-2</v>
      </c>
      <c r="E22" s="700">
        <f>'1-2-3'!L68</f>
        <v>0.15647786109767869</v>
      </c>
      <c r="F22" s="700">
        <f>'1-2-3'!M68</f>
        <v>0</v>
      </c>
      <c r="G22" s="700">
        <f>'1-2-3'!N68</f>
        <v>0</v>
      </c>
      <c r="H22" s="700">
        <f>'1-2-3'!O68</f>
        <v>0</v>
      </c>
      <c r="I22" s="700">
        <f>'1-2-3'!P68</f>
        <v>0</v>
      </c>
      <c r="J22" s="700">
        <f>'1-2-3'!Q68</f>
        <v>0</v>
      </c>
      <c r="K22" s="700">
        <f>'1-2-3'!R68</f>
        <v>0</v>
      </c>
      <c r="L22" s="700">
        <f>'1-2-3'!S68</f>
        <v>0</v>
      </c>
      <c r="M22" s="700">
        <f>'1-2-3'!T68</f>
        <v>0</v>
      </c>
      <c r="N22" s="700">
        <f>'1-2-3'!U68</f>
        <v>0</v>
      </c>
      <c r="O22" s="700">
        <f>'1-2-3'!V68</f>
        <v>0</v>
      </c>
      <c r="P22" s="701"/>
      <c r="Q22" s="701"/>
      <c r="R22" s="701"/>
      <c r="S22" s="701"/>
      <c r="T22" s="701"/>
      <c r="U22" s="701"/>
      <c r="V22" s="701"/>
    </row>
    <row r="23" spans="1:22" s="705" customFormat="1">
      <c r="A23" s="699" t="str">
        <f>'%-Deviations from prev. results'!A27</f>
        <v>Tax Revenue (TAX)</v>
      </c>
      <c r="B23" s="700">
        <f>'1-2-3'!I69</f>
        <v>1.8429991593998685</v>
      </c>
      <c r="C23" s="700">
        <f>'1-2-3'!J69</f>
        <v>1.9420822405914364</v>
      </c>
      <c r="D23" s="700">
        <f>'1-2-3'!K69</f>
        <v>2.4650560852307861</v>
      </c>
      <c r="E23" s="700">
        <f>'1-2-3'!L69</f>
        <v>2.9608543910792453</v>
      </c>
      <c r="F23" s="700">
        <f>'1-2-3'!M69</f>
        <v>0</v>
      </c>
      <c r="G23" s="700">
        <f>'1-2-3'!N69</f>
        <v>0</v>
      </c>
      <c r="H23" s="700">
        <f>'1-2-3'!O69</f>
        <v>0</v>
      </c>
      <c r="I23" s="700">
        <f>'1-2-3'!P69</f>
        <v>0</v>
      </c>
      <c r="J23" s="700">
        <f>'1-2-3'!Q69</f>
        <v>0</v>
      </c>
      <c r="K23" s="700">
        <f>'1-2-3'!R69</f>
        <v>0</v>
      </c>
      <c r="L23" s="700">
        <f>'1-2-3'!S69</f>
        <v>0</v>
      </c>
      <c r="M23" s="700">
        <f>'1-2-3'!T69</f>
        <v>0</v>
      </c>
      <c r="N23" s="700">
        <f>'1-2-3'!U69</f>
        <v>0</v>
      </c>
      <c r="O23" s="700">
        <f>'1-2-3'!V69</f>
        <v>0</v>
      </c>
      <c r="P23" s="701"/>
      <c r="Q23" s="701"/>
      <c r="R23" s="701"/>
      <c r="S23" s="701"/>
      <c r="T23" s="701"/>
      <c r="U23" s="701"/>
      <c r="V23" s="701"/>
    </row>
    <row r="24" spans="1:22" s="705" customFormat="1">
      <c r="A24" s="699" t="str">
        <f>'%-Deviations from prev. results'!A28</f>
        <v>Tax Adjustment</v>
      </c>
      <c r="B24" s="700">
        <f>'1-2-3'!I70</f>
        <v>1</v>
      </c>
      <c r="C24" s="700">
        <f>'1-2-3'!J70</f>
        <v>1</v>
      </c>
      <c r="D24" s="700">
        <f>'1-2-3'!K70</f>
        <v>1</v>
      </c>
      <c r="E24" s="700">
        <f>'1-2-3'!L70</f>
        <v>1</v>
      </c>
      <c r="F24" s="700">
        <f>'1-2-3'!M70</f>
        <v>0</v>
      </c>
      <c r="G24" s="700">
        <f>'1-2-3'!N70</f>
        <v>0</v>
      </c>
      <c r="H24" s="700">
        <f>'1-2-3'!O70</f>
        <v>0</v>
      </c>
      <c r="I24" s="700">
        <f>'1-2-3'!P70</f>
        <v>0</v>
      </c>
      <c r="J24" s="700">
        <f>'1-2-3'!Q70</f>
        <v>0</v>
      </c>
      <c r="K24" s="700">
        <f>'1-2-3'!R70</f>
        <v>0</v>
      </c>
      <c r="L24" s="700">
        <f>'1-2-3'!S70</f>
        <v>0</v>
      </c>
      <c r="M24" s="700">
        <f>'1-2-3'!T70</f>
        <v>0</v>
      </c>
      <c r="N24" s="700">
        <f>'1-2-3'!U70</f>
        <v>0</v>
      </c>
      <c r="O24" s="700">
        <f>'1-2-3'!V70</f>
        <v>0</v>
      </c>
      <c r="P24" s="701"/>
      <c r="Q24" s="701"/>
      <c r="R24" s="701"/>
      <c r="S24" s="701"/>
      <c r="T24" s="701"/>
      <c r="U24" s="701"/>
      <c r="V24" s="701"/>
    </row>
    <row r="25" spans="1:22" s="705" customFormat="1">
      <c r="A25" s="699" t="str">
        <f>'%-Deviations from prev. results'!A29</f>
        <v xml:space="preserve">   Dom Tax Adjustment</v>
      </c>
      <c r="B25" s="700">
        <f>'1-2-3'!I71</f>
        <v>1</v>
      </c>
      <c r="C25" s="700">
        <f>'1-2-3'!J71</f>
        <v>1</v>
      </c>
      <c r="D25" s="700">
        <f>'1-2-3'!K71</f>
        <v>1</v>
      </c>
      <c r="E25" s="700">
        <f>'1-2-3'!L71</f>
        <v>1</v>
      </c>
      <c r="F25" s="700">
        <f>'1-2-3'!M71</f>
        <v>0</v>
      </c>
      <c r="G25" s="700">
        <f>'1-2-3'!N71</f>
        <v>0</v>
      </c>
      <c r="H25" s="700">
        <f>'1-2-3'!O71</f>
        <v>0</v>
      </c>
      <c r="I25" s="700">
        <f>'1-2-3'!P71</f>
        <v>0</v>
      </c>
      <c r="J25" s="700">
        <f>'1-2-3'!Q71</f>
        <v>0</v>
      </c>
      <c r="K25" s="700">
        <f>'1-2-3'!R71</f>
        <v>0</v>
      </c>
      <c r="L25" s="700">
        <f>'1-2-3'!S71</f>
        <v>0</v>
      </c>
      <c r="M25" s="700">
        <f>'1-2-3'!T71</f>
        <v>0</v>
      </c>
      <c r="N25" s="700">
        <f>'1-2-3'!U71</f>
        <v>0</v>
      </c>
      <c r="O25" s="700">
        <f>'1-2-3'!V71</f>
        <v>0</v>
      </c>
      <c r="P25" s="701"/>
      <c r="Q25" s="701"/>
      <c r="R25" s="701"/>
      <c r="S25" s="701"/>
      <c r="T25" s="701"/>
      <c r="U25" s="701"/>
      <c r="V25" s="701"/>
    </row>
    <row r="26" spans="1:22" s="705" customFormat="1">
      <c r="A26" s="699" t="str">
        <f>'%-Deviations from prev. results'!A30</f>
        <v xml:space="preserve">   Adjusted import tariffs</v>
      </c>
      <c r="B26" s="700">
        <f>'1-2-3'!I72</f>
        <v>0.14397002876796092</v>
      </c>
      <c r="C26" s="700">
        <f>'1-2-3'!J72</f>
        <v>9.793765891326868E-2</v>
      </c>
      <c r="D26" s="700">
        <f>'1-2-3'!K72</f>
        <v>0.10427786296477044</v>
      </c>
      <c r="E26" s="700">
        <f>'1-2-3'!L72</f>
        <v>0.10125565684367988</v>
      </c>
      <c r="F26" s="700">
        <f>'1-2-3'!M72</f>
        <v>0</v>
      </c>
      <c r="G26" s="700">
        <f>'1-2-3'!N72</f>
        <v>0</v>
      </c>
      <c r="H26" s="700">
        <f>'1-2-3'!O72</f>
        <v>0</v>
      </c>
      <c r="I26" s="700">
        <f>'1-2-3'!P72</f>
        <v>0</v>
      </c>
      <c r="J26" s="700">
        <f>'1-2-3'!Q72</f>
        <v>0</v>
      </c>
      <c r="K26" s="700">
        <f>'1-2-3'!R72</f>
        <v>0</v>
      </c>
      <c r="L26" s="700">
        <f>'1-2-3'!S72</f>
        <v>0</v>
      </c>
      <c r="M26" s="700">
        <f>'1-2-3'!T72</f>
        <v>0</v>
      </c>
      <c r="N26" s="700">
        <f>'1-2-3'!U72</f>
        <v>0</v>
      </c>
      <c r="O26" s="700">
        <f>'1-2-3'!V72</f>
        <v>0</v>
      </c>
      <c r="P26" s="701"/>
      <c r="Q26" s="701"/>
      <c r="R26" s="701"/>
      <c r="S26" s="701"/>
      <c r="T26" s="701"/>
      <c r="U26" s="701"/>
      <c r="V26" s="701"/>
    </row>
    <row r="27" spans="1:22" s="705" customFormat="1">
      <c r="A27" s="699" t="str">
        <f>'%-Deviations from prev. results'!A31</f>
        <v xml:space="preserve">   Adjusted export duties</v>
      </c>
      <c r="B27" s="700">
        <f>'1-2-3'!I73</f>
        <v>0</v>
      </c>
      <c r="C27" s="700">
        <f>'1-2-3'!J73</f>
        <v>0</v>
      </c>
      <c r="D27" s="700">
        <f>'1-2-3'!K73</f>
        <v>0</v>
      </c>
      <c r="E27" s="700">
        <f>'1-2-3'!L73</f>
        <v>0</v>
      </c>
      <c r="F27" s="700">
        <f>'1-2-3'!M73</f>
        <v>0</v>
      </c>
      <c r="G27" s="700">
        <f>'1-2-3'!N73</f>
        <v>0</v>
      </c>
      <c r="H27" s="700">
        <f>'1-2-3'!O73</f>
        <v>0</v>
      </c>
      <c r="I27" s="700">
        <f>'1-2-3'!P73</f>
        <v>0</v>
      </c>
      <c r="J27" s="700">
        <f>'1-2-3'!Q73</f>
        <v>0</v>
      </c>
      <c r="K27" s="700">
        <f>'1-2-3'!R73</f>
        <v>0</v>
      </c>
      <c r="L27" s="700">
        <f>'1-2-3'!S73</f>
        <v>0</v>
      </c>
      <c r="M27" s="700">
        <f>'1-2-3'!T73</f>
        <v>0</v>
      </c>
      <c r="N27" s="700">
        <f>'1-2-3'!U73</f>
        <v>0</v>
      </c>
      <c r="O27" s="700">
        <f>'1-2-3'!V73</f>
        <v>0</v>
      </c>
      <c r="P27" s="701"/>
      <c r="Q27" s="701"/>
      <c r="R27" s="701"/>
      <c r="S27" s="701"/>
      <c r="T27" s="701"/>
      <c r="U27" s="701"/>
      <c r="V27" s="701"/>
    </row>
    <row r="28" spans="1:22" s="705" customFormat="1">
      <c r="A28" s="699" t="str">
        <f>'%-Deviations from prev. results'!A32</f>
        <v xml:space="preserve">   Adjusted indirect taxes</v>
      </c>
      <c r="B28" s="700">
        <f>'1-2-3'!I74</f>
        <v>5.0733618104727055E-2</v>
      </c>
      <c r="C28" s="700">
        <f>'1-2-3'!J74</f>
        <v>6.4051158027854327E-2</v>
      </c>
      <c r="D28" s="700">
        <f>'1-2-3'!K74</f>
        <v>6.7812505089949099E-2</v>
      </c>
      <c r="E28" s="700">
        <f>'1-2-3'!L74</f>
        <v>7.0862452426071948E-2</v>
      </c>
      <c r="F28" s="700">
        <f>'1-2-3'!M74</f>
        <v>0</v>
      </c>
      <c r="G28" s="700">
        <f>'1-2-3'!N74</f>
        <v>0</v>
      </c>
      <c r="H28" s="700">
        <f>'1-2-3'!O74</f>
        <v>0</v>
      </c>
      <c r="I28" s="700">
        <f>'1-2-3'!P74</f>
        <v>0</v>
      </c>
      <c r="J28" s="700">
        <f>'1-2-3'!Q74</f>
        <v>0</v>
      </c>
      <c r="K28" s="700">
        <f>'1-2-3'!R74</f>
        <v>0</v>
      </c>
      <c r="L28" s="700">
        <f>'1-2-3'!S74</f>
        <v>0</v>
      </c>
      <c r="M28" s="700">
        <f>'1-2-3'!T74</f>
        <v>0</v>
      </c>
      <c r="N28" s="700">
        <f>'1-2-3'!U74</f>
        <v>0</v>
      </c>
      <c r="O28" s="700">
        <f>'1-2-3'!V74</f>
        <v>0</v>
      </c>
      <c r="P28" s="701"/>
      <c r="Q28" s="701"/>
      <c r="R28" s="701"/>
      <c r="S28" s="701"/>
      <c r="T28" s="701"/>
      <c r="U28" s="701"/>
      <c r="V28" s="701"/>
    </row>
    <row r="29" spans="1:22" s="705" customFormat="1">
      <c r="A29" s="699" t="str">
        <f>'%-Deviations from prev. results'!A33</f>
        <v xml:space="preserve">   Adjusted direct taxes</v>
      </c>
      <c r="B29" s="700">
        <f>'1-2-3'!I75</f>
        <v>0.10404266988908396</v>
      </c>
      <c r="C29" s="700">
        <f>'1-2-3'!J75</f>
        <v>7.657952494984116E-2</v>
      </c>
      <c r="D29" s="700">
        <f>'1-2-3'!K75</f>
        <v>7.2095348730751324E-2</v>
      </c>
      <c r="E29" s="700">
        <f>'1-2-3'!L75</f>
        <v>7.653739605884792E-2</v>
      </c>
      <c r="F29" s="700">
        <f>'1-2-3'!M75</f>
        <v>0</v>
      </c>
      <c r="G29" s="700">
        <f>'1-2-3'!N75</f>
        <v>0</v>
      </c>
      <c r="H29" s="700">
        <f>'1-2-3'!O75</f>
        <v>0</v>
      </c>
      <c r="I29" s="700">
        <f>'1-2-3'!P75</f>
        <v>0</v>
      </c>
      <c r="J29" s="700">
        <f>'1-2-3'!Q75</f>
        <v>0</v>
      </c>
      <c r="K29" s="700">
        <f>'1-2-3'!R75</f>
        <v>0</v>
      </c>
      <c r="L29" s="700">
        <f>'1-2-3'!S75</f>
        <v>0</v>
      </c>
      <c r="M29" s="700">
        <f>'1-2-3'!T75</f>
        <v>0</v>
      </c>
      <c r="N29" s="700">
        <f>'1-2-3'!U75</f>
        <v>0</v>
      </c>
      <c r="O29" s="700">
        <f>'1-2-3'!V75</f>
        <v>0</v>
      </c>
      <c r="P29" s="701"/>
      <c r="Q29" s="701"/>
      <c r="R29" s="701"/>
      <c r="S29" s="701"/>
      <c r="T29" s="701"/>
      <c r="U29" s="701"/>
      <c r="V29" s="701"/>
    </row>
    <row r="30" spans="1:22" s="705" customFormat="1">
      <c r="A30" s="699" t="str">
        <f>'%-Deviations from prev. results'!A34</f>
        <v>Govt. Consumption</v>
      </c>
      <c r="B30" s="700">
        <f>'1-2-3'!I76</f>
        <v>0.87624576843258351</v>
      </c>
      <c r="C30" s="700">
        <f>'1-2-3'!J76</f>
        <v>1.07269964294054</v>
      </c>
      <c r="D30" s="700">
        <f>'1-2-3'!K76</f>
        <v>1.1132372405227215</v>
      </c>
      <c r="E30" s="700">
        <f>'1-2-3'!L76</f>
        <v>1.1584813226684683</v>
      </c>
      <c r="F30" s="700">
        <f>'1-2-3'!M76</f>
        <v>0</v>
      </c>
      <c r="G30" s="700">
        <f>'1-2-3'!N76</f>
        <v>0</v>
      </c>
      <c r="H30" s="700">
        <f>'1-2-3'!O76</f>
        <v>0</v>
      </c>
      <c r="I30" s="700">
        <f>'1-2-3'!P76</f>
        <v>0</v>
      </c>
      <c r="J30" s="700">
        <f>'1-2-3'!Q76</f>
        <v>0</v>
      </c>
      <c r="K30" s="700">
        <f>'1-2-3'!R76</f>
        <v>0</v>
      </c>
      <c r="L30" s="700">
        <f>'1-2-3'!S76</f>
        <v>0</v>
      </c>
      <c r="M30" s="700">
        <f>'1-2-3'!T76</f>
        <v>0</v>
      </c>
      <c r="N30" s="700">
        <f>'1-2-3'!U76</f>
        <v>0</v>
      </c>
      <c r="O30" s="700">
        <f>'1-2-3'!V76</f>
        <v>0</v>
      </c>
      <c r="P30" s="701"/>
      <c r="Q30" s="701"/>
      <c r="R30" s="701"/>
      <c r="S30" s="701"/>
      <c r="T30" s="701"/>
      <c r="U30" s="701"/>
      <c r="V30" s="701"/>
    </row>
    <row r="31" spans="1:22" s="705" customFormat="1">
      <c r="A31" s="699" t="str">
        <f>'%-Deviations from prev. results'!A35</f>
        <v xml:space="preserve">Govt. Transfers </v>
      </c>
      <c r="B31" s="700">
        <f>'1-2-3'!I77</f>
        <v>0.3369919664146579</v>
      </c>
      <c r="C31" s="700">
        <f>'1-2-3'!J77</f>
        <v>0.47123988216026946</v>
      </c>
      <c r="D31" s="700">
        <f>'1-2-3'!K77</f>
        <v>0.41503718262306755</v>
      </c>
      <c r="E31" s="700">
        <f>'1-2-3'!L77</f>
        <v>0.40328764944038692</v>
      </c>
      <c r="F31" s="700">
        <f>'1-2-3'!M77</f>
        <v>0</v>
      </c>
      <c r="G31" s="700">
        <f>'1-2-3'!N77</f>
        <v>0</v>
      </c>
      <c r="H31" s="700">
        <f>'1-2-3'!O77</f>
        <v>0</v>
      </c>
      <c r="I31" s="700">
        <f>'1-2-3'!P77</f>
        <v>0</v>
      </c>
      <c r="J31" s="700">
        <f>'1-2-3'!Q77</f>
        <v>0</v>
      </c>
      <c r="K31" s="700">
        <f>'1-2-3'!R77</f>
        <v>0</v>
      </c>
      <c r="L31" s="700">
        <f>'1-2-3'!S77</f>
        <v>0</v>
      </c>
      <c r="M31" s="700">
        <f>'1-2-3'!T77</f>
        <v>0</v>
      </c>
      <c r="N31" s="700">
        <f>'1-2-3'!U77</f>
        <v>0</v>
      </c>
      <c r="O31" s="700">
        <f>'1-2-3'!V77</f>
        <v>0</v>
      </c>
      <c r="P31" s="701"/>
      <c r="Q31" s="701"/>
      <c r="R31" s="701"/>
      <c r="S31" s="701"/>
      <c r="T31" s="701"/>
      <c r="U31" s="701"/>
      <c r="V31" s="701"/>
    </row>
    <row r="32" spans="1:22" s="705" customFormat="1">
      <c r="A32" s="699" t="str">
        <f>'%-Deviations from prev. results'!A36</f>
        <v>Export subsidies  rate</v>
      </c>
      <c r="B32" s="700">
        <f>'1-2-3'!I78</f>
        <v>9.2571707886030104E-10</v>
      </c>
      <c r="C32" s="700">
        <f>'1-2-3'!J78</f>
        <v>0</v>
      </c>
      <c r="D32" s="700">
        <f>'1-2-3'!K78</f>
        <v>-1.3749360633396797E-15</v>
      </c>
      <c r="E32" s="700">
        <f>'1-2-3'!L78</f>
        <v>0</v>
      </c>
      <c r="F32" s="700">
        <f>'1-2-3'!M78</f>
        <v>0</v>
      </c>
      <c r="G32" s="700">
        <f>'1-2-3'!N78</f>
        <v>0</v>
      </c>
      <c r="H32" s="700">
        <f>'1-2-3'!O78</f>
        <v>0</v>
      </c>
      <c r="I32" s="700">
        <f>'1-2-3'!P78</f>
        <v>0</v>
      </c>
      <c r="J32" s="700">
        <f>'1-2-3'!Q78</f>
        <v>0</v>
      </c>
      <c r="K32" s="700">
        <f>'1-2-3'!R78</f>
        <v>0</v>
      </c>
      <c r="L32" s="700">
        <f>'1-2-3'!S78</f>
        <v>0</v>
      </c>
      <c r="M32" s="700">
        <f>'1-2-3'!T78</f>
        <v>0</v>
      </c>
      <c r="N32" s="700">
        <f>'1-2-3'!U78</f>
        <v>0</v>
      </c>
      <c r="O32" s="700">
        <f>'1-2-3'!V78</f>
        <v>0</v>
      </c>
      <c r="P32" s="701"/>
      <c r="Q32" s="701"/>
      <c r="R32" s="701"/>
      <c r="S32" s="701"/>
      <c r="T32" s="701"/>
      <c r="U32" s="701"/>
      <c r="V32" s="701"/>
    </row>
    <row r="33" spans="1:22" s="705" customFormat="1">
      <c r="A33" s="699" t="str">
        <f>'%-Deviations from prev. results'!A37</f>
        <v>Other Subsidies</v>
      </c>
      <c r="B33" s="700">
        <f>'1-2-3'!I79</f>
        <v>8.788500892586119E-3</v>
      </c>
      <c r="C33" s="700">
        <f>'1-2-3'!J79</f>
        <v>1.4966502225230154E-2</v>
      </c>
      <c r="D33" s="700">
        <f>'1-2-3'!K79</f>
        <v>1.3650364108027509E-2</v>
      </c>
      <c r="E33" s="700">
        <f>'1-2-3'!L79</f>
        <v>1.2887264430361473E-2</v>
      </c>
      <c r="F33" s="700">
        <f>'1-2-3'!M79</f>
        <v>0</v>
      </c>
      <c r="G33" s="700">
        <f>'1-2-3'!N79</f>
        <v>0</v>
      </c>
      <c r="H33" s="700">
        <f>'1-2-3'!O79</f>
        <v>0</v>
      </c>
      <c r="I33" s="700">
        <f>'1-2-3'!P79</f>
        <v>0</v>
      </c>
      <c r="J33" s="700">
        <f>'1-2-3'!Q79</f>
        <v>0</v>
      </c>
      <c r="K33" s="700">
        <f>'1-2-3'!R79</f>
        <v>0</v>
      </c>
      <c r="L33" s="700">
        <f>'1-2-3'!S79</f>
        <v>0</v>
      </c>
      <c r="M33" s="700">
        <f>'1-2-3'!T79</f>
        <v>0</v>
      </c>
      <c r="N33" s="700">
        <f>'1-2-3'!U79</f>
        <v>0</v>
      </c>
      <c r="O33" s="700">
        <f>'1-2-3'!V79</f>
        <v>0</v>
      </c>
      <c r="P33" s="701"/>
      <c r="Q33" s="701"/>
      <c r="R33" s="701"/>
      <c r="S33" s="701"/>
      <c r="T33" s="701"/>
      <c r="U33" s="701"/>
      <c r="V33" s="701"/>
    </row>
    <row r="34" spans="1:22" s="705" customFormat="1">
      <c r="A34" s="699" t="str">
        <f>'%-Deviations from prev. results'!A38</f>
        <v>Foreign Exchange Rate Index(Er)</v>
      </c>
      <c r="B34" s="700">
        <f>'1-2-3'!I80</f>
        <v>3.1107999303994176</v>
      </c>
      <c r="C34" s="700">
        <f>'1-2-3'!J80</f>
        <v>3.5636739472709342</v>
      </c>
      <c r="D34" s="700">
        <f>'1-2-3'!K80</f>
        <v>4.5878431979609955</v>
      </c>
      <c r="E34" s="700">
        <f>'1-2-3'!L80</f>
        <v>5.2511573824081905</v>
      </c>
      <c r="F34" s="700">
        <f>'1-2-3'!M80</f>
        <v>0</v>
      </c>
      <c r="G34" s="700">
        <f>'1-2-3'!N80</f>
        <v>0</v>
      </c>
      <c r="H34" s="700">
        <f>'1-2-3'!O80</f>
        <v>0</v>
      </c>
      <c r="I34" s="700">
        <f>'1-2-3'!P80</f>
        <v>0</v>
      </c>
      <c r="J34" s="700">
        <f>'1-2-3'!Q80</f>
        <v>0</v>
      </c>
      <c r="K34" s="700">
        <f>'1-2-3'!R80</f>
        <v>0</v>
      </c>
      <c r="L34" s="700">
        <f>'1-2-3'!S80</f>
        <v>0</v>
      </c>
      <c r="M34" s="700">
        <f>'1-2-3'!T80</f>
        <v>0</v>
      </c>
      <c r="N34" s="700">
        <f>'1-2-3'!U80</f>
        <v>0</v>
      </c>
      <c r="O34" s="700">
        <f>'1-2-3'!V80</f>
        <v>0</v>
      </c>
      <c r="P34" s="701"/>
      <c r="Q34" s="701"/>
      <c r="R34" s="701"/>
      <c r="S34" s="701"/>
      <c r="T34" s="701"/>
      <c r="U34" s="701"/>
      <c r="V34" s="701"/>
    </row>
    <row r="35" spans="1:22" s="705" customFormat="1">
      <c r="A35" s="699" t="str">
        <f>'%-Deviations from prev. results'!A39</f>
        <v>Deflator (Px)</v>
      </c>
      <c r="B35" s="700">
        <f>'1-2-3'!I81</f>
        <v>1</v>
      </c>
      <c r="C35" s="700">
        <f>'1-2-3'!J81</f>
        <v>1.2490000000000001</v>
      </c>
      <c r="D35" s="700">
        <f>'1-2-3'!K81</f>
        <v>1.4638280000000001</v>
      </c>
      <c r="E35" s="700">
        <f>'1-2-3'!L81</f>
        <v>1.6585171239999998</v>
      </c>
      <c r="F35" s="700">
        <f>'1-2-3'!M81</f>
        <v>0</v>
      </c>
      <c r="G35" s="700">
        <f>'1-2-3'!N81</f>
        <v>0</v>
      </c>
      <c r="H35" s="700">
        <f>'1-2-3'!O81</f>
        <v>0</v>
      </c>
      <c r="I35" s="700">
        <f>'1-2-3'!P81</f>
        <v>0</v>
      </c>
      <c r="J35" s="700">
        <f>'1-2-3'!Q81</f>
        <v>0</v>
      </c>
      <c r="K35" s="700">
        <f>'1-2-3'!R81</f>
        <v>0</v>
      </c>
      <c r="L35" s="700">
        <f>'1-2-3'!S81</f>
        <v>0</v>
      </c>
      <c r="M35" s="700">
        <f>'1-2-3'!T81</f>
        <v>0</v>
      </c>
      <c r="N35" s="700">
        <f>'1-2-3'!U81</f>
        <v>0</v>
      </c>
      <c r="O35" s="700">
        <f>'1-2-3'!V81</f>
        <v>0</v>
      </c>
      <c r="P35" s="701"/>
      <c r="Q35" s="701"/>
      <c r="R35" s="701"/>
      <c r="S35" s="701"/>
      <c r="T35" s="701"/>
      <c r="U35" s="701"/>
      <c r="V35" s="701"/>
    </row>
    <row r="36" spans="1:22">
      <c r="A36" s="699"/>
    </row>
    <row r="37" spans="1:22">
      <c r="A37" s="699" t="str">
        <f>'%-Deviations from prev. results'!A41</f>
        <v>Final (non-normalized) real household income</v>
      </c>
    </row>
    <row r="38" spans="1:22">
      <c r="A38" s="699" t="str">
        <f>'%-Deviations from prev. results'!A42</f>
        <v>Decile 1</v>
      </c>
      <c r="B38">
        <f>'Impact on poverty'!B51</f>
        <v>481.83116640000003</v>
      </c>
      <c r="C38">
        <f>'Impact on poverty'!C51</f>
        <v>536.08276527217208</v>
      </c>
      <c r="D38">
        <f>'Impact on poverty'!D51</f>
        <v>516.48689699152271</v>
      </c>
      <c r="E38">
        <f>'Impact on poverty'!E51</f>
        <v>527.8635801850661</v>
      </c>
      <c r="F38" t="e">
        <f>'Impact on poverty'!F51</f>
        <v>#VALUE!</v>
      </c>
      <c r="G38" t="e">
        <f>'Impact on poverty'!G51</f>
        <v>#VALUE!</v>
      </c>
      <c r="H38" t="e">
        <f>'Impact on poverty'!H51</f>
        <v>#VALUE!</v>
      </c>
      <c r="I38">
        <f>'Impact on poverty'!I51</f>
        <v>0</v>
      </c>
      <c r="J38">
        <f>'Impact on poverty'!J51</f>
        <v>0</v>
      </c>
      <c r="K38">
        <f>'Impact on poverty'!K51</f>
        <v>0</v>
      </c>
      <c r="L38">
        <f>'Impact on poverty'!L51</f>
        <v>0</v>
      </c>
      <c r="M38">
        <f>'Impact on poverty'!M51</f>
        <v>0</v>
      </c>
      <c r="N38">
        <f>'Impact on poverty'!N51</f>
        <v>0</v>
      </c>
      <c r="O38">
        <f>'Impact on poverty'!O51</f>
        <v>0</v>
      </c>
    </row>
    <row r="39" spans="1:22">
      <c r="A39" s="699" t="str">
        <f>'%-Deviations from prev. results'!A43</f>
        <v>Decile 2</v>
      </c>
      <c r="B39">
        <f>'Impact on poverty'!B52</f>
        <v>6790.3526800000009</v>
      </c>
      <c r="C39">
        <f>'Impact on poverty'!C52</f>
        <v>7548.8004754841841</v>
      </c>
      <c r="D39">
        <f>'Impact on poverty'!D52</f>
        <v>7290.3603515464038</v>
      </c>
      <c r="E39">
        <f>'Impact on poverty'!E52</f>
        <v>7463.6415106705763</v>
      </c>
      <c r="F39" t="e">
        <f>'Impact on poverty'!F52</f>
        <v>#VALUE!</v>
      </c>
      <c r="G39" t="e">
        <f>'Impact on poverty'!G52</f>
        <v>#VALUE!</v>
      </c>
      <c r="H39" t="e">
        <f>'Impact on poverty'!H52</f>
        <v>#VALUE!</v>
      </c>
      <c r="I39">
        <f>'Impact on poverty'!I52</f>
        <v>0</v>
      </c>
      <c r="J39">
        <f>'Impact on poverty'!J52</f>
        <v>0</v>
      </c>
      <c r="K39">
        <f>'Impact on poverty'!K52</f>
        <v>0</v>
      </c>
      <c r="L39">
        <f>'Impact on poverty'!L52</f>
        <v>0</v>
      </c>
      <c r="M39">
        <f>'Impact on poverty'!M52</f>
        <v>0</v>
      </c>
      <c r="N39">
        <f>'Impact on poverty'!N52</f>
        <v>0</v>
      </c>
      <c r="O39">
        <f>'Impact on poverty'!O52</f>
        <v>0</v>
      </c>
    </row>
    <row r="40" spans="1:22">
      <c r="A40" s="699" t="str">
        <f>'%-Deviations from prev. results'!A44</f>
        <v>Decile 3</v>
      </c>
      <c r="B40">
        <f>'Impact on poverty'!B53</f>
        <v>20006.210999999996</v>
      </c>
      <c r="C40">
        <f>'Impact on poverty'!C53</f>
        <v>22231.359215419405</v>
      </c>
      <c r="D40">
        <f>'Impact on poverty'!D53</f>
        <v>21497.331728373294</v>
      </c>
      <c r="E40">
        <f>'Impact on poverty'!E53</f>
        <v>22028.09820074134</v>
      </c>
      <c r="F40" t="e">
        <f>'Impact on poverty'!F53</f>
        <v>#VALUE!</v>
      </c>
      <c r="G40" t="e">
        <f>'Impact on poverty'!G53</f>
        <v>#VALUE!</v>
      </c>
      <c r="H40" t="e">
        <f>'Impact on poverty'!H53</f>
        <v>#VALUE!</v>
      </c>
      <c r="I40">
        <f>'Impact on poverty'!I53</f>
        <v>0</v>
      </c>
      <c r="J40">
        <f>'Impact on poverty'!J53</f>
        <v>0</v>
      </c>
      <c r="K40">
        <f>'Impact on poverty'!K53</f>
        <v>0</v>
      </c>
      <c r="L40">
        <f>'Impact on poverty'!L53</f>
        <v>0</v>
      </c>
      <c r="M40">
        <f>'Impact on poverty'!M53</f>
        <v>0</v>
      </c>
      <c r="N40">
        <f>'Impact on poverty'!N53</f>
        <v>0</v>
      </c>
      <c r="O40">
        <f>'Impact on poverty'!O53</f>
        <v>0</v>
      </c>
    </row>
    <row r="41" spans="1:22">
      <c r="A41" s="699" t="str">
        <f>'%-Deviations from prev. results'!A45</f>
        <v>Decile 4</v>
      </c>
      <c r="B41">
        <f>'Impact on poverty'!B54</f>
        <v>40196.773000000001</v>
      </c>
      <c r="C41">
        <f>'Impact on poverty'!C54</f>
        <v>44634.258071903336</v>
      </c>
      <c r="D41">
        <f>'Impact on poverty'!D54</f>
        <v>43256.539745347633</v>
      </c>
      <c r="E41">
        <f>'Impact on poverty'!E54</f>
        <v>44396.307672433184</v>
      </c>
      <c r="F41" t="e">
        <f>'Impact on poverty'!F54</f>
        <v>#VALUE!</v>
      </c>
      <c r="G41" t="e">
        <f>'Impact on poverty'!G54</f>
        <v>#VALUE!</v>
      </c>
      <c r="H41" t="e">
        <f>'Impact on poverty'!H54</f>
        <v>#VALUE!</v>
      </c>
      <c r="I41">
        <f>'Impact on poverty'!I54</f>
        <v>0</v>
      </c>
      <c r="J41">
        <f>'Impact on poverty'!J54</f>
        <v>0</v>
      </c>
      <c r="K41">
        <f>'Impact on poverty'!K54</f>
        <v>0</v>
      </c>
      <c r="L41">
        <f>'Impact on poverty'!L54</f>
        <v>0</v>
      </c>
      <c r="M41">
        <f>'Impact on poverty'!M54</f>
        <v>0</v>
      </c>
      <c r="N41">
        <f>'Impact on poverty'!N54</f>
        <v>0</v>
      </c>
      <c r="O41">
        <f>'Impact on poverty'!O54</f>
        <v>0</v>
      </c>
    </row>
    <row r="42" spans="1:22">
      <c r="A42" s="699" t="str">
        <f>'%-Deviations from prev. results'!A46</f>
        <v>Decile 5</v>
      </c>
      <c r="B42">
        <f>'Impact on poverty'!B55</f>
        <v>68715.895000000004</v>
      </c>
      <c r="C42">
        <f>'Impact on poverty'!C55</f>
        <v>76274.389641600559</v>
      </c>
      <c r="D42">
        <f>'Impact on poverty'!D55</f>
        <v>73999.253336717302</v>
      </c>
      <c r="E42">
        <f>'Impact on poverty'!E55</f>
        <v>76009.62728647473</v>
      </c>
      <c r="F42" t="e">
        <f>'Impact on poverty'!F55</f>
        <v>#VALUE!</v>
      </c>
      <c r="G42" t="e">
        <f>'Impact on poverty'!G55</f>
        <v>#VALUE!</v>
      </c>
      <c r="H42" t="e">
        <f>'Impact on poverty'!H55</f>
        <v>#VALUE!</v>
      </c>
      <c r="I42">
        <f>'Impact on poverty'!I55</f>
        <v>0</v>
      </c>
      <c r="J42">
        <f>'Impact on poverty'!J55</f>
        <v>0</v>
      </c>
      <c r="K42">
        <f>'Impact on poverty'!K55</f>
        <v>0</v>
      </c>
      <c r="L42">
        <f>'Impact on poverty'!L55</f>
        <v>0</v>
      </c>
      <c r="M42">
        <f>'Impact on poverty'!M55</f>
        <v>0</v>
      </c>
      <c r="N42">
        <f>'Impact on poverty'!N55</f>
        <v>0</v>
      </c>
      <c r="O42">
        <f>'Impact on poverty'!O55</f>
        <v>0</v>
      </c>
    </row>
    <row r="43" spans="1:22">
      <c r="A43" s="699" t="str">
        <f>'%-Deviations from prev. results'!A47</f>
        <v>Decile 6</v>
      </c>
      <c r="B43">
        <f>'Impact on poverty'!B56</f>
        <v>106396.47699999998</v>
      </c>
      <c r="C43">
        <f>'Impact on poverty'!C56</f>
        <v>117946.40149319232</v>
      </c>
      <c r="D43">
        <f>'Impact on poverty'!D56</f>
        <v>114870.29065446836</v>
      </c>
      <c r="E43">
        <f>'Impact on poverty'!E56</f>
        <v>118325.88276433058</v>
      </c>
      <c r="F43" t="e">
        <f>'Impact on poverty'!F56</f>
        <v>#VALUE!</v>
      </c>
      <c r="G43" t="e">
        <f>'Impact on poverty'!G56</f>
        <v>#VALUE!</v>
      </c>
      <c r="H43" t="e">
        <f>'Impact on poverty'!H56</f>
        <v>#VALUE!</v>
      </c>
      <c r="I43">
        <f>'Impact on poverty'!I56</f>
        <v>0</v>
      </c>
      <c r="J43">
        <f>'Impact on poverty'!J56</f>
        <v>0</v>
      </c>
      <c r="K43">
        <f>'Impact on poverty'!K56</f>
        <v>0</v>
      </c>
      <c r="L43">
        <f>'Impact on poverty'!L56</f>
        <v>0</v>
      </c>
      <c r="M43">
        <f>'Impact on poverty'!M56</f>
        <v>0</v>
      </c>
      <c r="N43">
        <f>'Impact on poverty'!N56</f>
        <v>0</v>
      </c>
      <c r="O43">
        <f>'Impact on poverty'!O56</f>
        <v>0</v>
      </c>
    </row>
    <row r="44" spans="1:22">
      <c r="A44" s="699" t="str">
        <f>'%-Deviations from prev. results'!A48</f>
        <v>Decile 7</v>
      </c>
      <c r="B44">
        <f>'Impact on poverty'!B57</f>
        <v>149092.68400000001</v>
      </c>
      <c r="C44">
        <f>'Impact on poverty'!C57</f>
        <v>165216.43401182574</v>
      </c>
      <c r="D44">
        <f>'Impact on poverty'!D57</f>
        <v>161083.46714590691</v>
      </c>
      <c r="E44">
        <f>'Impact on poverty'!E57</f>
        <v>166062.46413538468</v>
      </c>
      <c r="F44" t="e">
        <f>'Impact on poverty'!F57</f>
        <v>#VALUE!</v>
      </c>
      <c r="G44" t="e">
        <f>'Impact on poverty'!G57</f>
        <v>#VALUE!</v>
      </c>
      <c r="H44" t="e">
        <f>'Impact on poverty'!H57</f>
        <v>#VALUE!</v>
      </c>
      <c r="I44">
        <f>'Impact on poverty'!I57</f>
        <v>0</v>
      </c>
      <c r="J44">
        <f>'Impact on poverty'!J57</f>
        <v>0</v>
      </c>
      <c r="K44">
        <f>'Impact on poverty'!K57</f>
        <v>0</v>
      </c>
      <c r="L44">
        <f>'Impact on poverty'!L57</f>
        <v>0</v>
      </c>
      <c r="M44">
        <f>'Impact on poverty'!M57</f>
        <v>0</v>
      </c>
      <c r="N44">
        <f>'Impact on poverty'!N57</f>
        <v>0</v>
      </c>
      <c r="O44">
        <f>'Impact on poverty'!O57</f>
        <v>0</v>
      </c>
    </row>
    <row r="45" spans="1:22">
      <c r="A45" s="699" t="str">
        <f>'%-Deviations from prev. results'!A49</f>
        <v>Decile 8</v>
      </c>
      <c r="B45">
        <f>'Impact on poverty'!B58</f>
        <v>215545.726</v>
      </c>
      <c r="C45">
        <f>'Impact on poverty'!C58</f>
        <v>238977.46393512093</v>
      </c>
      <c r="D45">
        <f>'Impact on poverty'!D58</f>
        <v>232650.76605927426</v>
      </c>
      <c r="E45">
        <f>'Impact on poverty'!E58</f>
        <v>239581.8098009417</v>
      </c>
      <c r="F45" t="e">
        <f>'Impact on poverty'!F58</f>
        <v>#VALUE!</v>
      </c>
      <c r="G45" t="e">
        <f>'Impact on poverty'!G58</f>
        <v>#VALUE!</v>
      </c>
      <c r="H45" t="e">
        <f>'Impact on poverty'!H58</f>
        <v>#VALUE!</v>
      </c>
      <c r="I45">
        <f>'Impact on poverty'!I58</f>
        <v>0</v>
      </c>
      <c r="J45">
        <f>'Impact on poverty'!J58</f>
        <v>0</v>
      </c>
      <c r="K45">
        <f>'Impact on poverty'!K58</f>
        <v>0</v>
      </c>
      <c r="L45">
        <f>'Impact on poverty'!L58</f>
        <v>0</v>
      </c>
      <c r="M45">
        <f>'Impact on poverty'!M58</f>
        <v>0</v>
      </c>
      <c r="N45">
        <f>'Impact on poverty'!N58</f>
        <v>0</v>
      </c>
      <c r="O45">
        <f>'Impact on poverty'!O58</f>
        <v>0</v>
      </c>
    </row>
    <row r="46" spans="1:22">
      <c r="A46" s="699" t="str">
        <f>'%-Deviations from prev. results'!A50</f>
        <v>Decile 9</v>
      </c>
      <c r="B46">
        <f>'Impact on poverty'!B59</f>
        <v>345239.08299999998</v>
      </c>
      <c r="C46">
        <f>'Impact on poverty'!C59</f>
        <v>382629.9053790301</v>
      </c>
      <c r="D46">
        <f>'Impact on poverty'!D59</f>
        <v>372901.66303567437</v>
      </c>
      <c r="E46">
        <f>'Impact on poverty'!E59</f>
        <v>384311.82438850362</v>
      </c>
      <c r="F46" t="e">
        <f>'Impact on poverty'!F59</f>
        <v>#VALUE!</v>
      </c>
      <c r="G46" t="e">
        <f>'Impact on poverty'!G59</f>
        <v>#VALUE!</v>
      </c>
      <c r="H46" t="e">
        <f>'Impact on poverty'!H59</f>
        <v>#VALUE!</v>
      </c>
      <c r="I46">
        <f>'Impact on poverty'!I59</f>
        <v>0</v>
      </c>
      <c r="J46">
        <f>'Impact on poverty'!J59</f>
        <v>0</v>
      </c>
      <c r="K46">
        <f>'Impact on poverty'!K59</f>
        <v>0</v>
      </c>
      <c r="L46">
        <f>'Impact on poverty'!L59</f>
        <v>0</v>
      </c>
      <c r="M46">
        <f>'Impact on poverty'!M59</f>
        <v>0</v>
      </c>
      <c r="N46">
        <f>'Impact on poverty'!N59</f>
        <v>0</v>
      </c>
      <c r="O46">
        <f>'Impact on poverty'!O59</f>
        <v>0</v>
      </c>
    </row>
    <row r="47" spans="1:22">
      <c r="A47" s="699" t="str">
        <f>'%-Deviations from prev. results'!A51</f>
        <v>Decile 10</v>
      </c>
      <c r="B47">
        <f>'Impact on poverty'!B60</f>
        <v>1488271.4</v>
      </c>
      <c r="C47">
        <f>'Impact on poverty'!C60</f>
        <v>1646779.2684591555</v>
      </c>
      <c r="D47">
        <f>'Impact on poverty'!D60</f>
        <v>1612500.7473922363</v>
      </c>
      <c r="E47">
        <f>'Impact on poverty'!E60</f>
        <v>1667305.7028239111</v>
      </c>
      <c r="F47" t="e">
        <f>'Impact on poverty'!F60</f>
        <v>#VALUE!</v>
      </c>
      <c r="G47" t="e">
        <f>'Impact on poverty'!G60</f>
        <v>#VALUE!</v>
      </c>
      <c r="H47" t="e">
        <f>'Impact on poverty'!H60</f>
        <v>#VALUE!</v>
      </c>
      <c r="I47">
        <f>'Impact on poverty'!I60</f>
        <v>0</v>
      </c>
      <c r="J47">
        <f>'Impact on poverty'!J60</f>
        <v>0</v>
      </c>
      <c r="K47">
        <f>'Impact on poverty'!K60</f>
        <v>0</v>
      </c>
      <c r="L47">
        <f>'Impact on poverty'!L60</f>
        <v>0</v>
      </c>
      <c r="M47">
        <f>'Impact on poverty'!M60</f>
        <v>0</v>
      </c>
      <c r="N47">
        <f>'Impact on poverty'!N60</f>
        <v>0</v>
      </c>
      <c r="O47">
        <f>'Impact on poverty'!O60</f>
        <v>0</v>
      </c>
    </row>
    <row r="48" spans="1:22">
      <c r="A48" s="699"/>
    </row>
    <row r="49" spans="1:15">
      <c r="A49" s="699" t="str">
        <f>'%-Deviations from prev. results'!A53</f>
        <v>Total</v>
      </c>
      <c r="B49">
        <f>'Impact on poverty'!B62</f>
        <v>2440736.4328464</v>
      </c>
      <c r="C49">
        <f>'Impact on poverty'!C62</f>
        <v>2702774.3634480042</v>
      </c>
      <c r="D49">
        <f>'Impact on poverty'!D62</f>
        <v>2640566.9063465362</v>
      </c>
      <c r="E49">
        <f>'Impact on poverty'!E62</f>
        <v>2726013.2221635766</v>
      </c>
      <c r="F49" t="e">
        <f>'Impact on poverty'!F62</f>
        <v>#VALUE!</v>
      </c>
      <c r="G49" t="e">
        <f>'Impact on poverty'!G62</f>
        <v>#VALUE!</v>
      </c>
      <c r="H49" t="e">
        <f>'Impact on poverty'!H62</f>
        <v>#VALUE!</v>
      </c>
      <c r="I49">
        <f>'Impact on poverty'!I62</f>
        <v>0</v>
      </c>
      <c r="J49">
        <f>'Impact on poverty'!J62</f>
        <v>0</v>
      </c>
      <c r="K49">
        <f>'Impact on poverty'!K62</f>
        <v>0</v>
      </c>
      <c r="L49">
        <f>'Impact on poverty'!L62</f>
        <v>0</v>
      </c>
      <c r="M49">
        <f>'Impact on poverty'!M62</f>
        <v>0</v>
      </c>
      <c r="N49">
        <f>'Impact on poverty'!N62</f>
        <v>0</v>
      </c>
      <c r="O49">
        <f>'Impact on poverty'!O62</f>
        <v>0</v>
      </c>
    </row>
    <row r="50" spans="1:15">
      <c r="A50" s="699"/>
    </row>
    <row r="51" spans="1:15">
      <c r="A51" s="699" t="str">
        <f>'%-Deviations from prev. results'!A55</f>
        <v>GINI coefficient (inc.)</v>
      </c>
      <c r="B51">
        <f>'Impact on poverty'!B91</f>
        <v>0.35033100853496818</v>
      </c>
      <c r="C51">
        <f>'Impact on poverty'!C91</f>
        <v>0.35017546645461572</v>
      </c>
      <c r="D51">
        <f>'Impact on poverty'!D91</f>
        <v>0.35063032127522065</v>
      </c>
      <c r="E51">
        <f>'Impact on poverty'!E91</f>
        <v>0.3509524634847484</v>
      </c>
      <c r="F51" t="e">
        <f>'Impact on poverty'!F91</f>
        <v>#VALUE!</v>
      </c>
      <c r="G51" t="e">
        <f>'Impact on poverty'!G91</f>
        <v>#VALUE!</v>
      </c>
      <c r="H51" t="e">
        <f>'Impact on poverty'!H91</f>
        <v>#VALUE!</v>
      </c>
      <c r="I51">
        <f>'Impact on poverty'!I91</f>
        <v>0</v>
      </c>
      <c r="J51">
        <f>'Impact on poverty'!J91</f>
        <v>0</v>
      </c>
      <c r="K51">
        <f>'Impact on poverty'!K91</f>
        <v>0</v>
      </c>
      <c r="L51">
        <f>'Impact on poverty'!L91</f>
        <v>0</v>
      </c>
      <c r="M51">
        <f>'Impact on poverty'!M91</f>
        <v>0</v>
      </c>
      <c r="N51">
        <f>'Impact on poverty'!N91</f>
        <v>0</v>
      </c>
      <c r="O51">
        <f>'Impact on poverty'!O91</f>
        <v>0</v>
      </c>
    </row>
    <row r="54" spans="1:15">
      <c r="A54" t="str">
        <f>'%-Deviations from prev. results'!A58</f>
        <v>Final (non-normalized) real household expenditure</v>
      </c>
    </row>
    <row r="55" spans="1:15">
      <c r="A55" t="str">
        <f>'%-Deviations from prev. results'!A59</f>
        <v>Decile 1</v>
      </c>
      <c r="B55">
        <f>'Impact on poverty'!B95</f>
        <v>20906.891</v>
      </c>
      <c r="C55">
        <f>'Impact on poverty'!C95</f>
        <v>22940.536013165878</v>
      </c>
      <c r="D55">
        <f>'Impact on poverty'!D95</f>
        <v>22434.15538950848</v>
      </c>
      <c r="E55">
        <f>'Impact on poverty'!E95</f>
        <v>22946.288766204994</v>
      </c>
      <c r="F55">
        <f>'Impact on poverty'!F95</f>
        <v>0</v>
      </c>
      <c r="G55" t="e">
        <f>'Impact on poverty'!G95</f>
        <v>#DIV/0!</v>
      </c>
      <c r="H55" t="e">
        <f>'Impact on poverty'!H95</f>
        <v>#DIV/0!</v>
      </c>
      <c r="I55">
        <f>'Impact on poverty'!I95</f>
        <v>0</v>
      </c>
      <c r="J55">
        <f>'Impact on poverty'!J95</f>
        <v>0</v>
      </c>
      <c r="K55">
        <f>'Impact on poverty'!K95</f>
        <v>0</v>
      </c>
      <c r="L55">
        <f>'Impact on poverty'!L95</f>
        <v>0</v>
      </c>
      <c r="M55">
        <f>'Impact on poverty'!M95</f>
        <v>0</v>
      </c>
      <c r="N55">
        <f>'Impact on poverty'!N95</f>
        <v>0</v>
      </c>
      <c r="O55">
        <f>'Impact on poverty'!O95</f>
        <v>0</v>
      </c>
    </row>
    <row r="56" spans="1:15">
      <c r="A56" t="str">
        <f>'%-Deviations from prev. results'!A60</f>
        <v>Decile 2</v>
      </c>
      <c r="B56">
        <f>'Impact on poverty'!B96</f>
        <v>47431.509999999995</v>
      </c>
      <c r="C56">
        <f>'Impact on poverty'!C96</f>
        <v>52023.534780841634</v>
      </c>
      <c r="D56">
        <f>'Impact on poverty'!D96</f>
        <v>50899.542815849047</v>
      </c>
      <c r="E56">
        <f>'Impact on poverty'!E96</f>
        <v>52064.566099205367</v>
      </c>
      <c r="F56">
        <f>'Impact on poverty'!F96</f>
        <v>0</v>
      </c>
      <c r="G56" t="e">
        <f>'Impact on poverty'!G96</f>
        <v>#DIV/0!</v>
      </c>
      <c r="H56" t="e">
        <f>'Impact on poverty'!H96</f>
        <v>#DIV/0!</v>
      </c>
      <c r="I56">
        <f>'Impact on poverty'!I96</f>
        <v>0</v>
      </c>
      <c r="J56">
        <f>'Impact on poverty'!J96</f>
        <v>0</v>
      </c>
      <c r="K56">
        <f>'Impact on poverty'!K96</f>
        <v>0</v>
      </c>
      <c r="L56">
        <f>'Impact on poverty'!L96</f>
        <v>0</v>
      </c>
      <c r="M56">
        <f>'Impact on poverty'!M96</f>
        <v>0</v>
      </c>
      <c r="N56">
        <f>'Impact on poverty'!N96</f>
        <v>0</v>
      </c>
      <c r="O56">
        <f>'Impact on poverty'!O96</f>
        <v>0</v>
      </c>
    </row>
    <row r="57" spans="1:15">
      <c r="A57" t="str">
        <f>'%-Deviations from prev. results'!A61</f>
        <v>Decile 3</v>
      </c>
      <c r="B57">
        <f>'Impact on poverty'!B97</f>
        <v>71015.12</v>
      </c>
      <c r="C57">
        <f>'Impact on poverty'!C97</f>
        <v>77798.415434818438</v>
      </c>
      <c r="D57">
        <f>'Impact on poverty'!D97</f>
        <v>76220.576360310733</v>
      </c>
      <c r="E57">
        <f>'Impact on poverty'!E97</f>
        <v>77978.185327656844</v>
      </c>
      <c r="F57">
        <f>'Impact on poverty'!F97</f>
        <v>0</v>
      </c>
      <c r="G57" t="e">
        <f>'Impact on poverty'!G97</f>
        <v>#DIV/0!</v>
      </c>
      <c r="H57" t="e">
        <f>'Impact on poverty'!H97</f>
        <v>#DIV/0!</v>
      </c>
      <c r="I57">
        <f>'Impact on poverty'!I97</f>
        <v>0</v>
      </c>
      <c r="J57">
        <f>'Impact on poverty'!J97</f>
        <v>0</v>
      </c>
      <c r="K57">
        <f>'Impact on poverty'!K97</f>
        <v>0</v>
      </c>
      <c r="L57">
        <f>'Impact on poverty'!L97</f>
        <v>0</v>
      </c>
      <c r="M57">
        <f>'Impact on poverty'!M97</f>
        <v>0</v>
      </c>
      <c r="N57">
        <f>'Impact on poverty'!N97</f>
        <v>0</v>
      </c>
      <c r="O57">
        <f>'Impact on poverty'!O97</f>
        <v>0</v>
      </c>
    </row>
    <row r="58" spans="1:15">
      <c r="A58" t="str">
        <f>'%-Deviations from prev. results'!A62</f>
        <v>Decile 4</v>
      </c>
      <c r="B58">
        <f>'Impact on poverty'!B98</f>
        <v>98216.900000000009</v>
      </c>
      <c r="C58">
        <f>'Impact on poverty'!C98</f>
        <v>107467.57174766267</v>
      </c>
      <c r="D58">
        <f>'Impact on poverty'!D98</f>
        <v>105434.52058237042</v>
      </c>
      <c r="E58">
        <f>'Impact on poverty'!E98</f>
        <v>107884.33012618007</v>
      </c>
      <c r="F58">
        <f>'Impact on poverty'!F98</f>
        <v>0</v>
      </c>
      <c r="G58" t="e">
        <f>'Impact on poverty'!G98</f>
        <v>#DIV/0!</v>
      </c>
      <c r="H58" t="e">
        <f>'Impact on poverty'!H98</f>
        <v>#DIV/0!</v>
      </c>
      <c r="I58">
        <f>'Impact on poverty'!I98</f>
        <v>0</v>
      </c>
      <c r="J58">
        <f>'Impact on poverty'!J98</f>
        <v>0</v>
      </c>
      <c r="K58">
        <f>'Impact on poverty'!K98</f>
        <v>0</v>
      </c>
      <c r="L58">
        <f>'Impact on poverty'!L98</f>
        <v>0</v>
      </c>
      <c r="M58">
        <f>'Impact on poverty'!M98</f>
        <v>0</v>
      </c>
      <c r="N58">
        <f>'Impact on poverty'!N98</f>
        <v>0</v>
      </c>
      <c r="O58">
        <f>'Impact on poverty'!O98</f>
        <v>0</v>
      </c>
    </row>
    <row r="59" spans="1:15">
      <c r="A59" t="str">
        <f>'%-Deviations from prev. results'!A63</f>
        <v>Decile 5</v>
      </c>
      <c r="B59">
        <f>'Impact on poverty'!B99</f>
        <v>129239.47</v>
      </c>
      <c r="C59">
        <f>'Impact on poverty'!C99</f>
        <v>141375.68943651189</v>
      </c>
      <c r="D59">
        <f>'Impact on poverty'!D99</f>
        <v>138741.84080463357</v>
      </c>
      <c r="E59">
        <f>'Impact on poverty'!E99</f>
        <v>141970.70646391113</v>
      </c>
      <c r="F59">
        <f>'Impact on poverty'!F99</f>
        <v>0</v>
      </c>
      <c r="G59" t="e">
        <f>'Impact on poverty'!G99</f>
        <v>#DIV/0!</v>
      </c>
      <c r="H59" t="e">
        <f>'Impact on poverty'!H99</f>
        <v>#DIV/0!</v>
      </c>
      <c r="I59">
        <f>'Impact on poverty'!I99</f>
        <v>0</v>
      </c>
      <c r="J59">
        <f>'Impact on poverty'!J99</f>
        <v>0</v>
      </c>
      <c r="K59">
        <f>'Impact on poverty'!K99</f>
        <v>0</v>
      </c>
      <c r="L59">
        <f>'Impact on poverty'!L99</f>
        <v>0</v>
      </c>
      <c r="M59">
        <f>'Impact on poverty'!M99</f>
        <v>0</v>
      </c>
      <c r="N59">
        <f>'Impact on poverty'!N99</f>
        <v>0</v>
      </c>
      <c r="O59">
        <f>'Impact on poverty'!O99</f>
        <v>0</v>
      </c>
    </row>
    <row r="60" spans="1:15">
      <c r="A60" t="str">
        <f>'%-Deviations from prev. results'!A64</f>
        <v>Decile 6</v>
      </c>
      <c r="B60">
        <f>'Impact on poverty'!B100</f>
        <v>167296.16</v>
      </c>
      <c r="C60">
        <f>'Impact on poverty'!C100</f>
        <v>182940.98847859638</v>
      </c>
      <c r="D60">
        <f>'Impact on poverty'!D100</f>
        <v>179605.58639046093</v>
      </c>
      <c r="E60">
        <f>'Impact on poverty'!E100</f>
        <v>183794.67364463161</v>
      </c>
      <c r="F60">
        <f>'Impact on poverty'!F100</f>
        <v>0</v>
      </c>
      <c r="G60" t="e">
        <f>'Impact on poverty'!G100</f>
        <v>#DIV/0!</v>
      </c>
      <c r="H60" t="e">
        <f>'Impact on poverty'!H100</f>
        <v>#DIV/0!</v>
      </c>
      <c r="I60">
        <f>'Impact on poverty'!I100</f>
        <v>0</v>
      </c>
      <c r="J60">
        <f>'Impact on poverty'!J100</f>
        <v>0</v>
      </c>
      <c r="K60">
        <f>'Impact on poverty'!K100</f>
        <v>0</v>
      </c>
      <c r="L60">
        <f>'Impact on poverty'!L100</f>
        <v>0</v>
      </c>
      <c r="M60">
        <f>'Impact on poverty'!M100</f>
        <v>0</v>
      </c>
      <c r="N60">
        <f>'Impact on poverty'!N100</f>
        <v>0</v>
      </c>
      <c r="O60">
        <f>'Impact on poverty'!O100</f>
        <v>0</v>
      </c>
    </row>
    <row r="61" spans="1:15">
      <c r="A61" t="str">
        <f>'%-Deviations from prev. results'!A65</f>
        <v>Decile 7</v>
      </c>
      <c r="B61">
        <f>'Impact on poverty'!B101</f>
        <v>215938.79</v>
      </c>
      <c r="C61">
        <f>'Impact on poverty'!C101</f>
        <v>235949.0700268448</v>
      </c>
      <c r="D61">
        <f>'Impact on poverty'!D101</f>
        <v>231852.18975063565</v>
      </c>
      <c r="E61">
        <f>'Impact on poverty'!E101</f>
        <v>237285.8477938195</v>
      </c>
      <c r="F61">
        <f>'Impact on poverty'!F101</f>
        <v>0</v>
      </c>
      <c r="G61" t="e">
        <f>'Impact on poverty'!G101</f>
        <v>#DIV/0!</v>
      </c>
      <c r="H61" t="e">
        <f>'Impact on poverty'!H101</f>
        <v>#DIV/0!</v>
      </c>
      <c r="I61">
        <f>'Impact on poverty'!I101</f>
        <v>0</v>
      </c>
      <c r="J61">
        <f>'Impact on poverty'!J101</f>
        <v>0</v>
      </c>
      <c r="K61">
        <f>'Impact on poverty'!K101</f>
        <v>0</v>
      </c>
      <c r="L61">
        <f>'Impact on poverty'!L101</f>
        <v>0</v>
      </c>
      <c r="M61">
        <f>'Impact on poverty'!M101</f>
        <v>0</v>
      </c>
      <c r="N61">
        <f>'Impact on poverty'!N101</f>
        <v>0</v>
      </c>
      <c r="O61">
        <f>'Impact on poverty'!O101</f>
        <v>0</v>
      </c>
    </row>
    <row r="62" spans="1:15">
      <c r="A62" t="str">
        <f>'%-Deviations from prev. results'!A66</f>
        <v>Decile 8</v>
      </c>
      <c r="B62">
        <f>'Impact on poverty'!B102</f>
        <v>284740.77</v>
      </c>
      <c r="C62">
        <f>'Impact on poverty'!C102</f>
        <v>311110.34047910629</v>
      </c>
      <c r="D62">
        <f>'Impact on poverty'!D102</f>
        <v>305726.6701034414</v>
      </c>
      <c r="E62">
        <f>'Impact on poverty'!E102</f>
        <v>312893.95633119671</v>
      </c>
      <c r="F62">
        <f>'Impact on poverty'!F102</f>
        <v>6.9476414916990571E-11</v>
      </c>
      <c r="G62" t="e">
        <f>'Impact on poverty'!G102</f>
        <v>#DIV/0!</v>
      </c>
      <c r="H62" t="e">
        <f>'Impact on poverty'!H102</f>
        <v>#DIV/0!</v>
      </c>
      <c r="I62">
        <f>'Impact on poverty'!I102</f>
        <v>0</v>
      </c>
      <c r="J62">
        <f>'Impact on poverty'!J102</f>
        <v>0</v>
      </c>
      <c r="K62">
        <f>'Impact on poverty'!K102</f>
        <v>0</v>
      </c>
      <c r="L62">
        <f>'Impact on poverty'!L102</f>
        <v>0</v>
      </c>
      <c r="M62">
        <f>'Impact on poverty'!M102</f>
        <v>0</v>
      </c>
      <c r="N62">
        <f>'Impact on poverty'!N102</f>
        <v>0</v>
      </c>
      <c r="O62">
        <f>'Impact on poverty'!O102</f>
        <v>0</v>
      </c>
    </row>
    <row r="63" spans="1:15">
      <c r="A63" t="str">
        <f>'%-Deviations from prev. results'!A67</f>
        <v>Decile 9</v>
      </c>
      <c r="B63">
        <f>'Impact on poverty'!B103</f>
        <v>401554.19999999995</v>
      </c>
      <c r="C63">
        <f>'Impact on poverty'!C103</f>
        <v>438622.46521704562</v>
      </c>
      <c r="D63">
        <f>'Impact on poverty'!D103</f>
        <v>431165.50761707191</v>
      </c>
      <c r="E63">
        <f>'Impact on poverty'!E103</f>
        <v>441290.41106263746</v>
      </c>
      <c r="F63">
        <f>'Impact on poverty'!F103</f>
        <v>0</v>
      </c>
      <c r="G63" t="e">
        <f>'Impact on poverty'!G103</f>
        <v>#DIV/0!</v>
      </c>
      <c r="H63" t="e">
        <f>'Impact on poverty'!H103</f>
        <v>#DIV/0!</v>
      </c>
      <c r="I63">
        <f>'Impact on poverty'!I103</f>
        <v>0</v>
      </c>
      <c r="J63">
        <f>'Impact on poverty'!J103</f>
        <v>0</v>
      </c>
      <c r="K63">
        <f>'Impact on poverty'!K103</f>
        <v>0</v>
      </c>
      <c r="L63">
        <f>'Impact on poverty'!L103</f>
        <v>0</v>
      </c>
      <c r="M63">
        <f>'Impact on poverty'!M103</f>
        <v>0</v>
      </c>
      <c r="N63">
        <f>'Impact on poverty'!N103</f>
        <v>0</v>
      </c>
      <c r="O63">
        <f>'Impact on poverty'!O103</f>
        <v>0</v>
      </c>
    </row>
    <row r="64" spans="1:15">
      <c r="A64" t="str">
        <f>'%-Deviations from prev. results'!A68</f>
        <v>Decile 10</v>
      </c>
      <c r="B64">
        <f>'Impact on poverty'!B104</f>
        <v>1043177.7999999999</v>
      </c>
      <c r="C64">
        <f>'Impact on poverty'!C104</f>
        <v>1139764.0164546946</v>
      </c>
      <c r="D64">
        <f>'Impact on poverty'!D104</f>
        <v>1120064.7518929336</v>
      </c>
      <c r="E64">
        <f>'Impact on poverty'!E104</f>
        <v>1146325.9709794314</v>
      </c>
      <c r="F64">
        <f>'Impact on poverty'!F104</f>
        <v>0</v>
      </c>
      <c r="G64" t="e">
        <f>'Impact on poverty'!G104</f>
        <v>#DIV/0!</v>
      </c>
      <c r="H64" t="e">
        <f>'Impact on poverty'!H104</f>
        <v>#DIV/0!</v>
      </c>
      <c r="I64">
        <f>'Impact on poverty'!I104</f>
        <v>0</v>
      </c>
      <c r="J64">
        <f>'Impact on poverty'!J104</f>
        <v>0</v>
      </c>
      <c r="K64">
        <f>'Impact on poverty'!K104</f>
        <v>0</v>
      </c>
      <c r="L64">
        <f>'Impact on poverty'!L104</f>
        <v>0</v>
      </c>
      <c r="M64">
        <f>'Impact on poverty'!M104</f>
        <v>0</v>
      </c>
      <c r="N64">
        <f>'Impact on poverty'!N104</f>
        <v>0</v>
      </c>
      <c r="O64">
        <f>'Impact on poverty'!O104</f>
        <v>0</v>
      </c>
    </row>
    <row r="66" spans="1:15">
      <c r="A66" t="str">
        <f>'%-Deviations from prev. results'!A70</f>
        <v>Total</v>
      </c>
      <c r="B66">
        <f>'Impact on poverty'!B106</f>
        <v>2479517.611</v>
      </c>
      <c r="C66">
        <f>'Impact on poverty'!C106</f>
        <v>2709992.6280692881</v>
      </c>
      <c r="D66">
        <f>'Impact on poverty'!D106</f>
        <v>2662145.3417072156</v>
      </c>
      <c r="E66">
        <f>'Impact on poverty'!E106</f>
        <v>2724434.9365948755</v>
      </c>
      <c r="F66">
        <f>'Impact on poverty'!F106</f>
        <v>6.9476414916990571E-11</v>
      </c>
      <c r="G66" t="e">
        <f>'Impact on poverty'!G106</f>
        <v>#DIV/0!</v>
      </c>
      <c r="H66" t="e">
        <f>'Impact on poverty'!H106</f>
        <v>#DIV/0!</v>
      </c>
      <c r="I66">
        <f>'Impact on poverty'!I106</f>
        <v>0</v>
      </c>
      <c r="J66">
        <f>'Impact on poverty'!J106</f>
        <v>0</v>
      </c>
      <c r="K66">
        <f>'Impact on poverty'!K106</f>
        <v>0</v>
      </c>
      <c r="L66">
        <f>'Impact on poverty'!L106</f>
        <v>0</v>
      </c>
      <c r="M66">
        <f>'Impact on poverty'!M106</f>
        <v>0</v>
      </c>
      <c r="N66">
        <f>'Impact on poverty'!N106</f>
        <v>0</v>
      </c>
      <c r="O66">
        <f>'Impact on poverty'!O106</f>
        <v>0</v>
      </c>
    </row>
    <row r="68" spans="1:15">
      <c r="A68" t="str">
        <f>'%-Deviations from prev. results'!A72</f>
        <v>GINI coefficient (exp)</v>
      </c>
      <c r="B68">
        <f>'Impact on poverty'!B135</f>
        <v>0.26495370637236415</v>
      </c>
      <c r="C68">
        <f>'Impact on poverty'!C135</f>
        <v>0.26478251467334485</v>
      </c>
      <c r="D68">
        <f>'Impact on poverty'!D135</f>
        <v>0.26497772535022784</v>
      </c>
      <c r="E68">
        <f>'Impact on poverty'!E135</f>
        <v>0.26500184012306949</v>
      </c>
      <c r="F68">
        <f>'Impact on poverty'!F135</f>
        <v>0.25</v>
      </c>
      <c r="G68" t="e">
        <f>'Impact on poverty'!G135</f>
        <v>#DIV/0!</v>
      </c>
      <c r="H68" t="e">
        <f>'Impact on poverty'!H135</f>
        <v>#DIV/0!</v>
      </c>
      <c r="I68">
        <f>'Impact on poverty'!I135</f>
        <v>0</v>
      </c>
      <c r="J68">
        <f>'Impact on poverty'!J135</f>
        <v>0</v>
      </c>
      <c r="K68">
        <f>'Impact on poverty'!K135</f>
        <v>0</v>
      </c>
      <c r="L68">
        <f>'Impact on poverty'!L135</f>
        <v>0</v>
      </c>
      <c r="M68">
        <f>'Impact on poverty'!M135</f>
        <v>0</v>
      </c>
      <c r="N68">
        <f>'Impact on poverty'!N135</f>
        <v>0</v>
      </c>
      <c r="O68">
        <f>'Impact on poverty'!O135</f>
        <v>0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0"/>
  <dimension ref="A1:V73"/>
  <sheetViews>
    <sheetView zoomScale="60" workbookViewId="0">
      <selection activeCell="A68" sqref="A68"/>
    </sheetView>
  </sheetViews>
  <sheetFormatPr defaultRowHeight="12.75"/>
  <cols>
    <col min="1" max="1" width="28.140625" customWidth="1"/>
  </cols>
  <sheetData>
    <row r="1" spans="1:22" s="693" customFormat="1">
      <c r="B1" s="693" t="s">
        <v>188</v>
      </c>
      <c r="E1" s="694">
        <v>2</v>
      </c>
    </row>
    <row r="2" spans="1:22" s="698" customFormat="1">
      <c r="A2" s="695" t="s">
        <v>189</v>
      </c>
      <c r="B2" s="696">
        <f>IF($E$1=1,IF(OR('prev. run'!B2&gt;0,'prev. run'!B2&lt;0),'prev. run'!B2,""),IF(OR('base case'!B2&gt;0,'base case'!B2&lt;0),'base case'!B2,""))</f>
        <v>1999</v>
      </c>
      <c r="C2" s="696">
        <f>IF($E$1=1,IF(OR('prev. run'!C2&gt;0,'prev. run'!C2&lt;0),'prev. run'!C2,""),IF(OR('base case'!C2&gt;0,'base case'!C2&lt;0),'base case'!C2,""))</f>
        <v>2000</v>
      </c>
      <c r="D2" s="696">
        <f>IF($E$1=1,IF(OR('prev. run'!D2&gt;0,'prev. run'!D2&lt;0),'prev. run'!D2,""),IF(OR('base case'!D2&gt;0,'base case'!D2&lt;0),'base case'!D2,""))</f>
        <v>2001</v>
      </c>
      <c r="E2" s="696">
        <f>IF($E$1=2,IF(OR('prev. run'!E2&gt;0,'prev. run'!E2&lt;0),'prev. run'!E2,""),IF(OR('base case'!E2&gt;0,'base case'!E2&lt;0),'base case'!E2,""))</f>
        <v>2002</v>
      </c>
      <c r="F2" s="696" t="str">
        <f>IF($E$1=1,IF(OR('prev. run'!F2&gt;0,'prev. run'!F2&lt;0),'prev. run'!F2,""),IF(OR('base case'!F2&gt;0,'base case'!F2&lt;0),'base case'!F2,""))</f>
        <v/>
      </c>
      <c r="G2" s="696" t="str">
        <f>IF($E$1=1,IF(OR('prev. run'!G2&gt;0,'prev. run'!G2&lt;0),'prev. run'!G2,""),IF(OR('base case'!G2&gt;0,'base case'!G2&lt;0),'base case'!G2,""))</f>
        <v/>
      </c>
      <c r="H2" s="696" t="str">
        <f>IF($E$1=1,IF(OR('prev. run'!H2&gt;0,'prev. run'!H2&lt;0),'prev. run'!H2,""),IF(OR('base case'!H2&gt;0,'base case'!H2&lt;0),'base case'!H2,""))</f>
        <v/>
      </c>
      <c r="I2" s="696" t="str">
        <f>IF($E$1=1,IF(OR('prev. run'!I2&gt;0,'prev. run'!I2&lt;0),'prev. run'!I2,""),IF(OR('base case'!I2&gt;0,'base case'!I2&lt;0),'base case'!I2,""))</f>
        <v/>
      </c>
      <c r="J2" s="696" t="str">
        <f>IF($E$1=1,IF(OR('prev. run'!J2&gt;0,'prev. run'!J2&lt;0),'prev. run'!J2,""),IF(OR('base case'!J2&gt;0,'base case'!J2&lt;0),'base case'!J2,""))</f>
        <v/>
      </c>
      <c r="K2" s="696" t="str">
        <f>IF($E$1=1,IF(OR('prev. run'!K2&gt;0,'prev. run'!K2&lt;0),'prev. run'!K2,""),IF(OR('base case'!K2&gt;0,'base case'!K2&lt;0),'base case'!K2,""))</f>
        <v/>
      </c>
      <c r="L2" s="696" t="str">
        <f>IF($E$1=1,IF(OR('prev. run'!L2&gt;0,'prev. run'!L2&lt;0),'prev. run'!L2,""),IF(OR('base case'!L2&gt;0,'base case'!L2&lt;0),'base case'!L2,""))</f>
        <v/>
      </c>
      <c r="M2" s="696" t="str">
        <f>IF($E$1=1,IF(OR('prev. run'!M2&gt;0,'prev. run'!M2&lt;0),'prev. run'!M2,""),IF(OR('base case'!M2&gt;0,'base case'!M2&lt;0),'base case'!M2,""))</f>
        <v/>
      </c>
      <c r="N2" s="696" t="str">
        <f>IF($E$1=1,IF(OR('prev. run'!N2&gt;0,'prev. run'!N2&lt;0),'prev. run'!N2,""),IF(OR('base case'!N2&gt;0,'base case'!N2&lt;0),'base case'!N2,""))</f>
        <v/>
      </c>
      <c r="O2" s="696" t="str">
        <f>IF($E$1=1,IF(OR('prev. run'!O2&gt;0,'prev. run'!O2&lt;0),'prev. run'!O2,""),IF(OR('base case'!O2&gt;0,'base case'!O2&lt;0),'base case'!O2,""))</f>
        <v/>
      </c>
      <c r="P2" s="697"/>
      <c r="Q2" s="697"/>
      <c r="R2" s="697"/>
      <c r="S2" s="697"/>
      <c r="T2" s="697"/>
      <c r="U2" s="697"/>
      <c r="V2" s="697"/>
    </row>
    <row r="3" spans="1:22" s="693" customFormat="1">
      <c r="A3" s="699" t="str">
        <f>'%-Deviations from prev. results'!A7</f>
        <v>Export Good (E)</v>
      </c>
      <c r="B3" s="700">
        <f>IF($E$1=1,IF(OR('prev. run'!B3&gt;0,'prev. run'!B3&lt;0),'prev. run'!B3,""),IF(OR('base case'!B3&gt;0,'base case'!B3&lt;0),'base case'!B3,""))</f>
        <v>0.8900000000000009</v>
      </c>
      <c r="C3" s="700">
        <f>IF($E$1=1,IF(OR('prev. run'!C3&gt;0,'prev. run'!C3&lt;0),'prev. run'!C3,""),IF(OR('base case'!C3&gt;0,'base case'!C3&lt;0),'base case'!C3,""))</f>
        <v>0.92730635245062443</v>
      </c>
      <c r="D3" s="700">
        <f>IF($E$1=1,IF(OR('prev. run'!D3&gt;0,'prev. run'!D3&lt;0),'prev. run'!D3,""),IF(OR('base case'!D3&gt;0,'base case'!D3&lt;0),'base case'!D3,""))</f>
        <v>0.98637529064437102</v>
      </c>
      <c r="E3" s="700">
        <f>IF($E$1=1,IF(OR('prev. run'!E3&gt;0,'prev. run'!E3&lt;0),'prev. run'!E3,""),IF(OR('base case'!E3&gt;0,'base case'!E3&lt;0),'base case'!E3,""))</f>
        <v>1.0523802507060682</v>
      </c>
      <c r="F3" s="700" t="str">
        <f>IF($E$1=1,IF(OR('prev. run'!F3&gt;0,'prev. run'!F3&lt;0),'prev. run'!F3,""),IF(OR('base case'!F3&gt;0,'base case'!F3&lt;0),'base case'!F3,""))</f>
        <v/>
      </c>
      <c r="G3" s="700" t="str">
        <f>IF($E$1=1,IF(OR('prev. run'!G3&gt;0,'prev. run'!G3&lt;0),'prev. run'!G3,""),IF(OR('base case'!G3&gt;0,'base case'!G3&lt;0),'base case'!G3,""))</f>
        <v/>
      </c>
      <c r="H3" s="700" t="str">
        <f>IF($E$1=1,IF(OR('prev. run'!H3&gt;0,'prev. run'!H3&lt;0),'prev. run'!H3,""),IF(OR('base case'!H3&gt;0,'base case'!H3&lt;0),'base case'!H3,""))</f>
        <v/>
      </c>
      <c r="I3" s="700" t="str">
        <f>IF($E$1=1,IF(OR('prev. run'!I3&gt;0,'prev. run'!I3&lt;0),'prev. run'!I3,""),IF(OR('base case'!I3&gt;0,'base case'!I3&lt;0),'base case'!I3,""))</f>
        <v/>
      </c>
      <c r="J3" s="700" t="str">
        <f>IF($E$1=1,IF(OR('prev. run'!J3&gt;0,'prev. run'!J3&lt;0),'prev. run'!J3,""),IF(OR('base case'!J3&gt;0,'base case'!J3&lt;0),'base case'!J3,""))</f>
        <v/>
      </c>
      <c r="K3" s="700" t="str">
        <f>IF($E$1=1,IF(OR('prev. run'!K3&gt;0,'prev. run'!K3&lt;0),'prev. run'!K3,""),IF(OR('base case'!K3&gt;0,'base case'!K3&lt;0),'base case'!K3,""))</f>
        <v/>
      </c>
      <c r="L3" s="700" t="str">
        <f>IF($E$1=1,IF(OR('prev. run'!L3&gt;0,'prev. run'!L3&lt;0),'prev. run'!L3,""),IF(OR('base case'!L3&gt;0,'base case'!L3&lt;0),'base case'!L3,""))</f>
        <v/>
      </c>
      <c r="M3" s="700" t="str">
        <f>IF($E$1=1,IF(OR('prev. run'!M3&gt;0,'prev. run'!M3&lt;0),'prev. run'!M3,""),IF(OR('base case'!M3&gt;0,'base case'!M3&lt;0),'base case'!M3,""))</f>
        <v/>
      </c>
      <c r="N3" s="700" t="str">
        <f>IF($E$1=1,IF(OR('prev. run'!N3&gt;0,'prev. run'!N3&lt;0),'prev. run'!N3,""),IF(OR('base case'!N3&gt;0,'base case'!N3&lt;0),'base case'!N3,""))</f>
        <v/>
      </c>
      <c r="O3" s="700" t="str">
        <f>IF($E$1=1,IF(OR('prev. run'!O3&gt;0,'prev. run'!O3&lt;0),'prev. run'!O3,""),IF(OR('base case'!O3&gt;0,'base case'!O3&lt;0),'base case'!O3,""))</f>
        <v/>
      </c>
      <c r="P3" s="701"/>
      <c r="Q3" s="701"/>
      <c r="R3" s="701"/>
      <c r="S3" s="701"/>
      <c r="T3" s="701"/>
      <c r="U3" s="701"/>
      <c r="V3" s="701"/>
    </row>
    <row r="4" spans="1:22" s="693" customFormat="1">
      <c r="A4" s="699" t="str">
        <f>'%-Deviations from prev. results'!A8</f>
        <v>Import Good (M)</v>
      </c>
      <c r="B4" s="700">
        <f>IF($E$1=1,IF(OR('prev. run'!B4&gt;0,'prev. run'!B4&lt;0),'prev. run'!B4,""),IF(OR('base case'!B4&gt;0,'base case'!B4&lt;0),'base case'!B4,""))</f>
        <v>1.3330000000000009</v>
      </c>
      <c r="C4" s="700">
        <f>IF($E$1=1,IF(OR('prev. run'!C4&gt;0,'prev. run'!C4&lt;0),'prev. run'!C4,""),IF(OR('base case'!C4&gt;0,'base case'!C4&lt;0),'base case'!C4,""))</f>
        <v>1.6257676229406801</v>
      </c>
      <c r="D4" s="700">
        <f>IF($E$1=1,IF(OR('prev. run'!D4&gt;0,'prev. run'!D4&lt;0),'prev. run'!D4,""),IF(OR('base case'!D4&gt;0,'base case'!D4&lt;0),'base case'!D4,""))</f>
        <v>1.6566503487732451</v>
      </c>
      <c r="E4" s="700">
        <f>IF($E$1=1,IF(OR('prev. run'!E4&gt;0,'prev. run'!E4&lt;0),'prev. run'!E4,""),IF(OR('base case'!E4&gt;0,'base case'!E4&lt;0),'base case'!E4,""))</f>
        <v>1.7098563008472427</v>
      </c>
      <c r="F4" s="700" t="str">
        <f>IF($E$1=1,IF(OR('prev. run'!F4&gt;0,'prev. run'!F4&lt;0),'prev. run'!F4,""),IF(OR('base case'!F4&gt;0,'base case'!F4&lt;0),'base case'!F4,""))</f>
        <v/>
      </c>
      <c r="G4" s="700" t="str">
        <f>IF($E$1=1,IF(OR('prev. run'!G4&gt;0,'prev. run'!G4&lt;0),'prev. run'!G4,""),IF(OR('base case'!G4&gt;0,'base case'!G4&lt;0),'base case'!G4,""))</f>
        <v/>
      </c>
      <c r="H4" s="700" t="str">
        <f>IF($E$1=1,IF(OR('prev. run'!H4&gt;0,'prev. run'!H4&lt;0),'prev. run'!H4,""),IF(OR('base case'!H4&gt;0,'base case'!H4&lt;0),'base case'!H4,""))</f>
        <v/>
      </c>
      <c r="I4" s="700" t="str">
        <f>IF($E$1=1,IF(OR('prev. run'!I4&gt;0,'prev. run'!I4&lt;0),'prev. run'!I4,""),IF(OR('base case'!I4&gt;0,'base case'!I4&lt;0),'base case'!I4,""))</f>
        <v/>
      </c>
      <c r="J4" s="700" t="str">
        <f>IF($E$1=1,IF(OR('prev. run'!J4&gt;0,'prev. run'!J4&lt;0),'prev. run'!J4,""),IF(OR('base case'!J4&gt;0,'base case'!J4&lt;0),'base case'!J4,""))</f>
        <v/>
      </c>
      <c r="K4" s="700" t="str">
        <f>IF($E$1=1,IF(OR('prev. run'!K4&gt;0,'prev. run'!K4&lt;0),'prev. run'!K4,""),IF(OR('base case'!K4&gt;0,'base case'!K4&lt;0),'base case'!K4,""))</f>
        <v/>
      </c>
      <c r="L4" s="700" t="str">
        <f>IF($E$1=1,IF(OR('prev. run'!L4&gt;0,'prev. run'!L4&lt;0),'prev. run'!L4,""),IF(OR('base case'!L4&gt;0,'base case'!L4&lt;0),'base case'!L4,""))</f>
        <v/>
      </c>
      <c r="M4" s="700" t="str">
        <f>IF($E$1=1,IF(OR('prev. run'!M4&gt;0,'prev. run'!M4&lt;0),'prev. run'!M4,""),IF(OR('base case'!M4&gt;0,'base case'!M4&lt;0),'base case'!M4,""))</f>
        <v/>
      </c>
      <c r="N4" s="700" t="str">
        <f>IF($E$1=1,IF(OR('prev. run'!N4&gt;0,'prev. run'!N4&lt;0),'prev. run'!N4,""),IF(OR('base case'!N4&gt;0,'base case'!N4&lt;0),'base case'!N4,""))</f>
        <v/>
      </c>
      <c r="O4" s="700" t="str">
        <f>IF($E$1=1,IF(OR('prev. run'!O4&gt;0,'prev. run'!O4&lt;0),'prev. run'!O4,""),IF(OR('base case'!O4&gt;0,'base case'!O4&lt;0),'base case'!O4,""))</f>
        <v/>
      </c>
      <c r="P4" s="701"/>
      <c r="Q4" s="701"/>
      <c r="R4" s="701"/>
      <c r="S4" s="701"/>
      <c r="T4" s="701"/>
      <c r="U4" s="701"/>
      <c r="V4" s="701"/>
    </row>
    <row r="5" spans="1:22" s="693" customFormat="1">
      <c r="A5" s="699" t="str">
        <f>'%-Deviations from prev. results'!A9</f>
        <v>Supply of Domestic Good (Ds)</v>
      </c>
      <c r="B5" s="700">
        <f>IF($E$1=1,IF(OR('prev. run'!B5&gt;0,'prev. run'!B5&lt;0),'prev. run'!B5,""),IF(OR('base case'!B5&gt;0,'base case'!B5&lt;0),'base case'!B5,""))</f>
        <v>5.2693879999999993</v>
      </c>
      <c r="C5" s="700">
        <f>IF($E$1=1,IF(OR('prev. run'!C5&gt;0,'prev. run'!C5&lt;0),'prev. run'!C5,""),IF(OR('base case'!C5&gt;0,'base case'!C5&lt;0),'base case'!C5,""))</f>
        <v>5.5550181048313121</v>
      </c>
      <c r="D5" s="700">
        <f>IF($E$1=1,IF(OR('prev. run'!D5&gt;0,'prev. run'!D5&lt;0),'prev. run'!D5,""),IF(OR('base case'!D5&gt;0,'base case'!D5&lt;0),'base case'!D5,""))</f>
        <v>5.7933712912340063</v>
      </c>
      <c r="E5" s="700">
        <f>IF($E$1=1,IF(OR('prev. run'!E5&gt;0,'prev. run'!E5&lt;0),'prev. run'!E5,""),IF(OR('base case'!E5&gt;0,'base case'!E5&lt;0),'base case'!E5,""))</f>
        <v>6.0744075559383166</v>
      </c>
      <c r="F5" s="700" t="str">
        <f>IF($E$1=1,IF(OR('prev. run'!F5&gt;0,'prev. run'!F5&lt;0),'prev. run'!F5,""),IF(OR('base case'!F5&gt;0,'base case'!F5&lt;0),'base case'!F5,""))</f>
        <v/>
      </c>
      <c r="G5" s="700" t="str">
        <f>IF($E$1=1,IF(OR('prev. run'!G5&gt;0,'prev. run'!G5&lt;0),'prev. run'!G5,""),IF(OR('base case'!G5&gt;0,'base case'!G5&lt;0),'base case'!G5,""))</f>
        <v/>
      </c>
      <c r="H5" s="700" t="str">
        <f>IF($E$1=1,IF(OR('prev. run'!H5&gt;0,'prev. run'!H5&lt;0),'prev. run'!H5,""),IF(OR('base case'!H5&gt;0,'base case'!H5&lt;0),'base case'!H5,""))</f>
        <v/>
      </c>
      <c r="I5" s="700" t="str">
        <f>IF($E$1=1,IF(OR('prev. run'!I5&gt;0,'prev. run'!I5&lt;0),'prev. run'!I5,""),IF(OR('base case'!I5&gt;0,'base case'!I5&lt;0),'base case'!I5,""))</f>
        <v/>
      </c>
      <c r="J5" s="700" t="str">
        <f>IF($E$1=1,IF(OR('prev. run'!J5&gt;0,'prev. run'!J5&lt;0),'prev. run'!J5,""),IF(OR('base case'!J5&gt;0,'base case'!J5&lt;0),'base case'!J5,""))</f>
        <v/>
      </c>
      <c r="K5" s="700" t="str">
        <f>IF($E$1=1,IF(OR('prev. run'!K5&gt;0,'prev. run'!K5&lt;0),'prev. run'!K5,""),IF(OR('base case'!K5&gt;0,'base case'!K5&lt;0),'base case'!K5,""))</f>
        <v/>
      </c>
      <c r="L5" s="700" t="str">
        <f>IF($E$1=1,IF(OR('prev. run'!L5&gt;0,'prev. run'!L5&lt;0),'prev. run'!L5,""),IF(OR('base case'!L5&gt;0,'base case'!L5&lt;0),'base case'!L5,""))</f>
        <v/>
      </c>
      <c r="M5" s="700" t="str">
        <f>IF($E$1=1,IF(OR('prev. run'!M5&gt;0,'prev. run'!M5&lt;0),'prev. run'!M5,""),IF(OR('base case'!M5&gt;0,'base case'!M5&lt;0),'base case'!M5,""))</f>
        <v/>
      </c>
      <c r="N5" s="700" t="str">
        <f>IF($E$1=1,IF(OR('prev. run'!N5&gt;0,'prev. run'!N5&lt;0),'prev. run'!N5,""),IF(OR('base case'!N5&gt;0,'base case'!N5&lt;0),'base case'!N5,""))</f>
        <v/>
      </c>
      <c r="O5" s="700" t="str">
        <f>IF($E$1=1,IF(OR('prev. run'!O5&gt;0,'prev. run'!O5&lt;0),'prev. run'!O5,""),IF(OR('base case'!O5&gt;0,'base case'!O5&lt;0),'base case'!O5,""))</f>
        <v/>
      </c>
      <c r="P5" s="701"/>
      <c r="Q5" s="701"/>
      <c r="R5" s="701"/>
      <c r="S5" s="701"/>
      <c r="T5" s="701"/>
      <c r="U5" s="701"/>
      <c r="V5" s="701"/>
    </row>
    <row r="6" spans="1:22" s="693" customFormat="1">
      <c r="A6" s="699" t="str">
        <f>'%-Deviations from prev. results'!A10</f>
        <v>Demand of Domestic Good (Dd)</v>
      </c>
      <c r="B6" s="700">
        <f>IF($E$1=1,IF(OR('prev. run'!B6&gt;0,'prev. run'!B6&lt;0),'prev. run'!B6,""),IF(OR('base case'!B6&gt;0,'base case'!B6&lt;0),'base case'!B6,""))</f>
        <v>5.2693880000000028</v>
      </c>
      <c r="C6" s="700">
        <f>IF($E$1=1,IF(OR('prev. run'!C6&gt;0,'prev. run'!C6&lt;0),'prev. run'!C6,""),IF(OR('base case'!C6&gt;0,'base case'!C6&lt;0),'base case'!C6,""))</f>
        <v>5.5550181048313139</v>
      </c>
      <c r="D6" s="700">
        <f>IF($E$1=1,IF(OR('prev. run'!D6&gt;0,'prev. run'!D6&lt;0),'prev. run'!D6,""),IF(OR('base case'!D6&gt;0,'base case'!D6&lt;0),'base case'!D6,""))</f>
        <v>5.793371291234009</v>
      </c>
      <c r="E6" s="700">
        <f>IF($E$1=1,IF(OR('prev. run'!E6&gt;0,'prev. run'!E6&lt;0),'prev. run'!E6,""),IF(OR('base case'!E6&gt;0,'base case'!E6&lt;0),'base case'!E6,""))</f>
        <v>6.074407555938321</v>
      </c>
      <c r="F6" s="700" t="str">
        <f>IF($E$1=1,IF(OR('prev. run'!F6&gt;0,'prev. run'!F6&lt;0),'prev. run'!F6,""),IF(OR('base case'!F6&gt;0,'base case'!F6&lt;0),'base case'!F6,""))</f>
        <v/>
      </c>
      <c r="G6" s="700" t="str">
        <f>IF($E$1=1,IF(OR('prev. run'!G6&gt;0,'prev. run'!G6&lt;0),'prev. run'!G6,""),IF(OR('base case'!G6&gt;0,'base case'!G6&lt;0),'base case'!G6,""))</f>
        <v/>
      </c>
      <c r="H6" s="700" t="str">
        <f>IF($E$1=1,IF(OR('prev. run'!H6&gt;0,'prev. run'!H6&lt;0),'prev. run'!H6,""),IF(OR('base case'!H6&gt;0,'base case'!H6&lt;0),'base case'!H6,""))</f>
        <v/>
      </c>
      <c r="I6" s="700" t="str">
        <f>IF($E$1=1,IF(OR('prev. run'!I6&gt;0,'prev. run'!I6&lt;0),'prev. run'!I6,""),IF(OR('base case'!I6&gt;0,'base case'!I6&lt;0),'base case'!I6,""))</f>
        <v/>
      </c>
      <c r="J6" s="700" t="str">
        <f>IF($E$1=1,IF(OR('prev. run'!J6&gt;0,'prev. run'!J6&lt;0),'prev. run'!J6,""),IF(OR('base case'!J6&gt;0,'base case'!J6&lt;0),'base case'!J6,""))</f>
        <v/>
      </c>
      <c r="K6" s="700" t="str">
        <f>IF($E$1=1,IF(OR('prev. run'!K6&gt;0,'prev. run'!K6&lt;0),'prev. run'!K6,""),IF(OR('base case'!K6&gt;0,'base case'!K6&lt;0),'base case'!K6,""))</f>
        <v/>
      </c>
      <c r="L6" s="700" t="str">
        <f>IF($E$1=1,IF(OR('prev. run'!L6&gt;0,'prev. run'!L6&lt;0),'prev. run'!L6,""),IF(OR('base case'!L6&gt;0,'base case'!L6&lt;0),'base case'!L6,""))</f>
        <v/>
      </c>
      <c r="M6" s="700" t="str">
        <f>IF($E$1=1,IF(OR('prev. run'!M6&gt;0,'prev. run'!M6&lt;0),'prev. run'!M6,""),IF(OR('base case'!M6&gt;0,'base case'!M6&lt;0),'base case'!M6,""))</f>
        <v/>
      </c>
      <c r="N6" s="700" t="str">
        <f>IF($E$1=1,IF(OR('prev. run'!N6&gt;0,'prev. run'!N6&lt;0),'prev. run'!N6,""),IF(OR('base case'!N6&gt;0,'base case'!N6&lt;0),'base case'!N6,""))</f>
        <v/>
      </c>
      <c r="O6" s="700" t="str">
        <f>IF($E$1=1,IF(OR('prev. run'!O6&gt;0,'prev. run'!O6&lt;0),'prev. run'!O6,""),IF(OR('base case'!O6&gt;0,'base case'!O6&lt;0),'base case'!O6,""))</f>
        <v/>
      </c>
      <c r="P6" s="701"/>
      <c r="Q6" s="701"/>
      <c r="R6" s="701"/>
      <c r="S6" s="701"/>
      <c r="T6" s="701"/>
      <c r="U6" s="701"/>
      <c r="V6" s="701"/>
    </row>
    <row r="7" spans="1:22" s="693" customFormat="1">
      <c r="A7" s="699" t="str">
        <f>'%-Deviations from prev. results'!A11</f>
        <v>Supply of Composite Good (Qs)</v>
      </c>
      <c r="B7" s="700">
        <f>IF($E$1=1,IF(OR('prev. run'!B7&gt;0,'prev. run'!B7&lt;0),'prev. run'!B7,""),IF(OR('base case'!B7&gt;0,'base case'!B7&lt;0),'base case'!B7,""))</f>
        <v>10.013084400000004</v>
      </c>
      <c r="C7" s="700">
        <f>IF($E$1=1,IF(OR('prev. run'!C7&gt;0,'prev. run'!C7&lt;0),'prev. run'!C7,""),IF(OR('base case'!C7&gt;0,'base case'!C7&lt;0),'base case'!C7,""))</f>
        <v>11.290619303349679</v>
      </c>
      <c r="D7" s="700">
        <f>IF($E$1=1,IF(OR('prev. run'!D7&gt;0,'prev. run'!D7&lt;0),'prev. run'!D7,""),IF(OR('base case'!D7&gt;0,'base case'!D7&lt;0),'base case'!D7,""))</f>
        <v>11.652397269961511</v>
      </c>
      <c r="E7" s="700">
        <f>IF($E$1=1,IF(OR('prev. run'!E7&gt;0,'prev. run'!E7&lt;0),'prev. run'!E7,""),IF(OR('base case'!E7&gt;0,'base case'!E7&lt;0),'base case'!E7,""))</f>
        <v>12.13041690255535</v>
      </c>
      <c r="F7" s="700" t="str">
        <f>IF($E$1=1,IF(OR('prev. run'!F7&gt;0,'prev. run'!F7&lt;0),'prev. run'!F7,""),IF(OR('base case'!F7&gt;0,'base case'!F7&lt;0),'base case'!F7,""))</f>
        <v/>
      </c>
      <c r="G7" s="700" t="str">
        <f>IF($E$1=1,IF(OR('prev. run'!G7&gt;0,'prev. run'!G7&lt;0),'prev. run'!G7,""),IF(OR('base case'!G7&gt;0,'base case'!G7&lt;0),'base case'!G7,""))</f>
        <v/>
      </c>
      <c r="H7" s="700" t="str">
        <f>IF($E$1=1,IF(OR('prev. run'!H7&gt;0,'prev. run'!H7&lt;0),'prev. run'!H7,""),IF(OR('base case'!H7&gt;0,'base case'!H7&lt;0),'base case'!H7,""))</f>
        <v/>
      </c>
      <c r="I7" s="700" t="str">
        <f>IF($E$1=1,IF(OR('prev. run'!I7&gt;0,'prev. run'!I7&lt;0),'prev. run'!I7,""),IF(OR('base case'!I7&gt;0,'base case'!I7&lt;0),'base case'!I7,""))</f>
        <v/>
      </c>
      <c r="J7" s="700" t="str">
        <f>IF($E$1=1,IF(OR('prev. run'!J7&gt;0,'prev. run'!J7&lt;0),'prev. run'!J7,""),IF(OR('base case'!J7&gt;0,'base case'!J7&lt;0),'base case'!J7,""))</f>
        <v/>
      </c>
      <c r="K7" s="700" t="str">
        <f>IF($E$1=1,IF(OR('prev. run'!K7&gt;0,'prev. run'!K7&lt;0),'prev. run'!K7,""),IF(OR('base case'!K7&gt;0,'base case'!K7&lt;0),'base case'!K7,""))</f>
        <v/>
      </c>
      <c r="L7" s="700" t="str">
        <f>IF($E$1=1,IF(OR('prev. run'!L7&gt;0,'prev. run'!L7&lt;0),'prev. run'!L7,""),IF(OR('base case'!L7&gt;0,'base case'!L7&lt;0),'base case'!L7,""))</f>
        <v/>
      </c>
      <c r="M7" s="700" t="str">
        <f>IF($E$1=1,IF(OR('prev. run'!M7&gt;0,'prev. run'!M7&lt;0),'prev. run'!M7,""),IF(OR('base case'!M7&gt;0,'base case'!M7&lt;0),'base case'!M7,""))</f>
        <v/>
      </c>
      <c r="N7" s="700" t="str">
        <f>IF($E$1=1,IF(OR('prev. run'!N7&gt;0,'prev. run'!N7&lt;0),'prev. run'!N7,""),IF(OR('base case'!N7&gt;0,'base case'!N7&lt;0),'base case'!N7,""))</f>
        <v/>
      </c>
      <c r="O7" s="700" t="str">
        <f>IF($E$1=1,IF(OR('prev. run'!O7&gt;0,'prev. run'!O7&lt;0),'prev. run'!O7,""),IF(OR('base case'!O7&gt;0,'base case'!O7&lt;0),'base case'!O7,""))</f>
        <v/>
      </c>
      <c r="P7" s="701"/>
      <c r="Q7" s="701"/>
      <c r="R7" s="701"/>
      <c r="S7" s="701"/>
      <c r="T7" s="701"/>
      <c r="U7" s="701"/>
      <c r="V7" s="701"/>
    </row>
    <row r="8" spans="1:22" s="693" customFormat="1">
      <c r="A8" s="699" t="str">
        <f>'%-Deviations from prev. results'!A12</f>
        <v>Demand of Composite Good (Qd)</v>
      </c>
      <c r="B8" s="700">
        <f>IF($E$1=1,IF(OR('prev. run'!B8&gt;0,'prev. run'!B8&lt;0),'prev. run'!B8,""),IF(OR('base case'!B8&gt;0,'base case'!B8&lt;0),'base case'!B8,""))</f>
        <v>10.013084400000013</v>
      </c>
      <c r="C8" s="700">
        <f>IF($E$1=1,IF(OR('prev. run'!C8&gt;0,'prev. run'!C8&lt;0),'prev. run'!C8,""),IF(OR('base case'!C8&gt;0,'base case'!C8&lt;0),'base case'!C8,""))</f>
        <v>11.290619303349683</v>
      </c>
      <c r="D8" s="700">
        <f>IF($E$1=1,IF(OR('prev. run'!D8&gt;0,'prev. run'!D8&lt;0),'prev. run'!D8,""),IF(OR('base case'!D8&gt;0,'base case'!D8&lt;0),'base case'!D8,""))</f>
        <v>11.652397269961517</v>
      </c>
      <c r="E8" s="700">
        <f>IF($E$1=1,IF(OR('prev. run'!E8&gt;0,'prev. run'!E8&lt;0),'prev. run'!E8,""),IF(OR('base case'!E8&gt;0,'base case'!E8&lt;0),'base case'!E8,""))</f>
        <v>12.130416902555353</v>
      </c>
      <c r="F8" s="700" t="str">
        <f>IF($E$1=1,IF(OR('prev. run'!F8&gt;0,'prev. run'!F8&lt;0),'prev. run'!F8,""),IF(OR('base case'!F8&gt;0,'base case'!F8&lt;0),'base case'!F8,""))</f>
        <v/>
      </c>
      <c r="G8" s="700" t="str">
        <f>IF($E$1=1,IF(OR('prev. run'!G8&gt;0,'prev. run'!G8&lt;0),'prev. run'!G8,""),IF(OR('base case'!G8&gt;0,'base case'!G8&lt;0),'base case'!G8,""))</f>
        <v/>
      </c>
      <c r="H8" s="700" t="str">
        <f>IF($E$1=1,IF(OR('prev. run'!H8&gt;0,'prev. run'!H8&lt;0),'prev. run'!H8,""),IF(OR('base case'!H8&gt;0,'base case'!H8&lt;0),'base case'!H8,""))</f>
        <v/>
      </c>
      <c r="I8" s="700" t="str">
        <f>IF($E$1=1,IF(OR('prev. run'!I8&gt;0,'prev. run'!I8&lt;0),'prev. run'!I8,""),IF(OR('base case'!I8&gt;0,'base case'!I8&lt;0),'base case'!I8,""))</f>
        <v/>
      </c>
      <c r="J8" s="700" t="str">
        <f>IF($E$1=1,IF(OR('prev. run'!J8&gt;0,'prev. run'!J8&lt;0),'prev. run'!J8,""),IF(OR('base case'!J8&gt;0,'base case'!J8&lt;0),'base case'!J8,""))</f>
        <v/>
      </c>
      <c r="K8" s="700" t="str">
        <f>IF($E$1=1,IF(OR('prev. run'!K8&gt;0,'prev. run'!K8&lt;0),'prev. run'!K8,""),IF(OR('base case'!K8&gt;0,'base case'!K8&lt;0),'base case'!K8,""))</f>
        <v/>
      </c>
      <c r="L8" s="700" t="str">
        <f>IF($E$1=1,IF(OR('prev. run'!L8&gt;0,'prev. run'!L8&lt;0),'prev. run'!L8,""),IF(OR('base case'!L8&gt;0,'base case'!L8&lt;0),'base case'!L8,""))</f>
        <v/>
      </c>
      <c r="M8" s="700" t="str">
        <f>IF($E$1=1,IF(OR('prev. run'!M8&gt;0,'prev. run'!M8&lt;0),'prev. run'!M8,""),IF(OR('base case'!M8&gt;0,'base case'!M8&lt;0),'base case'!M8,""))</f>
        <v/>
      </c>
      <c r="N8" s="700" t="str">
        <f>IF($E$1=1,IF(OR('prev. run'!N8&gt;0,'prev. run'!N8&lt;0),'prev. run'!N8,""),IF(OR('base case'!N8&gt;0,'base case'!N8&lt;0),'base case'!N8,""))</f>
        <v/>
      </c>
      <c r="O8" s="700" t="str">
        <f>IF($E$1=1,IF(OR('prev. run'!O8&gt;0,'prev. run'!O8&lt;0),'prev. run'!O8,""),IF(OR('base case'!O8&gt;0,'base case'!O8&lt;0),'base case'!O8,""))</f>
        <v/>
      </c>
      <c r="P8" s="701"/>
      <c r="Q8" s="701"/>
      <c r="R8" s="701"/>
      <c r="S8" s="701"/>
      <c r="T8" s="701"/>
      <c r="U8" s="701"/>
      <c r="V8" s="701"/>
    </row>
    <row r="9" spans="1:22" s="693" customFormat="1">
      <c r="A9" s="699" t="str">
        <f>'%-Deviations from prev. results'!A13</f>
        <v>Total Income (Y)</v>
      </c>
      <c r="B9" s="700">
        <f>IF($E$1=1,IF(OR('prev. run'!B9&gt;0,'prev. run'!B9&lt;0),'prev. run'!B9,""),IF(OR('base case'!B9&gt;0,'base case'!B9&lt;0),'base case'!B9,""))</f>
        <v>7.9390504000000011</v>
      </c>
      <c r="C9" s="700">
        <f>IF($E$1=1,IF(OR('prev. run'!C9&gt;0,'prev. run'!C9&lt;0),'prev. run'!C9,""),IF(OR('base case'!C9&gt;0,'base case'!C9&lt;0),'base case'!C9,""))</f>
        <v>10.400581867028183</v>
      </c>
      <c r="D9" s="700">
        <f>IF($E$1=1,IF(OR('prev. run'!D9&gt;0,'prev. run'!D9&lt;0),'prev. run'!D9,""),IF(OR('base case'!D9&gt;0,'base case'!D9&lt;0),'base case'!D9,""))</f>
        <v>13.144519060368511</v>
      </c>
      <c r="E9" s="700">
        <f>IF($E$1=1,IF(OR('prev. run'!E9&gt;0,'prev. run'!E9&lt;0),'prev. run'!E9,""),IF(OR('base case'!E9&gt;0,'base case'!E9&lt;0),'base case'!E9,""))</f>
        <v>15.26091262298227</v>
      </c>
      <c r="F9" s="700" t="str">
        <f>IF($E$1=1,IF(OR('prev. run'!F9&gt;0,'prev. run'!F9&lt;0),'prev. run'!F9,""),IF(OR('base case'!F9&gt;0,'base case'!F9&lt;0),'base case'!F9,""))</f>
        <v/>
      </c>
      <c r="G9" s="700" t="str">
        <f>IF($E$1=1,IF(OR('prev. run'!G9&gt;0,'prev. run'!G9&lt;0),'prev. run'!G9,""),IF(OR('base case'!G9&gt;0,'base case'!G9&lt;0),'base case'!G9,""))</f>
        <v/>
      </c>
      <c r="H9" s="700" t="str">
        <f>IF($E$1=1,IF(OR('prev. run'!H9&gt;0,'prev. run'!H9&lt;0),'prev. run'!H9,""),IF(OR('base case'!H9&gt;0,'base case'!H9&lt;0),'base case'!H9,""))</f>
        <v/>
      </c>
      <c r="I9" s="700" t="str">
        <f>IF($E$1=1,IF(OR('prev. run'!I9&gt;0,'prev. run'!I9&lt;0),'prev. run'!I9,""),IF(OR('base case'!I9&gt;0,'base case'!I9&lt;0),'base case'!I9,""))</f>
        <v/>
      </c>
      <c r="J9" s="700" t="str">
        <f>IF($E$1=1,IF(OR('prev. run'!J9&gt;0,'prev. run'!J9&lt;0),'prev. run'!J9,""),IF(OR('base case'!J9&gt;0,'base case'!J9&lt;0),'base case'!J9,""))</f>
        <v/>
      </c>
      <c r="K9" s="700" t="str">
        <f>IF($E$1=1,IF(OR('prev. run'!K9&gt;0,'prev. run'!K9&lt;0),'prev. run'!K9,""),IF(OR('base case'!K9&gt;0,'base case'!K9&lt;0),'base case'!K9,""))</f>
        <v/>
      </c>
      <c r="L9" s="700" t="str">
        <f>IF($E$1=1,IF(OR('prev. run'!L9&gt;0,'prev. run'!L9&lt;0),'prev. run'!L9,""),IF(OR('base case'!L9&gt;0,'base case'!L9&lt;0),'base case'!L9,""))</f>
        <v/>
      </c>
      <c r="M9" s="700" t="str">
        <f>IF($E$1=1,IF(OR('prev. run'!M9&gt;0,'prev. run'!M9&lt;0),'prev. run'!M9,""),IF(OR('base case'!M9&gt;0,'base case'!M9&lt;0),'base case'!M9,""))</f>
        <v/>
      </c>
      <c r="N9" s="700" t="str">
        <f>IF($E$1=1,IF(OR('prev. run'!N9&gt;0,'prev. run'!N9&lt;0),'prev. run'!N9,""),IF(OR('base case'!N9&gt;0,'base case'!N9&lt;0),'base case'!N9,""))</f>
        <v/>
      </c>
      <c r="O9" s="700" t="str">
        <f>IF($E$1=1,IF(OR('prev. run'!O9&gt;0,'prev. run'!O9&lt;0),'prev. run'!O9,""),IF(OR('base case'!O9&gt;0,'base case'!O9&lt;0),'base case'!O9,""))</f>
        <v/>
      </c>
      <c r="P9" s="701"/>
      <c r="Q9" s="701"/>
      <c r="R9" s="701"/>
      <c r="S9" s="701"/>
      <c r="T9" s="701"/>
      <c r="U9" s="701"/>
      <c r="V9" s="701"/>
    </row>
    <row r="10" spans="1:22" s="693" customFormat="1">
      <c r="A10" s="699" t="str">
        <f>'%-Deviations from prev. results'!A14</f>
        <v>Aggregate Savings (S)</v>
      </c>
      <c r="B10" s="700">
        <f>IF($E$1=1,IF(OR('prev. run'!B10&gt;0,'prev. run'!B10&lt;0),'prev. run'!B10,""),IF(OR('base case'!B10&gt;0,'base case'!B10&lt;0),'base case'!B10,""))</f>
        <v>1.6548009399484604</v>
      </c>
      <c r="C10" s="700">
        <f>IF($E$1=1,IF(OR('prev. run'!C10&gt;0,'prev. run'!C10&lt;0),'prev. run'!C10,""),IF(OR('base case'!C10&gt;0,'base case'!C10&lt;0),'base case'!C10,""))</f>
        <v>1.4543145555901262</v>
      </c>
      <c r="D10" s="700">
        <f>IF($E$1=1,IF(OR('prev. run'!D10&gt;0,'prev. run'!D10&lt;0),'prev. run'!D10,""),IF(OR('base case'!D10&gt;0,'base case'!D10&lt;0),'base case'!D10,""))</f>
        <v>1.2532187669955621</v>
      </c>
      <c r="E10" s="700">
        <f>IF($E$1=1,IF(OR('prev. run'!E10&gt;0,'prev. run'!E10&lt;0),'prev. run'!E10,""),IF(OR('base case'!E10&gt;0,'base case'!E10&lt;0),'base case'!E10,""))</f>
        <v>1.8505200604429746</v>
      </c>
      <c r="F10" s="700" t="str">
        <f>IF($E$1=1,IF(OR('prev. run'!F10&gt;0,'prev. run'!F10&lt;0),'prev. run'!F10,""),IF(OR('base case'!F10&gt;0,'base case'!F10&lt;0),'base case'!F10,""))</f>
        <v/>
      </c>
      <c r="G10" s="700" t="str">
        <f>IF($E$1=1,IF(OR('prev. run'!G10&gt;0,'prev. run'!G10&lt;0),'prev. run'!G10,""),IF(OR('base case'!G10&gt;0,'base case'!G10&lt;0),'base case'!G10,""))</f>
        <v/>
      </c>
      <c r="H10" s="700" t="str">
        <f>IF($E$1=1,IF(OR('prev. run'!H10&gt;0,'prev. run'!H10&lt;0),'prev. run'!H10,""),IF(OR('base case'!H10&gt;0,'base case'!H10&lt;0),'base case'!H10,""))</f>
        <v/>
      </c>
      <c r="I10" s="700" t="str">
        <f>IF($E$1=1,IF(OR('prev. run'!I10&gt;0,'prev. run'!I10&lt;0),'prev. run'!I10,""),IF(OR('base case'!I10&gt;0,'base case'!I10&lt;0),'base case'!I10,""))</f>
        <v/>
      </c>
      <c r="J10" s="700" t="str">
        <f>IF($E$1=1,IF(OR('prev. run'!J10&gt;0,'prev. run'!J10&lt;0),'prev. run'!J10,""),IF(OR('base case'!J10&gt;0,'base case'!J10&lt;0),'base case'!J10,""))</f>
        <v/>
      </c>
      <c r="K10" s="700" t="str">
        <f>IF($E$1=1,IF(OR('prev. run'!K10&gt;0,'prev. run'!K10&lt;0),'prev. run'!K10,""),IF(OR('base case'!K10&gt;0,'base case'!K10&lt;0),'base case'!K10,""))</f>
        <v/>
      </c>
      <c r="L10" s="700" t="str">
        <f>IF($E$1=1,IF(OR('prev. run'!L10&gt;0,'prev. run'!L10&lt;0),'prev. run'!L10,""),IF(OR('base case'!L10&gt;0,'base case'!L10&lt;0),'base case'!L10,""))</f>
        <v/>
      </c>
      <c r="M10" s="700" t="str">
        <f>IF($E$1=1,IF(OR('prev. run'!M10&gt;0,'prev. run'!M10&lt;0),'prev. run'!M10,""),IF(OR('base case'!M10&gt;0,'base case'!M10&lt;0),'base case'!M10,""))</f>
        <v/>
      </c>
      <c r="N10" s="700" t="str">
        <f>IF($E$1=1,IF(OR('prev. run'!N10&gt;0,'prev. run'!N10&lt;0),'prev. run'!N10,""),IF(OR('base case'!N10&gt;0,'base case'!N10&lt;0),'base case'!N10,""))</f>
        <v/>
      </c>
      <c r="O10" s="700" t="str">
        <f>IF($E$1=1,IF(OR('prev. run'!O10&gt;0,'prev. run'!O10&lt;0),'prev. run'!O10,""),IF(OR('base case'!O10&gt;0,'base case'!O10&lt;0),'base case'!O10,""))</f>
        <v/>
      </c>
      <c r="P10" s="701"/>
      <c r="Q10" s="701"/>
      <c r="R10" s="701"/>
      <c r="S10" s="701"/>
      <c r="T10" s="701"/>
      <c r="U10" s="701"/>
      <c r="V10" s="701"/>
    </row>
    <row r="11" spans="1:22" s="693" customFormat="1">
      <c r="A11" s="699" t="str">
        <f>'%-Deviations from prev. results'!A15</f>
        <v>Consumption (Cn)</v>
      </c>
      <c r="B11" s="700">
        <f>IF($E$1=1,IF(OR('prev. run'!B11&gt;0,'prev. run'!B11&lt;0),'prev. run'!B11,""),IF(OR('base case'!B11&gt;0,'base case'!B11&lt;0),'base case'!B11,""))</f>
        <v>7.5486551730764369</v>
      </c>
      <c r="C11" s="700">
        <f>IF($E$1=1,IF(OR('prev. run'!C11&gt;0,'prev. run'!C11&lt;0),'prev. run'!C11,""),IF(OR('base case'!C11&gt;0,'base case'!C11&lt;0),'base case'!C11,""))</f>
        <v>8.9893590705349169</v>
      </c>
      <c r="D11" s="700">
        <f>IF($E$1=1,IF(OR('prev. run'!D11&gt;0,'prev. run'!D11&lt;0),'prev. run'!D11,""),IF(OR('base case'!D11&gt;0,'base case'!D11&lt;0),'base case'!D11,""))</f>
        <v>9.6341720526781192</v>
      </c>
      <c r="E11" s="700">
        <f>IF($E$1=1,IF(OR('prev. run'!E11&gt;0,'prev. run'!E11&lt;0),'prev. run'!E11,""),IF(OR('base case'!E11&gt;0,'base case'!E11&lt;0),'base case'!E11,""))</f>
        <v>9.7847791649873965</v>
      </c>
      <c r="F11" s="700" t="str">
        <f>IF($E$1=1,IF(OR('prev. run'!F11&gt;0,'prev. run'!F11&lt;0),'prev. run'!F11,""),IF(OR('base case'!F11&gt;0,'base case'!F11&lt;0),'base case'!F11,""))</f>
        <v/>
      </c>
      <c r="G11" s="700" t="str">
        <f>IF($E$1=1,IF(OR('prev. run'!G11&gt;0,'prev. run'!G11&lt;0),'prev. run'!G11,""),IF(OR('base case'!G11&gt;0,'base case'!G11&lt;0),'base case'!G11,""))</f>
        <v/>
      </c>
      <c r="H11" s="700" t="str">
        <f>IF($E$1=1,IF(OR('prev. run'!H11&gt;0,'prev. run'!H11&lt;0),'prev. run'!H11,""),IF(OR('base case'!H11&gt;0,'base case'!H11&lt;0),'base case'!H11,""))</f>
        <v/>
      </c>
      <c r="I11" s="700" t="str">
        <f>IF($E$1=1,IF(OR('prev. run'!I11&gt;0,'prev. run'!I11&lt;0),'prev. run'!I11,""),IF(OR('base case'!I11&gt;0,'base case'!I11&lt;0),'base case'!I11,""))</f>
        <v/>
      </c>
      <c r="J11" s="700" t="str">
        <f>IF($E$1=1,IF(OR('prev. run'!J11&gt;0,'prev. run'!J11&lt;0),'prev. run'!J11,""),IF(OR('base case'!J11&gt;0,'base case'!J11&lt;0),'base case'!J11,""))</f>
        <v/>
      </c>
      <c r="K11" s="700" t="str">
        <f>IF($E$1=1,IF(OR('prev. run'!K11&gt;0,'prev. run'!K11&lt;0),'prev. run'!K11,""),IF(OR('base case'!K11&gt;0,'base case'!K11&lt;0),'base case'!K11,""))</f>
        <v/>
      </c>
      <c r="L11" s="700" t="str">
        <f>IF($E$1=1,IF(OR('prev. run'!L11&gt;0,'prev. run'!L11&lt;0),'prev. run'!L11,""),IF(OR('base case'!L11&gt;0,'base case'!L11&lt;0),'base case'!L11,""))</f>
        <v/>
      </c>
      <c r="M11" s="700" t="str">
        <f>IF($E$1=1,IF(OR('prev. run'!M11&gt;0,'prev. run'!M11&lt;0),'prev. run'!M11,""),IF(OR('base case'!M11&gt;0,'base case'!M11&lt;0),'base case'!M11,""))</f>
        <v/>
      </c>
      <c r="N11" s="700" t="str">
        <f>IF($E$1=1,IF(OR('prev. run'!N11&gt;0,'prev. run'!N11&lt;0),'prev. run'!N11,""),IF(OR('base case'!N11&gt;0,'base case'!N11&lt;0),'base case'!N11,""))</f>
        <v/>
      </c>
      <c r="O11" s="700" t="str">
        <f>IF($E$1=1,IF(OR('prev. run'!O11&gt;0,'prev. run'!O11&lt;0),'prev. run'!O11,""),IF(OR('base case'!O11&gt;0,'base case'!O11&lt;0),'base case'!O11,""))</f>
        <v/>
      </c>
      <c r="P11" s="701"/>
      <c r="Q11" s="701"/>
      <c r="R11" s="701"/>
      <c r="S11" s="701"/>
      <c r="T11" s="701"/>
      <c r="U11" s="701"/>
      <c r="V11" s="701"/>
    </row>
    <row r="12" spans="1:22" s="693" customFormat="1">
      <c r="A12" s="699" t="str">
        <f>'%-Deviations from prev. results'!A16</f>
        <v>Import Price (Pm)</v>
      </c>
      <c r="B12" s="700">
        <f>IF($E$1=1,IF(OR('prev. run'!B12&gt;0,'prev. run'!B12&lt;0),'prev. run'!B12,""),IF(OR('base case'!B12&gt;0,'base case'!B12&lt;0),'base case'!B12,""))</f>
        <v>3.5586619654913725</v>
      </c>
      <c r="C12" s="700">
        <f>IF($E$1=1,IF(OR('prev. run'!C12&gt;0,'prev. run'!C12&lt;0),'prev. run'!C12,""),IF(OR('base case'!C12&gt;0,'base case'!C12&lt;0),'base case'!C12,""))</f>
        <v>3.5094371969146398</v>
      </c>
      <c r="D12" s="700">
        <f>IF($E$1=1,IF(OR('prev. run'!D12&gt;0,'prev. run'!D12&lt;0),'prev. run'!D12,""),IF(OR('base case'!D12&gt;0,'base case'!D12&lt;0),'base case'!D12,""))</f>
        <v>4.2271588524354415</v>
      </c>
      <c r="E12" s="700">
        <f>IF($E$1=1,IF(OR('prev. run'!E12&gt;0,'prev. run'!E12&lt;0),'prev. run'!E12,""),IF(OR('base case'!E12&gt;0,'base case'!E12&lt;0),'base case'!E12,""))</f>
        <v>4.8665182419784436</v>
      </c>
      <c r="F12" s="700" t="str">
        <f>IF($E$1=1,IF(OR('prev. run'!F12&gt;0,'prev. run'!F12&lt;0),'prev. run'!F12,""),IF(OR('base case'!F12&gt;0,'base case'!F12&lt;0),'base case'!F12,""))</f>
        <v/>
      </c>
      <c r="G12" s="700" t="str">
        <f>IF($E$1=1,IF(OR('prev. run'!G12&gt;0,'prev. run'!G12&lt;0),'prev. run'!G12,""),IF(OR('base case'!G12&gt;0,'base case'!G12&lt;0),'base case'!G12,""))</f>
        <v/>
      </c>
      <c r="H12" s="700" t="str">
        <f>IF($E$1=1,IF(OR('prev. run'!H12&gt;0,'prev. run'!H12&lt;0),'prev. run'!H12,""),IF(OR('base case'!H12&gt;0,'base case'!H12&lt;0),'base case'!H12,""))</f>
        <v/>
      </c>
      <c r="I12" s="700" t="str">
        <f>IF($E$1=1,IF(OR('prev. run'!I12&gt;0,'prev. run'!I12&lt;0),'prev. run'!I12,""),IF(OR('base case'!I12&gt;0,'base case'!I12&lt;0),'base case'!I12,""))</f>
        <v/>
      </c>
      <c r="J12" s="700" t="str">
        <f>IF($E$1=1,IF(OR('prev. run'!J12&gt;0,'prev. run'!J12&lt;0),'prev. run'!J12,""),IF(OR('base case'!J12&gt;0,'base case'!J12&lt;0),'base case'!J12,""))</f>
        <v/>
      </c>
      <c r="K12" s="700" t="str">
        <f>IF($E$1=1,IF(OR('prev. run'!K12&gt;0,'prev. run'!K12&lt;0),'prev. run'!K12,""),IF(OR('base case'!K12&gt;0,'base case'!K12&lt;0),'base case'!K12,""))</f>
        <v/>
      </c>
      <c r="L12" s="700" t="str">
        <f>IF($E$1=1,IF(OR('prev. run'!L12&gt;0,'prev. run'!L12&lt;0),'prev. run'!L12,""),IF(OR('base case'!L12&gt;0,'base case'!L12&lt;0),'base case'!L12,""))</f>
        <v/>
      </c>
      <c r="M12" s="700" t="str">
        <f>IF($E$1=1,IF(OR('prev. run'!M12&gt;0,'prev. run'!M12&lt;0),'prev. run'!M12,""),IF(OR('base case'!M12&gt;0,'base case'!M12&lt;0),'base case'!M12,""))</f>
        <v/>
      </c>
      <c r="N12" s="700" t="str">
        <f>IF($E$1=1,IF(OR('prev. run'!N12&gt;0,'prev. run'!N12&lt;0),'prev. run'!N12,""),IF(OR('base case'!N12&gt;0,'base case'!N12&lt;0),'base case'!N12,""))</f>
        <v/>
      </c>
      <c r="O12" s="700" t="str">
        <f>IF($E$1=1,IF(OR('prev. run'!O12&gt;0,'prev. run'!O12&lt;0),'prev. run'!O12,""),IF(OR('base case'!O12&gt;0,'base case'!O12&lt;0),'base case'!O12,""))</f>
        <v/>
      </c>
      <c r="P12" s="701"/>
      <c r="Q12" s="701"/>
      <c r="R12" s="701"/>
      <c r="S12" s="701"/>
      <c r="T12" s="701"/>
      <c r="U12" s="701"/>
      <c r="V12" s="701"/>
    </row>
    <row r="13" spans="1:22" s="693" customFormat="1">
      <c r="A13" s="699" t="str">
        <f>'%-Deviations from prev. results'!A17</f>
        <v>Export Price (Pe)</v>
      </c>
      <c r="B13" s="700">
        <f>IF($E$1=1,IF(OR('prev. run'!B13&gt;0,'prev. run'!B13&lt;0),'prev. run'!B13,""),IF(OR('base case'!B13&gt;0,'base case'!B13&lt;0),'base case'!B13,""))</f>
        <v>3.1107999999999998</v>
      </c>
      <c r="C13" s="700">
        <f>IF($E$1=1,IF(OR('prev. run'!C13&gt;0,'prev. run'!C13&lt;0),'prev. run'!C13,""),IF(OR('base case'!C13&gt;0,'base case'!C13&lt;0),'base case'!C13,""))</f>
        <v>3.8356682659613921</v>
      </c>
      <c r="D13" s="700">
        <f>IF($E$1=1,IF(OR('prev. run'!D13&gt;0,'prev. run'!D13&lt;0),'prev. run'!D13,""),IF(OR('base case'!D13&gt;0,'base case'!D13&lt;0),'base case'!D13,""))</f>
        <v>4.5935817361253335</v>
      </c>
      <c r="E13" s="700">
        <f>IF($E$1=1,IF(OR('prev. run'!E13&gt;0,'prev. run'!E13&lt;0),'prev. run'!E13,""),IF(OR('base case'!E13&gt;0,'base case'!E13&lt;0),'base case'!E13,""))</f>
        <v>5.3028757256164338</v>
      </c>
      <c r="F13" s="700" t="str">
        <f>IF($E$1=1,IF(OR('prev. run'!F13&gt;0,'prev. run'!F13&lt;0),'prev. run'!F13,""),IF(OR('base case'!F13&gt;0,'base case'!F13&lt;0),'base case'!F13,""))</f>
        <v/>
      </c>
      <c r="G13" s="700" t="str">
        <f>IF($E$1=1,IF(OR('prev. run'!G13&gt;0,'prev. run'!G13&lt;0),'prev. run'!G13,""),IF(OR('base case'!G13&gt;0,'base case'!G13&lt;0),'base case'!G13,""))</f>
        <v/>
      </c>
      <c r="H13" s="700" t="str">
        <f>IF($E$1=1,IF(OR('prev. run'!H13&gt;0,'prev. run'!H13&lt;0),'prev. run'!H13,""),IF(OR('base case'!H13&gt;0,'base case'!H13&lt;0),'base case'!H13,""))</f>
        <v/>
      </c>
      <c r="I13" s="700" t="str">
        <f>IF($E$1=1,IF(OR('prev. run'!I13&gt;0,'prev. run'!I13&lt;0),'prev. run'!I13,""),IF(OR('base case'!I13&gt;0,'base case'!I13&lt;0),'base case'!I13,""))</f>
        <v/>
      </c>
      <c r="J13" s="700" t="str">
        <f>IF($E$1=1,IF(OR('prev. run'!J13&gt;0,'prev. run'!J13&lt;0),'prev. run'!J13,""),IF(OR('base case'!J13&gt;0,'base case'!J13&lt;0),'base case'!J13,""))</f>
        <v/>
      </c>
      <c r="K13" s="700" t="str">
        <f>IF($E$1=1,IF(OR('prev. run'!K13&gt;0,'prev. run'!K13&lt;0),'prev. run'!K13,""),IF(OR('base case'!K13&gt;0,'base case'!K13&lt;0),'base case'!K13,""))</f>
        <v/>
      </c>
      <c r="L13" s="700" t="str">
        <f>IF($E$1=1,IF(OR('prev. run'!L13&gt;0,'prev. run'!L13&lt;0),'prev. run'!L13,""),IF(OR('base case'!L13&gt;0,'base case'!L13&lt;0),'base case'!L13,""))</f>
        <v/>
      </c>
      <c r="M13" s="700" t="str">
        <f>IF($E$1=1,IF(OR('prev. run'!M13&gt;0,'prev. run'!M13&lt;0),'prev. run'!M13,""),IF(OR('base case'!M13&gt;0,'base case'!M13&lt;0),'base case'!M13,""))</f>
        <v/>
      </c>
      <c r="N13" s="700" t="str">
        <f>IF($E$1=1,IF(OR('prev. run'!N13&gt;0,'prev. run'!N13&lt;0),'prev. run'!N13,""),IF(OR('base case'!N13&gt;0,'base case'!N13&lt;0),'base case'!N13,""))</f>
        <v/>
      </c>
      <c r="O13" s="700" t="str">
        <f>IF($E$1=1,IF(OR('prev. run'!O13&gt;0,'prev. run'!O13&lt;0),'prev. run'!O13,""),IF(OR('base case'!O13&gt;0,'base case'!O13&lt;0),'base case'!O13,""))</f>
        <v/>
      </c>
      <c r="P13" s="701"/>
      <c r="Q13" s="701"/>
      <c r="R13" s="701"/>
      <c r="S13" s="701"/>
      <c r="T13" s="701"/>
      <c r="U13" s="701"/>
      <c r="V13" s="701"/>
    </row>
    <row r="14" spans="1:22" s="693" customFormat="1">
      <c r="A14" s="699" t="str">
        <f>'%-Deviations from prev. results'!A18</f>
        <v>Sales Price (Pt)</v>
      </c>
      <c r="B14" s="700">
        <f>IF($E$1=1,IF(OR('prev. run'!B14&gt;0,'prev. run'!B14&lt;0),'prev. run'!B14,""),IF(OR('base case'!B14&gt;0,'base case'!B14&lt;0),'base case'!B14,""))</f>
        <v>1.0419451173306802</v>
      </c>
      <c r="C14" s="700">
        <f>IF($E$1=1,IF(OR('prev. run'!C14&gt;0,'prev. run'!C14&lt;0),'prev. run'!C14,""),IF(OR('base case'!C14&gt;0,'base case'!C14&lt;0),'base case'!C14,""))</f>
        <v>1.1790164270204868</v>
      </c>
      <c r="D14" s="700">
        <f>IF($E$1=1,IF(OR('prev. run'!D14&gt;0,'prev. run'!D14&lt;0),'prev. run'!D14,""),IF(OR('base case'!D14&gt;0,'base case'!D14&lt;0),'base case'!D14,""))</f>
        <v>1.3970060246350893</v>
      </c>
      <c r="E14" s="700">
        <f>IF($E$1=1,IF(OR('prev. run'!E14&gt;0,'prev. run'!E14&lt;0),'prev. run'!E14,""),IF(OR('base case'!E14&gt;0,'base case'!E14&lt;0),'base case'!E14,""))</f>
        <v>1.5914010988111833</v>
      </c>
      <c r="F14" s="700" t="str">
        <f>IF($E$1=1,IF(OR('prev. run'!F14&gt;0,'prev. run'!F14&lt;0),'prev. run'!F14,""),IF(OR('base case'!F14&gt;0,'base case'!F14&lt;0),'base case'!F14,""))</f>
        <v/>
      </c>
      <c r="G14" s="700" t="str">
        <f>IF($E$1=1,IF(OR('prev. run'!G14&gt;0,'prev. run'!G14&lt;0),'prev. run'!G14,""),IF(OR('base case'!G14&gt;0,'base case'!G14&lt;0),'base case'!G14,""))</f>
        <v/>
      </c>
      <c r="H14" s="700" t="str">
        <f>IF($E$1=1,IF(OR('prev. run'!H14&gt;0,'prev. run'!H14&lt;0),'prev. run'!H14,""),IF(OR('base case'!H14&gt;0,'base case'!H14&lt;0),'base case'!H14,""))</f>
        <v/>
      </c>
      <c r="I14" s="700" t="str">
        <f>IF($E$1=1,IF(OR('prev. run'!I14&gt;0,'prev. run'!I14&lt;0),'prev. run'!I14,""),IF(OR('base case'!I14&gt;0,'base case'!I14&lt;0),'base case'!I14,""))</f>
        <v/>
      </c>
      <c r="J14" s="700" t="str">
        <f>IF($E$1=1,IF(OR('prev. run'!J14&gt;0,'prev. run'!J14&lt;0),'prev. run'!J14,""),IF(OR('base case'!J14&gt;0,'base case'!J14&lt;0),'base case'!J14,""))</f>
        <v/>
      </c>
      <c r="K14" s="700" t="str">
        <f>IF($E$1=1,IF(OR('prev. run'!K14&gt;0,'prev. run'!K14&lt;0),'prev. run'!K14,""),IF(OR('base case'!K14&gt;0,'base case'!K14&lt;0),'base case'!K14,""))</f>
        <v/>
      </c>
      <c r="L14" s="700" t="str">
        <f>IF($E$1=1,IF(OR('prev. run'!L14&gt;0,'prev. run'!L14&lt;0),'prev. run'!L14,""),IF(OR('base case'!L14&gt;0,'base case'!L14&lt;0),'base case'!L14,""))</f>
        <v/>
      </c>
      <c r="M14" s="700" t="str">
        <f>IF($E$1=1,IF(OR('prev. run'!M14&gt;0,'prev. run'!M14&lt;0),'prev. run'!M14,""),IF(OR('base case'!M14&gt;0,'base case'!M14&lt;0),'base case'!M14,""))</f>
        <v/>
      </c>
      <c r="N14" s="700" t="str">
        <f>IF($E$1=1,IF(OR('prev. run'!N14&gt;0,'prev. run'!N14&lt;0),'prev. run'!N14,""),IF(OR('base case'!N14&gt;0,'base case'!N14&lt;0),'base case'!N14,""))</f>
        <v/>
      </c>
      <c r="O14" s="700" t="str">
        <f>IF($E$1=1,IF(OR('prev. run'!O14&gt;0,'prev. run'!O14&lt;0),'prev. run'!O14,""),IF(OR('base case'!O14&gt;0,'base case'!O14&lt;0),'base case'!O14,""))</f>
        <v/>
      </c>
      <c r="P14" s="701"/>
      <c r="Q14" s="701"/>
      <c r="R14" s="701"/>
      <c r="S14" s="701"/>
      <c r="T14" s="701"/>
      <c r="U14" s="701"/>
      <c r="V14" s="701"/>
    </row>
    <row r="15" spans="1:22" s="693" customFormat="1">
      <c r="A15" s="699" t="str">
        <f>'%-Deviations from prev. results'!A19</f>
        <v>Price of Supply (Pq)</v>
      </c>
      <c r="B15" s="700">
        <f>IF($E$1=1,IF(OR('prev. run'!B15&gt;0,'prev. run'!B15&lt;0),'prev. run'!B15,""),IF(OR('base case'!B15&gt;0,'base case'!B15&lt;0),'base case'!B15,""))</f>
        <v>1</v>
      </c>
      <c r="C15" s="700">
        <f>IF($E$1=1,IF(OR('prev. run'!C15&gt;0,'prev. run'!C15&lt;0),'prev. run'!C15,""),IF(OR('base case'!C15&gt;0,'base case'!C15&lt;0),'base case'!C15,""))</f>
        <v>1.1239529347825079</v>
      </c>
      <c r="D15" s="700">
        <f>IF($E$1=1,IF(OR('prev. run'!D15&gt;0,'prev. run'!D15&lt;0),'prev. run'!D15,""),IF(OR('base case'!D15&gt;0,'base case'!D15&lt;0),'base case'!D15,""))</f>
        <v>1.3254112726238889</v>
      </c>
      <c r="E15" s="700">
        <f>IF($E$1=1,IF(OR('prev. run'!E15&gt;0,'prev. run'!E15&lt;0),'prev. run'!E15,""),IF(OR('base case'!E15&gt;0,'base case'!E15&lt;0),'base case'!E15,""))</f>
        <v>1.5041838994408674</v>
      </c>
      <c r="F15" s="700" t="str">
        <f>IF($E$1=1,IF(OR('prev. run'!F15&gt;0,'prev. run'!F15&lt;0),'prev. run'!F15,""),IF(OR('base case'!F15&gt;0,'base case'!F15&lt;0),'base case'!F15,""))</f>
        <v/>
      </c>
      <c r="G15" s="700" t="str">
        <f>IF($E$1=1,IF(OR('prev. run'!G15&gt;0,'prev. run'!G15&lt;0),'prev. run'!G15,""),IF(OR('base case'!G15&gt;0,'base case'!G15&lt;0),'base case'!G15,""))</f>
        <v/>
      </c>
      <c r="H15" s="700" t="str">
        <f>IF($E$1=1,IF(OR('prev. run'!H15&gt;0,'prev. run'!H15&lt;0),'prev. run'!H15,""),IF(OR('base case'!H15&gt;0,'base case'!H15&lt;0),'base case'!H15,""))</f>
        <v/>
      </c>
      <c r="I15" s="700" t="str">
        <f>IF($E$1=1,IF(OR('prev. run'!I15&gt;0,'prev. run'!I15&lt;0),'prev. run'!I15,""),IF(OR('base case'!I15&gt;0,'base case'!I15&lt;0),'base case'!I15,""))</f>
        <v/>
      </c>
      <c r="J15" s="700" t="str">
        <f>IF($E$1=1,IF(OR('prev. run'!J15&gt;0,'prev. run'!J15&lt;0),'prev. run'!J15,""),IF(OR('base case'!J15&gt;0,'base case'!J15&lt;0),'base case'!J15,""))</f>
        <v/>
      </c>
      <c r="K15" s="700" t="str">
        <f>IF($E$1=1,IF(OR('prev. run'!K15&gt;0,'prev. run'!K15&lt;0),'prev. run'!K15,""),IF(OR('base case'!K15&gt;0,'base case'!K15&lt;0),'base case'!K15,""))</f>
        <v/>
      </c>
      <c r="L15" s="700" t="str">
        <f>IF($E$1=1,IF(OR('prev. run'!L15&gt;0,'prev. run'!L15&lt;0),'prev. run'!L15,""),IF(OR('base case'!L15&gt;0,'base case'!L15&lt;0),'base case'!L15,""))</f>
        <v/>
      </c>
      <c r="M15" s="700" t="str">
        <f>IF($E$1=1,IF(OR('prev. run'!M15&gt;0,'prev. run'!M15&lt;0),'prev. run'!M15,""),IF(OR('base case'!M15&gt;0,'base case'!M15&lt;0),'base case'!M15,""))</f>
        <v/>
      </c>
      <c r="N15" s="700" t="str">
        <f>IF($E$1=1,IF(OR('prev. run'!N15&gt;0,'prev. run'!N15&lt;0),'prev. run'!N15,""),IF(OR('base case'!N15&gt;0,'base case'!N15&lt;0),'base case'!N15,""))</f>
        <v/>
      </c>
      <c r="O15" s="700" t="str">
        <f>IF($E$1=1,IF(OR('prev. run'!O15&gt;0,'prev. run'!O15&lt;0),'prev. run'!O15,""),IF(OR('base case'!O15&gt;0,'base case'!O15&lt;0),'base case'!O15,""))</f>
        <v/>
      </c>
      <c r="P15" s="701"/>
      <c r="Q15" s="701"/>
      <c r="R15" s="701"/>
      <c r="S15" s="701"/>
      <c r="T15" s="701"/>
      <c r="U15" s="701"/>
      <c r="V15" s="701"/>
    </row>
    <row r="16" spans="1:22" s="693" customFormat="1">
      <c r="A16" s="699" t="str">
        <f>'%-Deviations from prev. results'!A20</f>
        <v>Price of Dom. Good (Pd)</v>
      </c>
      <c r="B16" s="700">
        <f>IF($E$1=1,IF(OR('prev. run'!B16&gt;0,'prev. run'!B16&lt;0),'prev. run'!B16,""),IF(OR('base case'!B16&gt;0,'base case'!B16&lt;0),'base case'!B16,""))</f>
        <v>1</v>
      </c>
      <c r="C16" s="700">
        <f>IF($E$1=1,IF(OR('prev. run'!C16&gt;0,'prev. run'!C16&lt;0),'prev. run'!C16,""),IF(OR('base case'!C16&gt;0,'base case'!C16&lt;0),'base case'!C16,""))</f>
        <v>1.2573488246527318</v>
      </c>
      <c r="D16" s="700">
        <f>IF($E$1=1,IF(OR('prev. run'!D16&gt;0,'prev. run'!D16&lt;0),'prev. run'!D16,""),IF(OR('base case'!D16&gt;0,'base case'!D16&lt;0),'base case'!D16,""))</f>
        <v>1.4570608571762034</v>
      </c>
      <c r="E16" s="700">
        <f>IF($E$1=1,IF(OR('prev. run'!E16&gt;0,'prev. run'!E16&lt;0),'prev. run'!E16,""),IF(OR('base case'!E16&gt;0,'base case'!E16&lt;0),'base case'!E16,""))</f>
        <v>1.633958741557286</v>
      </c>
      <c r="F16" s="700" t="str">
        <f>IF($E$1=1,IF(OR('prev. run'!F16&gt;0,'prev. run'!F16&lt;0),'prev. run'!F16,""),IF(OR('base case'!F16&gt;0,'base case'!F16&lt;0),'base case'!F16,""))</f>
        <v/>
      </c>
      <c r="G16" s="700" t="str">
        <f>IF($E$1=1,IF(OR('prev. run'!G16&gt;0,'prev. run'!G16&lt;0),'prev. run'!G16,""),IF(OR('base case'!G16&gt;0,'base case'!G16&lt;0),'base case'!G16,""))</f>
        <v/>
      </c>
      <c r="H16" s="700" t="str">
        <f>IF($E$1=1,IF(OR('prev. run'!H16&gt;0,'prev. run'!H16&lt;0),'prev. run'!H16,""),IF(OR('base case'!H16&gt;0,'base case'!H16&lt;0),'base case'!H16,""))</f>
        <v/>
      </c>
      <c r="I16" s="700" t="str">
        <f>IF($E$1=1,IF(OR('prev. run'!I16&gt;0,'prev. run'!I16&lt;0),'prev. run'!I16,""),IF(OR('base case'!I16&gt;0,'base case'!I16&lt;0),'base case'!I16,""))</f>
        <v/>
      </c>
      <c r="J16" s="700" t="str">
        <f>IF($E$1=1,IF(OR('prev. run'!J16&gt;0,'prev. run'!J16&lt;0),'prev. run'!J16,""),IF(OR('base case'!J16&gt;0,'base case'!J16&lt;0),'base case'!J16,""))</f>
        <v/>
      </c>
      <c r="K16" s="700" t="str">
        <f>IF($E$1=1,IF(OR('prev. run'!K16&gt;0,'prev. run'!K16&lt;0),'prev. run'!K16,""),IF(OR('base case'!K16&gt;0,'base case'!K16&lt;0),'base case'!K16,""))</f>
        <v/>
      </c>
      <c r="L16" s="700" t="str">
        <f>IF($E$1=1,IF(OR('prev. run'!L16&gt;0,'prev. run'!L16&lt;0),'prev. run'!L16,""),IF(OR('base case'!L16&gt;0,'base case'!L16&lt;0),'base case'!L16,""))</f>
        <v/>
      </c>
      <c r="M16" s="700" t="str">
        <f>IF($E$1=1,IF(OR('prev. run'!M16&gt;0,'prev. run'!M16&lt;0),'prev. run'!M16,""),IF(OR('base case'!M16&gt;0,'base case'!M16&lt;0),'base case'!M16,""))</f>
        <v/>
      </c>
      <c r="N16" s="700" t="str">
        <f>IF($E$1=1,IF(OR('prev. run'!N16&gt;0,'prev. run'!N16&lt;0),'prev. run'!N16,""),IF(OR('base case'!N16&gt;0,'base case'!N16&lt;0),'base case'!N16,""))</f>
        <v/>
      </c>
      <c r="O16" s="700" t="str">
        <f>IF($E$1=1,IF(OR('prev. run'!O16&gt;0,'prev. run'!O16&lt;0),'prev. run'!O16,""),IF(OR('base case'!O16&gt;0,'base case'!O16&lt;0),'base case'!O16,""))</f>
        <v/>
      </c>
      <c r="P16" s="701"/>
      <c r="Q16" s="701"/>
      <c r="R16" s="701"/>
      <c r="S16" s="701"/>
      <c r="T16" s="701"/>
      <c r="U16" s="701"/>
      <c r="V16" s="701"/>
    </row>
    <row r="17" spans="1:22" s="693" customFormat="1">
      <c r="A17" s="699" t="str">
        <f>'%-Deviations from prev. results'!A21</f>
        <v>Gross Price of Output</v>
      </c>
      <c r="B17" s="700">
        <f>IF($E$1=1,IF(OR('prev. run'!B17&gt;0,'prev. run'!B17&lt;0),'prev. run'!B17,""),IF(OR('base case'!B17&gt;0,'base case'!B17&lt;0),'base case'!B17,""))</f>
        <v>1.1173482271505177</v>
      </c>
      <c r="C17" s="700">
        <f>IF($E$1=1,IF(OR('prev. run'!C17&gt;0,'prev. run'!C17&lt;0),'prev. run'!C17,""),IF(OR('base case'!C17&gt;0,'base case'!C17&lt;0),'base case'!C17,""))</f>
        <v>0.91920802874125229</v>
      </c>
      <c r="D17" s="700">
        <f>IF($E$1=1,IF(OR('prev. run'!D17&gt;0,'prev. run'!D17&lt;0),'prev. run'!D17,""),IF(OR('base case'!D17&gt;0,'base case'!D17&lt;0),'base case'!D17,""))</f>
        <v>0.93928331173648738</v>
      </c>
      <c r="E17" s="700">
        <f>IF($E$1=1,IF(OR('prev. run'!E17&gt;0,'prev. run'!E17&lt;0),'prev. run'!E17,""),IF(OR('base case'!E17&gt;0,'base case'!E17&lt;0),'base case'!E17,""))</f>
        <v>0.95703252453494225</v>
      </c>
      <c r="F17" s="700" t="str">
        <f>IF($E$1=1,IF(OR('prev. run'!F17&gt;0,'prev. run'!F17&lt;0),'prev. run'!F17,""),IF(OR('base case'!F17&gt;0,'base case'!F17&lt;0),'base case'!F17,""))</f>
        <v/>
      </c>
      <c r="G17" s="700" t="str">
        <f>IF($E$1=1,IF(OR('prev. run'!G17&gt;0,'prev. run'!G17&lt;0),'prev. run'!G17,""),IF(OR('base case'!G17&gt;0,'base case'!G17&lt;0),'base case'!G17,""))</f>
        <v/>
      </c>
      <c r="H17" s="700" t="str">
        <f>IF($E$1=1,IF(OR('prev. run'!H17&gt;0,'prev. run'!H17&lt;0),'prev. run'!H17,""),IF(OR('base case'!H17&gt;0,'base case'!H17&lt;0),'base case'!H17,""))</f>
        <v/>
      </c>
      <c r="I17" s="700" t="str">
        <f>IF($E$1=1,IF(OR('prev. run'!I17&gt;0,'prev. run'!I17&lt;0),'prev. run'!I17,""),IF(OR('base case'!I17&gt;0,'base case'!I17&lt;0),'base case'!I17,""))</f>
        <v/>
      </c>
      <c r="J17" s="700" t="str">
        <f>IF($E$1=1,IF(OR('prev. run'!J17&gt;0,'prev. run'!J17&lt;0),'prev. run'!J17,""),IF(OR('base case'!J17&gt;0,'base case'!J17&lt;0),'base case'!J17,""))</f>
        <v/>
      </c>
      <c r="K17" s="700" t="str">
        <f>IF($E$1=1,IF(OR('prev. run'!K17&gt;0,'prev. run'!K17&lt;0),'prev. run'!K17,""),IF(OR('base case'!K17&gt;0,'base case'!K17&lt;0),'base case'!K17,""))</f>
        <v/>
      </c>
      <c r="L17" s="700" t="str">
        <f>IF($E$1=1,IF(OR('prev. run'!L17&gt;0,'prev. run'!L17&lt;0),'prev. run'!L17,""),IF(OR('base case'!L17&gt;0,'base case'!L17&lt;0),'base case'!L17,""))</f>
        <v/>
      </c>
      <c r="M17" s="700" t="str">
        <f>IF($E$1=1,IF(OR('prev. run'!M17&gt;0,'prev. run'!M17&lt;0),'prev. run'!M17,""),IF(OR('base case'!M17&gt;0,'base case'!M17&lt;0),'base case'!M17,""))</f>
        <v/>
      </c>
      <c r="N17" s="700" t="str">
        <f>IF($E$1=1,IF(OR('prev. run'!N17&gt;0,'prev. run'!N17&lt;0),'prev. run'!N17,""),IF(OR('base case'!N17&gt;0,'base case'!N17&lt;0),'base case'!N17,""))</f>
        <v/>
      </c>
      <c r="O17" s="700" t="str">
        <f>IF($E$1=1,IF(OR('prev. run'!O17&gt;0,'prev. run'!O17&lt;0),'prev. run'!O17,""),IF(OR('base case'!O17&gt;0,'base case'!O17&lt;0),'base case'!O17,""))</f>
        <v/>
      </c>
      <c r="P17" s="701"/>
      <c r="Q17" s="701"/>
      <c r="R17" s="701"/>
      <c r="S17" s="701"/>
      <c r="T17" s="701"/>
      <c r="U17" s="701"/>
      <c r="V17" s="701"/>
    </row>
    <row r="18" spans="1:22" s="693" customFormat="1">
      <c r="A18" s="699" t="str">
        <f>'%-Deviations from prev. results'!A22</f>
        <v>Real Exchange Rate (PPP)</v>
      </c>
      <c r="B18" s="700">
        <f>IF($E$1=1,IF(OR('prev. run'!B18&gt;0,'prev. run'!B18&lt;0),'prev. run'!B18,""),IF(OR('base case'!B18&gt;0,'base case'!B18&lt;0),'base case'!B18,""))</f>
        <v>1</v>
      </c>
      <c r="C18" s="700">
        <f>IF($E$1=1,IF(OR('prev. run'!C18&gt;0,'prev. run'!C18&lt;0),'prev. run'!C18,""),IF(OR('base case'!C18&gt;0,'base case'!C18&lt;0),'base case'!C18,""))</f>
        <v>1</v>
      </c>
      <c r="D18" s="700">
        <f>IF($E$1=1,IF(OR('prev. run'!D18&gt;0,'prev. run'!D18&lt;0),'prev. run'!D18,""),IF(OR('base case'!D18&gt;0,'base case'!D18&lt;0),'base case'!D18,""))</f>
        <v>1</v>
      </c>
      <c r="E18" s="700">
        <f>IF($E$1=1,IF(OR('prev. run'!E18&gt;0,'prev. run'!E18&lt;0),'prev. run'!E18,""),IF(OR('base case'!E18&gt;0,'base case'!E18&lt;0),'base case'!E18,""))</f>
        <v>1</v>
      </c>
      <c r="F18" s="700" t="str">
        <f>IF($E$1=1,IF(OR('prev. run'!F18&gt;0,'prev. run'!F18&lt;0),'prev. run'!F18,""),IF(OR('base case'!F18&gt;0,'base case'!F18&lt;0),'base case'!F18,""))</f>
        <v/>
      </c>
      <c r="G18" s="700" t="str">
        <f>IF($E$1=1,IF(OR('prev. run'!G18&gt;0,'prev. run'!G18&lt;0),'prev. run'!G18,""),IF(OR('base case'!G18&gt;0,'base case'!G18&lt;0),'base case'!G18,""))</f>
        <v/>
      </c>
      <c r="H18" s="700" t="str">
        <f>IF($E$1=1,IF(OR('prev. run'!H18&gt;0,'prev. run'!H18&lt;0),'prev. run'!H18,""),IF(OR('base case'!H18&gt;0,'base case'!H18&lt;0),'base case'!H18,""))</f>
        <v/>
      </c>
      <c r="I18" s="700" t="str">
        <f>IF($E$1=1,IF(OR('prev. run'!I18&gt;0,'prev. run'!I18&lt;0),'prev. run'!I18,""),IF(OR('base case'!I18&gt;0,'base case'!I18&lt;0),'base case'!I18,""))</f>
        <v/>
      </c>
      <c r="J18" s="700" t="str">
        <f>IF($E$1=1,IF(OR('prev. run'!J18&gt;0,'prev. run'!J18&lt;0),'prev. run'!J18,""),IF(OR('base case'!J18&gt;0,'base case'!J18&lt;0),'base case'!J18,""))</f>
        <v/>
      </c>
      <c r="K18" s="700" t="str">
        <f>IF($E$1=1,IF(OR('prev. run'!K18&gt;0,'prev. run'!K18&lt;0),'prev. run'!K18,""),IF(OR('base case'!K18&gt;0,'base case'!K18&lt;0),'base case'!K18,""))</f>
        <v/>
      </c>
      <c r="L18" s="700" t="str">
        <f>IF($E$1=1,IF(OR('prev. run'!L18&gt;0,'prev. run'!L18&lt;0),'prev. run'!L18,""),IF(OR('base case'!L18&gt;0,'base case'!L18&lt;0),'base case'!L18,""))</f>
        <v/>
      </c>
      <c r="M18" s="700" t="str">
        <f>IF($E$1=1,IF(OR('prev. run'!M18&gt;0,'prev. run'!M18&lt;0),'prev. run'!M18,""),IF(OR('base case'!M18&gt;0,'base case'!M18&lt;0),'base case'!M18,""))</f>
        <v/>
      </c>
      <c r="N18" s="700" t="str">
        <f>IF($E$1=1,IF(OR('prev. run'!N18&gt;0,'prev. run'!N18&lt;0),'prev. run'!N18,""),IF(OR('base case'!N18&gt;0,'base case'!N18&lt;0),'base case'!N18,""))</f>
        <v/>
      </c>
      <c r="O18" s="700" t="str">
        <f>IF($E$1=1,IF(OR('prev. run'!O18&gt;0,'prev. run'!O18&lt;0),'prev. run'!O18,""),IF(OR('base case'!O18&gt;0,'base case'!O18&lt;0),'base case'!O18,""))</f>
        <v/>
      </c>
      <c r="P18" s="701"/>
      <c r="Q18" s="701"/>
      <c r="R18" s="701"/>
      <c r="S18" s="701"/>
      <c r="T18" s="701"/>
      <c r="U18" s="701"/>
      <c r="V18" s="701"/>
    </row>
    <row r="19" spans="1:22" s="693" customFormat="1">
      <c r="A19" s="699" t="str">
        <f>'%-Deviations from prev. results'!A23</f>
        <v>Investment (Z)</v>
      </c>
      <c r="B19" s="700">
        <f>IF($E$1=1,IF(OR('prev. run'!B19&gt;0,'prev. run'!B19&lt;0),'prev. run'!B19,""),IF(OR('base case'!B19&gt;0,'base case'!B19&lt;0),'base case'!B19,""))</f>
        <v>1.588183458490952</v>
      </c>
      <c r="C19" s="700">
        <f>IF($E$1=1,IF(OR('prev. run'!C19&gt;0,'prev. run'!C19&lt;0),'prev. run'!C19,""),IF(OR('base case'!C19&gt;0,'base case'!C19&lt;0),'base case'!C19,""))</f>
        <v>1.2334980290758841</v>
      </c>
      <c r="D19" s="700">
        <f>IF($E$1=1,IF(OR('prev. run'!D19&gt;0,'prev. run'!D19&lt;0),'prev. run'!D19,""),IF(OR('base case'!D19&gt;0,'base case'!D19&lt;0),'base case'!D19,""))</f>
        <v>0.89707490335756923</v>
      </c>
      <c r="E19" s="700">
        <f>IF($E$1=1,IF(OR('prev. run'!E19&gt;0,'prev. run'!E19&lt;0),'prev. run'!E19,""),IF(OR('base case'!E19&gt;0,'base case'!E19&lt;0),'base case'!E19,""))</f>
        <v>1.1628241563762116</v>
      </c>
      <c r="F19" s="700" t="str">
        <f>IF($E$1=1,IF(OR('prev. run'!F19&gt;0,'prev. run'!F19&lt;0),'prev. run'!F19,""),IF(OR('base case'!F19&gt;0,'base case'!F19&lt;0),'base case'!F19,""))</f>
        <v/>
      </c>
      <c r="G19" s="700" t="str">
        <f>IF($E$1=1,IF(OR('prev. run'!G19&gt;0,'prev. run'!G19&lt;0),'prev. run'!G19,""),IF(OR('base case'!G19&gt;0,'base case'!G19&lt;0),'base case'!G19,""))</f>
        <v/>
      </c>
      <c r="H19" s="700" t="str">
        <f>IF($E$1=1,IF(OR('prev. run'!H19&gt;0,'prev. run'!H19&lt;0),'prev. run'!H19,""),IF(OR('base case'!H19&gt;0,'base case'!H19&lt;0),'base case'!H19,""))</f>
        <v/>
      </c>
      <c r="I19" s="700" t="str">
        <f>IF($E$1=1,IF(OR('prev. run'!I19&gt;0,'prev. run'!I19&lt;0),'prev. run'!I19,""),IF(OR('base case'!I19&gt;0,'base case'!I19&lt;0),'base case'!I19,""))</f>
        <v/>
      </c>
      <c r="J19" s="700" t="str">
        <f>IF($E$1=1,IF(OR('prev. run'!J19&gt;0,'prev. run'!J19&lt;0),'prev. run'!J19,""),IF(OR('base case'!J19&gt;0,'base case'!J19&lt;0),'base case'!J19,""))</f>
        <v/>
      </c>
      <c r="K19" s="700" t="str">
        <f>IF($E$1=1,IF(OR('prev. run'!K19&gt;0,'prev. run'!K19&lt;0),'prev. run'!K19,""),IF(OR('base case'!K19&gt;0,'base case'!K19&lt;0),'base case'!K19,""))</f>
        <v/>
      </c>
      <c r="L19" s="700" t="str">
        <f>IF($E$1=1,IF(OR('prev. run'!L19&gt;0,'prev. run'!L19&lt;0),'prev. run'!L19,""),IF(OR('base case'!L19&gt;0,'base case'!L19&lt;0),'base case'!L19,""))</f>
        <v/>
      </c>
      <c r="M19" s="700" t="str">
        <f>IF($E$1=1,IF(OR('prev. run'!M19&gt;0,'prev. run'!M19&lt;0),'prev. run'!M19,""),IF(OR('base case'!M19&gt;0,'base case'!M19&lt;0),'base case'!M19,""))</f>
        <v/>
      </c>
      <c r="N19" s="700" t="str">
        <f>IF($E$1=1,IF(OR('prev. run'!N19&gt;0,'prev. run'!N19&lt;0),'prev. run'!N19,""),IF(OR('base case'!N19&gt;0,'base case'!N19&lt;0),'base case'!N19,""))</f>
        <v/>
      </c>
      <c r="O19" s="700" t="str">
        <f>IF($E$1=1,IF(OR('prev. run'!O19&gt;0,'prev. run'!O19&lt;0),'prev. run'!O19,""),IF(OR('base case'!O19&gt;0,'base case'!O19&lt;0),'base case'!O19,""))</f>
        <v/>
      </c>
      <c r="P19" s="701"/>
      <c r="Q19" s="701"/>
      <c r="R19" s="701"/>
      <c r="S19" s="701"/>
      <c r="T19" s="701"/>
      <c r="U19" s="701"/>
      <c r="V19" s="701"/>
    </row>
    <row r="20" spans="1:22" s="693" customFormat="1">
      <c r="A20" s="699" t="str">
        <f>'%-Deviations from prev. results'!A24</f>
        <v>Money Supply</v>
      </c>
      <c r="B20" s="700">
        <f>IF($E$1=1,IF(OR('prev. run'!B20&gt;0,'prev. run'!B20&lt;0),'prev. run'!B20,""),IF(OR('base case'!B20&gt;0,'base case'!B20&lt;0),'base case'!B20,""))</f>
        <v>1.7190066603741008</v>
      </c>
      <c r="C20" s="700">
        <f>IF($E$1=1,IF(OR('prev. run'!C20&gt;0,'prev. run'!C20&lt;0),'prev. run'!C20,""),IF(OR('base case'!C20&gt;0,'base case'!C20&lt;0),'base case'!C20,""))</f>
        <v>2.2158342508604205</v>
      </c>
      <c r="D20" s="700">
        <f>IF($E$1=1,IF(OR('prev. run'!D20&gt;0,'prev. run'!D20&lt;0),'prev. run'!D20,""),IF(OR('base case'!D20&gt;0,'base case'!D20&lt;0),'base case'!D20,""))</f>
        <v>2.7465820255197388</v>
      </c>
      <c r="E20" s="700">
        <f>IF($E$1=1,IF(OR('prev. run'!E20&gt;0,'prev. run'!E20&lt;0),'prev. run'!E20,""),IF(OR('base case'!E20&gt;0,'base case'!E20&lt;0),'base case'!E20,""))</f>
        <v>3.2897550972250169</v>
      </c>
      <c r="F20" s="700" t="str">
        <f>IF($E$1=1,IF(OR('prev. run'!F20&gt;0,'prev. run'!F20&lt;0),'prev. run'!F20,""),IF(OR('base case'!F20&gt;0,'base case'!F20&lt;0),'base case'!F20,""))</f>
        <v/>
      </c>
      <c r="G20" s="700" t="str">
        <f>IF($E$1=1,IF(OR('prev. run'!G20&gt;0,'prev. run'!G20&lt;0),'prev. run'!G20,""),IF(OR('base case'!G20&gt;0,'base case'!G20&lt;0),'base case'!G20,""))</f>
        <v/>
      </c>
      <c r="H20" s="700" t="str">
        <f>IF($E$1=1,IF(OR('prev. run'!H20&gt;0,'prev. run'!H20&lt;0),'prev. run'!H20,""),IF(OR('base case'!H20&gt;0,'base case'!H20&lt;0),'base case'!H20,""))</f>
        <v/>
      </c>
      <c r="I20" s="700" t="str">
        <f>IF($E$1=1,IF(OR('prev. run'!I20&gt;0,'prev. run'!I20&lt;0),'prev. run'!I20,""),IF(OR('base case'!I20&gt;0,'base case'!I20&lt;0),'base case'!I20,""))</f>
        <v/>
      </c>
      <c r="J20" s="700" t="str">
        <f>IF($E$1=1,IF(OR('prev. run'!J20&gt;0,'prev. run'!J20&lt;0),'prev. run'!J20,""),IF(OR('base case'!J20&gt;0,'base case'!J20&lt;0),'base case'!J20,""))</f>
        <v/>
      </c>
      <c r="K20" s="700" t="str">
        <f>IF($E$1=1,IF(OR('prev. run'!K20&gt;0,'prev. run'!K20&lt;0),'prev. run'!K20,""),IF(OR('base case'!K20&gt;0,'base case'!K20&lt;0),'base case'!K20,""))</f>
        <v/>
      </c>
      <c r="L20" s="700" t="str">
        <f>IF($E$1=1,IF(OR('prev. run'!L20&gt;0,'prev. run'!L20&lt;0),'prev. run'!L20,""),IF(OR('base case'!L20&gt;0,'base case'!L20&lt;0),'base case'!L20,""))</f>
        <v/>
      </c>
      <c r="M20" s="700" t="str">
        <f>IF($E$1=1,IF(OR('prev. run'!M20&gt;0,'prev. run'!M20&lt;0),'prev. run'!M20,""),IF(OR('base case'!M20&gt;0,'base case'!M20&lt;0),'base case'!M20,""))</f>
        <v/>
      </c>
      <c r="N20" s="700" t="str">
        <f>IF($E$1=1,IF(OR('prev. run'!N20&gt;0,'prev. run'!N20&lt;0),'prev. run'!N20,""),IF(OR('base case'!N20&gt;0,'base case'!N20&lt;0),'base case'!N20,""))</f>
        <v/>
      </c>
      <c r="O20" s="700" t="str">
        <f>IF($E$1=1,IF(OR('prev. run'!O20&gt;0,'prev. run'!O20&lt;0),'prev. run'!O20,""),IF(OR('base case'!O20&gt;0,'base case'!O20&lt;0),'base case'!O20,""))</f>
        <v/>
      </c>
      <c r="P20" s="701"/>
      <c r="Q20" s="701"/>
      <c r="R20" s="701"/>
      <c r="S20" s="701"/>
      <c r="T20" s="701"/>
      <c r="U20" s="701"/>
      <c r="V20" s="701"/>
    </row>
    <row r="21" spans="1:22" s="693" customFormat="1">
      <c r="A21" s="699" t="str">
        <f>'%-Deviations from prev. results'!A25</f>
        <v>Money Velocity</v>
      </c>
      <c r="B21" s="700">
        <f>IF($E$1=1,IF(OR('prev. run'!B21&gt;0,'prev. run'!B21&lt;0),'prev. run'!B21,""),IF(OR('base case'!B21&gt;0,'base case'!B21&lt;0),'base case'!B21,""))</f>
        <v>5.2675770308123253</v>
      </c>
      <c r="C21" s="700">
        <f>IF($E$1=1,IF(OR('prev. run'!C21&gt;0,'prev. run'!C21&lt;0),'prev. run'!C21,""),IF(OR('base case'!C21&gt;0,'base case'!C21&lt;0),'base case'!C21,""))</f>
        <v>5.2675770308123253</v>
      </c>
      <c r="D21" s="700">
        <f>IF($E$1=1,IF(OR('prev. run'!D21&gt;0,'prev. run'!D21&lt;0),'prev. run'!D21,""),IF(OR('base case'!D21&gt;0,'base case'!D21&lt;0),'base case'!D21,""))</f>
        <v>5.2675770308123253</v>
      </c>
      <c r="E21" s="700">
        <f>IF($E$1=1,IF(OR('prev. run'!E21&gt;0,'prev. run'!E21&lt;0),'prev. run'!E21,""),IF(OR('base case'!E21&gt;0,'base case'!E21&lt;0),'base case'!E21,""))</f>
        <v>5.2675770308123253</v>
      </c>
      <c r="F21" s="700" t="str">
        <f>IF($E$1=1,IF(OR('prev. run'!F21&gt;0,'prev. run'!F21&lt;0),'prev. run'!F21,""),IF(OR('base case'!F21&gt;0,'base case'!F21&lt;0),'base case'!F21,""))</f>
        <v/>
      </c>
      <c r="G21" s="700" t="str">
        <f>IF($E$1=1,IF(OR('prev. run'!G21&gt;0,'prev. run'!G21&lt;0),'prev. run'!G21,""),IF(OR('base case'!G21&gt;0,'base case'!G21&lt;0),'base case'!G21,""))</f>
        <v/>
      </c>
      <c r="H21" s="700" t="str">
        <f>IF($E$1=1,IF(OR('prev. run'!H21&gt;0,'prev. run'!H21&lt;0),'prev. run'!H21,""),IF(OR('base case'!H21&gt;0,'base case'!H21&lt;0),'base case'!H21,""))</f>
        <v/>
      </c>
      <c r="I21" s="700" t="str">
        <f>IF($E$1=1,IF(OR('prev. run'!I21&gt;0,'prev. run'!I21&lt;0),'prev. run'!I21,""),IF(OR('base case'!I21&gt;0,'base case'!I21&lt;0),'base case'!I21,""))</f>
        <v/>
      </c>
      <c r="J21" s="700" t="str">
        <f>IF($E$1=1,IF(OR('prev. run'!J21&gt;0,'prev. run'!J21&lt;0),'prev. run'!J21,""),IF(OR('base case'!J21&gt;0,'base case'!J21&lt;0),'base case'!J21,""))</f>
        <v/>
      </c>
      <c r="K21" s="700" t="str">
        <f>IF($E$1=1,IF(OR('prev. run'!K21&gt;0,'prev. run'!K21&lt;0),'prev. run'!K21,""),IF(OR('base case'!K21&gt;0,'base case'!K21&lt;0),'base case'!K21,""))</f>
        <v/>
      </c>
      <c r="L21" s="700" t="str">
        <f>IF($E$1=1,IF(OR('prev. run'!L21&gt;0,'prev. run'!L21&lt;0),'prev. run'!L21,""),IF(OR('base case'!L21&gt;0,'base case'!L21&lt;0),'base case'!L21,""))</f>
        <v/>
      </c>
      <c r="M21" s="700" t="str">
        <f>IF($E$1=1,IF(OR('prev. run'!M21&gt;0,'prev. run'!M21&lt;0),'prev. run'!M21,""),IF(OR('base case'!M21&gt;0,'base case'!M21&lt;0),'base case'!M21,""))</f>
        <v/>
      </c>
      <c r="N21" s="700" t="str">
        <f>IF($E$1=1,IF(OR('prev. run'!N21&gt;0,'prev. run'!N21&lt;0),'prev. run'!N21,""),IF(OR('base case'!N21&gt;0,'base case'!N21&lt;0),'base case'!N21,""))</f>
        <v/>
      </c>
      <c r="O21" s="700" t="str">
        <f>IF($E$1=1,IF(OR('prev. run'!O21&gt;0,'prev. run'!O21&lt;0),'prev. run'!O21,""),IF(OR('base case'!O21&gt;0,'base case'!O21&lt;0),'base case'!O21,""))</f>
        <v/>
      </c>
      <c r="P21" s="701"/>
      <c r="Q21" s="701"/>
      <c r="R21" s="701"/>
      <c r="S21" s="701"/>
      <c r="T21" s="701"/>
      <c r="U21" s="701"/>
      <c r="V21" s="701"/>
    </row>
    <row r="22" spans="1:22" s="693" customFormat="1">
      <c r="A22" s="699" t="str">
        <f>'%-Deviations from prev. results'!A26</f>
        <v>Government Savings (Sg)</v>
      </c>
      <c r="B22" s="700">
        <f>IF($E$1=1,IF(OR('prev. run'!B22&gt;0,'prev. run'!B22&lt;0),'prev. run'!B22,""),IF(OR('base case'!B22&gt;0,'base case'!B22&lt;0),'base case'!B22,""))</f>
        <v>0.52500093994845687</v>
      </c>
      <c r="C22" s="700">
        <f>IF($E$1=1,IF(OR('prev. run'!C22&gt;0,'prev. run'!C22&lt;0),'prev. run'!C22,""),IF(OR('base case'!C22&gt;0,'base case'!C22&lt;0),'base case'!C22,""))</f>
        <v>0.33016389841976368</v>
      </c>
      <c r="D22" s="700">
        <f>IF($E$1=1,IF(OR('prev. run'!D22&gt;0,'prev. run'!D22&lt;0),'prev. run'!D22,""),IF(OR('base case'!D22&gt;0,'base case'!D22&lt;0),'base case'!D22,""))</f>
        <v>0.15212213307271397</v>
      </c>
      <c r="E22" s="700">
        <f>IF($E$1=1,IF(OR('prev. run'!E22&gt;0,'prev. run'!E22&lt;0),'prev. run'!E22,""),IF(OR('base case'!E22&gt;0,'base case'!E22&lt;0),'base case'!E22,""))</f>
        <v>0.28712680869052593</v>
      </c>
      <c r="F22" s="700" t="str">
        <f>IF($E$1=1,IF(OR('prev. run'!F22&gt;0,'prev. run'!F22&lt;0),'prev. run'!F22,""),IF(OR('base case'!F22&gt;0,'base case'!F22&lt;0),'base case'!F22,""))</f>
        <v/>
      </c>
      <c r="G22" s="700" t="str">
        <f>IF($E$1=1,IF(OR('prev. run'!G22&gt;0,'prev. run'!G22&lt;0),'prev. run'!G22,""),IF(OR('base case'!G22&gt;0,'base case'!G22&lt;0),'base case'!G22,""))</f>
        <v/>
      </c>
      <c r="H22" s="700" t="str">
        <f>IF($E$1=1,IF(OR('prev. run'!H22&gt;0,'prev. run'!H22&lt;0),'prev. run'!H22,""),IF(OR('base case'!H22&gt;0,'base case'!H22&lt;0),'base case'!H22,""))</f>
        <v/>
      </c>
      <c r="I22" s="700" t="str">
        <f>IF($E$1=1,IF(OR('prev. run'!I22&gt;0,'prev. run'!I22&lt;0),'prev. run'!I22,""),IF(OR('base case'!I22&gt;0,'base case'!I22&lt;0),'base case'!I22,""))</f>
        <v/>
      </c>
      <c r="J22" s="700" t="str">
        <f>IF($E$1=1,IF(OR('prev. run'!J22&gt;0,'prev. run'!J22&lt;0),'prev. run'!J22,""),IF(OR('base case'!J22&gt;0,'base case'!J22&lt;0),'base case'!J22,""))</f>
        <v/>
      </c>
      <c r="K22" s="700" t="str">
        <f>IF($E$1=1,IF(OR('prev. run'!K22&gt;0,'prev. run'!K22&lt;0),'prev. run'!K22,""),IF(OR('base case'!K22&gt;0,'base case'!K22&lt;0),'base case'!K22,""))</f>
        <v/>
      </c>
      <c r="L22" s="700" t="str">
        <f>IF($E$1=1,IF(OR('prev. run'!L22&gt;0,'prev. run'!L22&lt;0),'prev. run'!L22,""),IF(OR('base case'!L22&gt;0,'base case'!L22&lt;0),'base case'!L22,""))</f>
        <v/>
      </c>
      <c r="M22" s="700" t="str">
        <f>IF($E$1=1,IF(OR('prev. run'!M22&gt;0,'prev. run'!M22&lt;0),'prev. run'!M22,""),IF(OR('base case'!M22&gt;0,'base case'!M22&lt;0),'base case'!M22,""))</f>
        <v/>
      </c>
      <c r="N22" s="700" t="str">
        <f>IF($E$1=1,IF(OR('prev. run'!N22&gt;0,'prev. run'!N22&lt;0),'prev. run'!N22,""),IF(OR('base case'!N22&gt;0,'base case'!N22&lt;0),'base case'!N22,""))</f>
        <v/>
      </c>
      <c r="O22" s="700" t="str">
        <f>IF($E$1=1,IF(OR('prev. run'!O22&gt;0,'prev. run'!O22&lt;0),'prev. run'!O22,""),IF(OR('base case'!O22&gt;0,'base case'!O22&lt;0),'base case'!O22,""))</f>
        <v/>
      </c>
      <c r="P22" s="701"/>
      <c r="Q22" s="701"/>
      <c r="R22" s="701"/>
      <c r="S22" s="701"/>
      <c r="T22" s="701"/>
      <c r="U22" s="701"/>
      <c r="V22" s="701"/>
    </row>
    <row r="23" spans="1:22" s="693" customFormat="1">
      <c r="A23" s="699" t="str">
        <f>'%-Deviations from prev. results'!A27</f>
        <v>Tax Revenue (TAX)</v>
      </c>
      <c r="B23" s="700">
        <f>IF($E$1=1,IF(OR('prev. run'!B23&gt;0,'prev. run'!B23&lt;0),'prev. run'!B23,""),IF(OR('base case'!B23&gt;0,'base case'!B23&lt;0),'base case'!B23,""))</f>
        <v>1.843000939948457</v>
      </c>
      <c r="C23" s="700">
        <f>IF($E$1=1,IF(OR('prev. run'!C23&gt;0,'prev. run'!C23&lt;0),'prev. run'!C23,""),IF(OR('base case'!C23&gt;0,'base case'!C23&lt;0),'base case'!C23,""))</f>
        <v>1.9180892063891153</v>
      </c>
      <c r="D23" s="700">
        <f>IF($E$1=1,IF(OR('prev. run'!D23&gt;0,'prev. run'!D23&lt;0),'prev. run'!D23,""),IF(OR('base case'!D23&gt;0,'base case'!D23&lt;0),'base case'!D23,""))</f>
        <v>2.4265227716718258</v>
      </c>
      <c r="E23" s="700">
        <f>IF($E$1=1,IF(OR('prev. run'!E23&gt;0,'prev. run'!E23&lt;0),'prev. run'!E23,""),IF(OR('base case'!E23&gt;0,'base case'!E23&lt;0),'base case'!E23,""))</f>
        <v>2.958458168902494</v>
      </c>
      <c r="F23" s="700" t="str">
        <f>IF($E$1=1,IF(OR('prev. run'!F23&gt;0,'prev. run'!F23&lt;0),'prev. run'!F23,""),IF(OR('base case'!F23&gt;0,'base case'!F23&lt;0),'base case'!F23,""))</f>
        <v/>
      </c>
      <c r="G23" s="700" t="str">
        <f>IF($E$1=1,IF(OR('prev. run'!G23&gt;0,'prev. run'!G23&lt;0),'prev. run'!G23,""),IF(OR('base case'!G23&gt;0,'base case'!G23&lt;0),'base case'!G23,""))</f>
        <v/>
      </c>
      <c r="H23" s="700" t="str">
        <f>IF($E$1=1,IF(OR('prev. run'!H23&gt;0,'prev. run'!H23&lt;0),'prev. run'!H23,""),IF(OR('base case'!H23&gt;0,'base case'!H23&lt;0),'base case'!H23,""))</f>
        <v/>
      </c>
      <c r="I23" s="700" t="str">
        <f>IF($E$1=1,IF(OR('prev. run'!I23&gt;0,'prev. run'!I23&lt;0),'prev. run'!I23,""),IF(OR('base case'!I23&gt;0,'base case'!I23&lt;0),'base case'!I23,""))</f>
        <v/>
      </c>
      <c r="J23" s="700" t="str">
        <f>IF($E$1=1,IF(OR('prev. run'!J23&gt;0,'prev. run'!J23&lt;0),'prev. run'!J23,""),IF(OR('base case'!J23&gt;0,'base case'!J23&lt;0),'base case'!J23,""))</f>
        <v/>
      </c>
      <c r="K23" s="700" t="str">
        <f>IF($E$1=1,IF(OR('prev. run'!K23&gt;0,'prev. run'!K23&lt;0),'prev. run'!K23,""),IF(OR('base case'!K23&gt;0,'base case'!K23&lt;0),'base case'!K23,""))</f>
        <v/>
      </c>
      <c r="L23" s="700" t="str">
        <f>IF($E$1=1,IF(OR('prev. run'!L23&gt;0,'prev. run'!L23&lt;0),'prev. run'!L23,""),IF(OR('base case'!L23&gt;0,'base case'!L23&lt;0),'base case'!L23,""))</f>
        <v/>
      </c>
      <c r="M23" s="700" t="str">
        <f>IF($E$1=1,IF(OR('prev. run'!M23&gt;0,'prev. run'!M23&lt;0),'prev. run'!M23,""),IF(OR('base case'!M23&gt;0,'base case'!M23&lt;0),'base case'!M23,""))</f>
        <v/>
      </c>
      <c r="N23" s="700" t="str">
        <f>IF($E$1=1,IF(OR('prev. run'!N23&gt;0,'prev. run'!N23&lt;0),'prev. run'!N23,""),IF(OR('base case'!N23&gt;0,'base case'!N23&lt;0),'base case'!N23,""))</f>
        <v/>
      </c>
      <c r="O23" s="700" t="str">
        <f>IF($E$1=1,IF(OR('prev. run'!O23&gt;0,'prev. run'!O23&lt;0),'prev. run'!O23,""),IF(OR('base case'!O23&gt;0,'base case'!O23&lt;0),'base case'!O23,""))</f>
        <v/>
      </c>
      <c r="P23" s="701"/>
      <c r="Q23" s="701"/>
      <c r="R23" s="701"/>
      <c r="S23" s="701"/>
      <c r="T23" s="701"/>
      <c r="U23" s="701"/>
      <c r="V23" s="701"/>
    </row>
    <row r="24" spans="1:22" s="693" customFormat="1">
      <c r="A24" s="699" t="str">
        <f>'%-Deviations from prev. results'!A28</f>
        <v>Tax Adjustment</v>
      </c>
      <c r="B24" s="700">
        <f>IF($E$1=1,IF(OR('prev. run'!B24&gt;0,'prev. run'!B24&lt;0),'prev. run'!B24,""),IF(OR('base case'!B24&gt;0,'base case'!B24&lt;0),'base case'!B24,""))</f>
        <v>1</v>
      </c>
      <c r="C24" s="700">
        <f>IF($E$1=1,IF(OR('prev. run'!C24&gt;0,'prev. run'!C24&lt;0),'prev. run'!C24,""),IF(OR('base case'!C24&gt;0,'base case'!C24&lt;0),'base case'!C24,""))</f>
        <v>1</v>
      </c>
      <c r="D24" s="700">
        <f>IF($E$1=1,IF(OR('prev. run'!D24&gt;0,'prev. run'!D24&lt;0),'prev. run'!D24,""),IF(OR('base case'!D24&gt;0,'base case'!D24&lt;0),'base case'!D24,""))</f>
        <v>1</v>
      </c>
      <c r="E24" s="700">
        <f>IF($E$1=1,IF(OR('prev. run'!E24&gt;0,'prev. run'!E24&lt;0),'prev. run'!E24,""),IF(OR('base case'!E24&gt;0,'base case'!E24&lt;0),'base case'!E24,""))</f>
        <v>1</v>
      </c>
      <c r="F24" s="700" t="str">
        <f>IF($E$1=1,IF(OR('prev. run'!F24&gt;0,'prev. run'!F24&lt;0),'prev. run'!F24,""),IF(OR('base case'!F24&gt;0,'base case'!F24&lt;0),'base case'!F24,""))</f>
        <v/>
      </c>
      <c r="G24" s="700" t="str">
        <f>IF($E$1=1,IF(OR('prev. run'!G24&gt;0,'prev. run'!G24&lt;0),'prev. run'!G24,""),IF(OR('base case'!G24&gt;0,'base case'!G24&lt;0),'base case'!G24,""))</f>
        <v/>
      </c>
      <c r="H24" s="700" t="str">
        <f>IF($E$1=1,IF(OR('prev. run'!H24&gt;0,'prev. run'!H24&lt;0),'prev. run'!H24,""),IF(OR('base case'!H24&gt;0,'base case'!H24&lt;0),'base case'!H24,""))</f>
        <v/>
      </c>
      <c r="I24" s="700" t="str">
        <f>IF($E$1=1,IF(OR('prev. run'!I24&gt;0,'prev. run'!I24&lt;0),'prev. run'!I24,""),IF(OR('base case'!I24&gt;0,'base case'!I24&lt;0),'base case'!I24,""))</f>
        <v/>
      </c>
      <c r="J24" s="700" t="str">
        <f>IF($E$1=1,IF(OR('prev. run'!J24&gt;0,'prev. run'!J24&lt;0),'prev. run'!J24,""),IF(OR('base case'!J24&gt;0,'base case'!J24&lt;0),'base case'!J24,""))</f>
        <v/>
      </c>
      <c r="K24" s="700" t="str">
        <f>IF($E$1=1,IF(OR('prev. run'!K24&gt;0,'prev. run'!K24&lt;0),'prev. run'!K24,""),IF(OR('base case'!K24&gt;0,'base case'!K24&lt;0),'base case'!K24,""))</f>
        <v/>
      </c>
      <c r="L24" s="700" t="str">
        <f>IF($E$1=1,IF(OR('prev. run'!L24&gt;0,'prev. run'!L24&lt;0),'prev. run'!L24,""),IF(OR('base case'!L24&gt;0,'base case'!L24&lt;0),'base case'!L24,""))</f>
        <v/>
      </c>
      <c r="M24" s="700" t="str">
        <f>IF($E$1=1,IF(OR('prev. run'!M24&gt;0,'prev. run'!M24&lt;0),'prev. run'!M24,""),IF(OR('base case'!M24&gt;0,'base case'!M24&lt;0),'base case'!M24,""))</f>
        <v/>
      </c>
      <c r="N24" s="700" t="str">
        <f>IF($E$1=1,IF(OR('prev. run'!N24&gt;0,'prev. run'!N24&lt;0),'prev. run'!N24,""),IF(OR('base case'!N24&gt;0,'base case'!N24&lt;0),'base case'!N24,""))</f>
        <v/>
      </c>
      <c r="O24" s="700" t="str">
        <f>IF($E$1=1,IF(OR('prev. run'!O24&gt;0,'prev. run'!O24&lt;0),'prev. run'!O24,""),IF(OR('base case'!O24&gt;0,'base case'!O24&lt;0),'base case'!O24,""))</f>
        <v/>
      </c>
      <c r="P24" s="701"/>
      <c r="Q24" s="701"/>
      <c r="R24" s="701"/>
      <c r="S24" s="701"/>
      <c r="T24" s="701"/>
      <c r="U24" s="701"/>
      <c r="V24" s="701"/>
    </row>
    <row r="25" spans="1:22" s="693" customFormat="1">
      <c r="A25" s="699" t="str">
        <f>'%-Deviations from prev. results'!A29</f>
        <v xml:space="preserve">   Dom Tax Adjustment</v>
      </c>
      <c r="B25" s="700">
        <f>IF($E$1=1,IF(OR('prev. run'!B25&gt;0,'prev. run'!B25&lt;0),'prev. run'!B25,""),IF(OR('base case'!B25&gt;0,'base case'!B25&lt;0),'base case'!B25,""))</f>
        <v>1</v>
      </c>
      <c r="C25" s="700">
        <f>IF($E$1=1,IF(OR('prev. run'!C25&gt;0,'prev. run'!C25&lt;0),'prev. run'!C25,""),IF(OR('base case'!C25&gt;0,'base case'!C25&lt;0),'base case'!C25,""))</f>
        <v>1</v>
      </c>
      <c r="D25" s="700">
        <f>IF($E$1=1,IF(OR('prev. run'!D25&gt;0,'prev. run'!D25&lt;0),'prev. run'!D25,""),IF(OR('base case'!D25&gt;0,'base case'!D25&lt;0),'base case'!D25,""))</f>
        <v>1</v>
      </c>
      <c r="E25" s="700">
        <f>IF($E$1=1,IF(OR('prev. run'!E25&gt;0,'prev. run'!E25&lt;0),'prev. run'!E25,""),IF(OR('base case'!E25&gt;0,'base case'!E25&lt;0),'base case'!E25,""))</f>
        <v>1</v>
      </c>
      <c r="F25" s="700" t="str">
        <f>IF($E$1=1,IF(OR('prev. run'!F25&gt;0,'prev. run'!F25&lt;0),'prev. run'!F25,""),IF(OR('base case'!F25&gt;0,'base case'!F25&lt;0),'base case'!F25,""))</f>
        <v/>
      </c>
      <c r="G25" s="700" t="str">
        <f>IF($E$1=1,IF(OR('prev. run'!G25&gt;0,'prev. run'!G25&lt;0),'prev. run'!G25,""),IF(OR('base case'!G25&gt;0,'base case'!G25&lt;0),'base case'!G25,""))</f>
        <v/>
      </c>
      <c r="H25" s="700" t="str">
        <f>IF($E$1=1,IF(OR('prev. run'!H25&gt;0,'prev. run'!H25&lt;0),'prev. run'!H25,""),IF(OR('base case'!H25&gt;0,'base case'!H25&lt;0),'base case'!H25,""))</f>
        <v/>
      </c>
      <c r="I25" s="700" t="str">
        <f>IF($E$1=1,IF(OR('prev. run'!I25&gt;0,'prev. run'!I25&lt;0),'prev. run'!I25,""),IF(OR('base case'!I25&gt;0,'base case'!I25&lt;0),'base case'!I25,""))</f>
        <v/>
      </c>
      <c r="J25" s="700" t="str">
        <f>IF($E$1=1,IF(OR('prev. run'!J25&gt;0,'prev. run'!J25&lt;0),'prev. run'!J25,""),IF(OR('base case'!J25&gt;0,'base case'!J25&lt;0),'base case'!J25,""))</f>
        <v/>
      </c>
      <c r="K25" s="700" t="str">
        <f>IF($E$1=1,IF(OR('prev. run'!K25&gt;0,'prev. run'!K25&lt;0),'prev. run'!K25,""),IF(OR('base case'!K25&gt;0,'base case'!K25&lt;0),'base case'!K25,""))</f>
        <v/>
      </c>
      <c r="L25" s="700" t="str">
        <f>IF($E$1=1,IF(OR('prev. run'!L25&gt;0,'prev. run'!L25&lt;0),'prev. run'!L25,""),IF(OR('base case'!L25&gt;0,'base case'!L25&lt;0),'base case'!L25,""))</f>
        <v/>
      </c>
      <c r="M25" s="700" t="str">
        <f>IF($E$1=1,IF(OR('prev. run'!M25&gt;0,'prev. run'!M25&lt;0),'prev. run'!M25,""),IF(OR('base case'!M25&gt;0,'base case'!M25&lt;0),'base case'!M25,""))</f>
        <v/>
      </c>
      <c r="N25" s="700" t="str">
        <f>IF($E$1=1,IF(OR('prev. run'!N25&gt;0,'prev. run'!N25&lt;0),'prev. run'!N25,""),IF(OR('base case'!N25&gt;0,'base case'!N25&lt;0),'base case'!N25,""))</f>
        <v/>
      </c>
      <c r="O25" s="700" t="str">
        <f>IF($E$1=1,IF(OR('prev. run'!O25&gt;0,'prev. run'!O25&lt;0),'prev. run'!O25,""),IF(OR('base case'!O25&gt;0,'base case'!O25&lt;0),'base case'!O25,""))</f>
        <v/>
      </c>
      <c r="P25" s="701"/>
      <c r="Q25" s="701"/>
      <c r="R25" s="701"/>
      <c r="S25" s="701"/>
      <c r="T25" s="701"/>
      <c r="U25" s="701"/>
      <c r="V25" s="701"/>
    </row>
    <row r="26" spans="1:22" s="693" customFormat="1">
      <c r="A26" s="699" t="str">
        <f>'%-Deviations from prev. results'!A30</f>
        <v xml:space="preserve">   Adjusted import tariffs</v>
      </c>
      <c r="B26" s="700">
        <f>IF($E$1=1,IF(OR('prev. run'!B26&gt;0,'prev. run'!B26&lt;0),'prev. run'!B26,""),IF(OR('base case'!B26&gt;0,'base case'!B26&lt;0),'base case'!B26,""))</f>
        <v>0.14397002876796092</v>
      </c>
      <c r="C26" s="700">
        <f>IF($E$1=1,IF(OR('prev. run'!C26&gt;0,'prev. run'!C26&lt;0),'prev. run'!C26,""),IF(OR('base case'!C26&gt;0,'base case'!C26&lt;0),'base case'!C26,""))</f>
        <v>9.793765891326868E-2</v>
      </c>
      <c r="D26" s="700">
        <f>IF($E$1=1,IF(OR('prev. run'!D26&gt;0,'prev. run'!D26&lt;0),'prev. run'!D26,""),IF(OR('base case'!D26&gt;0,'base case'!D26&lt;0),'base case'!D26,""))</f>
        <v>0.10427786296477044</v>
      </c>
      <c r="E26" s="700">
        <f>IF($E$1=1,IF(OR('prev. run'!E26&gt;0,'prev. run'!E26&lt;0),'prev. run'!E26,""),IF(OR('base case'!E26&gt;0,'base case'!E26&lt;0),'base case'!E26,""))</f>
        <v>0.10125565684367988</v>
      </c>
      <c r="F26" s="700" t="str">
        <f>IF($E$1=1,IF(OR('prev. run'!F26&gt;0,'prev. run'!F26&lt;0),'prev. run'!F26,""),IF(OR('base case'!F26&gt;0,'base case'!F26&lt;0),'base case'!F26,""))</f>
        <v/>
      </c>
      <c r="G26" s="700" t="str">
        <f>IF($E$1=1,IF(OR('prev. run'!G26&gt;0,'prev. run'!G26&lt;0),'prev. run'!G26,""),IF(OR('base case'!G26&gt;0,'base case'!G26&lt;0),'base case'!G26,""))</f>
        <v/>
      </c>
      <c r="H26" s="700" t="str">
        <f>IF($E$1=1,IF(OR('prev. run'!H26&gt;0,'prev. run'!H26&lt;0),'prev. run'!H26,""),IF(OR('base case'!H26&gt;0,'base case'!H26&lt;0),'base case'!H26,""))</f>
        <v/>
      </c>
      <c r="I26" s="700" t="str">
        <f>IF($E$1=1,IF(OR('prev. run'!I26&gt;0,'prev. run'!I26&lt;0),'prev. run'!I26,""),IF(OR('base case'!I26&gt;0,'base case'!I26&lt;0),'base case'!I26,""))</f>
        <v/>
      </c>
      <c r="J26" s="700" t="str">
        <f>IF($E$1=1,IF(OR('prev. run'!J26&gt;0,'prev. run'!J26&lt;0),'prev. run'!J26,""),IF(OR('base case'!J26&gt;0,'base case'!J26&lt;0),'base case'!J26,""))</f>
        <v/>
      </c>
      <c r="K26" s="700" t="str">
        <f>IF($E$1=1,IF(OR('prev. run'!K26&gt;0,'prev. run'!K26&lt;0),'prev. run'!K26,""),IF(OR('base case'!K26&gt;0,'base case'!K26&lt;0),'base case'!K26,""))</f>
        <v/>
      </c>
      <c r="L26" s="700" t="str">
        <f>IF($E$1=1,IF(OR('prev. run'!L26&gt;0,'prev. run'!L26&lt;0),'prev. run'!L26,""),IF(OR('base case'!L26&gt;0,'base case'!L26&lt;0),'base case'!L26,""))</f>
        <v/>
      </c>
      <c r="M26" s="700" t="str">
        <f>IF($E$1=1,IF(OR('prev. run'!M26&gt;0,'prev. run'!M26&lt;0),'prev. run'!M26,""),IF(OR('base case'!M26&gt;0,'base case'!M26&lt;0),'base case'!M26,""))</f>
        <v/>
      </c>
      <c r="N26" s="700" t="str">
        <f>IF($E$1=1,IF(OR('prev. run'!N26&gt;0,'prev. run'!N26&lt;0),'prev. run'!N26,""),IF(OR('base case'!N26&gt;0,'base case'!N26&lt;0),'base case'!N26,""))</f>
        <v/>
      </c>
      <c r="O26" s="700" t="str">
        <f>IF($E$1=1,IF(OR('prev. run'!O26&gt;0,'prev. run'!O26&lt;0),'prev. run'!O26,""),IF(OR('base case'!O26&gt;0,'base case'!O26&lt;0),'base case'!O26,""))</f>
        <v/>
      </c>
      <c r="P26" s="701"/>
      <c r="Q26" s="701"/>
      <c r="R26" s="701"/>
      <c r="S26" s="701"/>
      <c r="T26" s="701"/>
      <c r="U26" s="701"/>
      <c r="V26" s="701"/>
    </row>
    <row r="27" spans="1:22" s="693" customFormat="1">
      <c r="A27" s="699" t="str">
        <f>'%-Deviations from prev. results'!A31</f>
        <v xml:space="preserve">   Adjusted export duties</v>
      </c>
      <c r="B27" s="700" t="str">
        <f>IF($E$1=1,IF(OR('prev. run'!B27&gt;0,'prev. run'!B27&lt;0),'prev. run'!B27,""),IF(OR('base case'!B27&gt;0,'base case'!B27&lt;0),'base case'!B27,""))</f>
        <v/>
      </c>
      <c r="C27" s="700" t="str">
        <f>IF($E$1=1,IF(OR('prev. run'!C27&gt;0,'prev. run'!C27&lt;0),'prev. run'!C27,""),IF(OR('base case'!C27&gt;0,'base case'!C27&lt;0),'base case'!C27,""))</f>
        <v/>
      </c>
      <c r="D27" s="700" t="str">
        <f>IF($E$1=1,IF(OR('prev. run'!D27&gt;0,'prev. run'!D27&lt;0),'prev. run'!D27,""),IF(OR('base case'!D27&gt;0,'base case'!D27&lt;0),'base case'!D27,""))</f>
        <v/>
      </c>
      <c r="E27" s="700" t="str">
        <f>IF($E$1=1,IF(OR('prev. run'!E27&gt;0,'prev. run'!E27&lt;0),'prev. run'!E27,""),IF(OR('base case'!E27&gt;0,'base case'!E27&lt;0),'base case'!E27,""))</f>
        <v/>
      </c>
      <c r="F27" s="700" t="str">
        <f>IF($E$1=1,IF(OR('prev. run'!F27&gt;0,'prev. run'!F27&lt;0),'prev. run'!F27,""),IF(OR('base case'!F27&gt;0,'base case'!F27&lt;0),'base case'!F27,""))</f>
        <v/>
      </c>
      <c r="G27" s="700" t="str">
        <f>IF($E$1=1,IF(OR('prev. run'!G27&gt;0,'prev. run'!G27&lt;0),'prev. run'!G27,""),IF(OR('base case'!G27&gt;0,'base case'!G27&lt;0),'base case'!G27,""))</f>
        <v/>
      </c>
      <c r="H27" s="700" t="str">
        <f>IF($E$1=1,IF(OR('prev. run'!H27&gt;0,'prev. run'!H27&lt;0),'prev. run'!H27,""),IF(OR('base case'!H27&gt;0,'base case'!H27&lt;0),'base case'!H27,""))</f>
        <v/>
      </c>
      <c r="I27" s="700" t="str">
        <f>IF($E$1=1,IF(OR('prev. run'!I27&gt;0,'prev. run'!I27&lt;0),'prev. run'!I27,""),IF(OR('base case'!I27&gt;0,'base case'!I27&lt;0),'base case'!I27,""))</f>
        <v/>
      </c>
      <c r="J27" s="700" t="str">
        <f>IF($E$1=1,IF(OR('prev. run'!J27&gt;0,'prev. run'!J27&lt;0),'prev. run'!J27,""),IF(OR('base case'!J27&gt;0,'base case'!J27&lt;0),'base case'!J27,""))</f>
        <v/>
      </c>
      <c r="K27" s="700" t="str">
        <f>IF($E$1=1,IF(OR('prev. run'!K27&gt;0,'prev. run'!K27&lt;0),'prev. run'!K27,""),IF(OR('base case'!K27&gt;0,'base case'!K27&lt;0),'base case'!K27,""))</f>
        <v/>
      </c>
      <c r="L27" s="700" t="str">
        <f>IF($E$1=1,IF(OR('prev. run'!L27&gt;0,'prev. run'!L27&lt;0),'prev. run'!L27,""),IF(OR('base case'!L27&gt;0,'base case'!L27&lt;0),'base case'!L27,""))</f>
        <v/>
      </c>
      <c r="M27" s="700" t="str">
        <f>IF($E$1=1,IF(OR('prev. run'!M27&gt;0,'prev. run'!M27&lt;0),'prev. run'!M27,""),IF(OR('base case'!M27&gt;0,'base case'!M27&lt;0),'base case'!M27,""))</f>
        <v/>
      </c>
      <c r="N27" s="700" t="str">
        <f>IF($E$1=1,IF(OR('prev. run'!N27&gt;0,'prev. run'!N27&lt;0),'prev. run'!N27,""),IF(OR('base case'!N27&gt;0,'base case'!N27&lt;0),'base case'!N27,""))</f>
        <v/>
      </c>
      <c r="O27" s="700" t="str">
        <f>IF($E$1=1,IF(OR('prev. run'!O27&gt;0,'prev. run'!O27&lt;0),'prev. run'!O27,""),IF(OR('base case'!O27&gt;0,'base case'!O27&lt;0),'base case'!O27,""))</f>
        <v/>
      </c>
      <c r="P27" s="701"/>
      <c r="Q27" s="701"/>
      <c r="R27" s="701"/>
      <c r="S27" s="701"/>
      <c r="T27" s="701"/>
      <c r="U27" s="701"/>
      <c r="V27" s="701"/>
    </row>
    <row r="28" spans="1:22" s="693" customFormat="1">
      <c r="A28" s="699" t="str">
        <f>'%-Deviations from prev. results'!A32</f>
        <v xml:space="preserve">   Adjusted indirect taxes</v>
      </c>
      <c r="B28" s="700">
        <f>IF($E$1=1,IF(OR('prev. run'!B28&gt;0,'prev. run'!B28&lt;0),'prev. run'!B28,""),IF(OR('base case'!B28&gt;0,'base case'!B28&lt;0),'base case'!B28,""))</f>
        <v>5.0733618104727055E-2</v>
      </c>
      <c r="C28" s="700">
        <f>IF($E$1=1,IF(OR('prev. run'!C28&gt;0,'prev. run'!C28&lt;0),'prev. run'!C28,""),IF(OR('base case'!C28&gt;0,'base case'!C28&lt;0),'base case'!C28,""))</f>
        <v>6.4051158027854327E-2</v>
      </c>
      <c r="D28" s="700">
        <f>IF($E$1=1,IF(OR('prev. run'!D28&gt;0,'prev. run'!D28&lt;0),'prev. run'!D28,""),IF(OR('base case'!D28&gt;0,'base case'!D28&lt;0),'base case'!D28,""))</f>
        <v>6.7812505089949099E-2</v>
      </c>
      <c r="E28" s="700">
        <f>IF($E$1=1,IF(OR('prev. run'!E28&gt;0,'prev. run'!E28&lt;0),'prev. run'!E28,""),IF(OR('base case'!E28&gt;0,'base case'!E28&lt;0),'base case'!E28,""))</f>
        <v>7.0862452426071948E-2</v>
      </c>
      <c r="F28" s="700" t="str">
        <f>IF($E$1=1,IF(OR('prev. run'!F28&gt;0,'prev. run'!F28&lt;0),'prev. run'!F28,""),IF(OR('base case'!F28&gt;0,'base case'!F28&lt;0),'base case'!F28,""))</f>
        <v/>
      </c>
      <c r="G28" s="700" t="str">
        <f>IF($E$1=1,IF(OR('prev. run'!G28&gt;0,'prev. run'!G28&lt;0),'prev. run'!G28,""),IF(OR('base case'!G28&gt;0,'base case'!G28&lt;0),'base case'!G28,""))</f>
        <v/>
      </c>
      <c r="H28" s="700" t="str">
        <f>IF($E$1=1,IF(OR('prev. run'!H28&gt;0,'prev. run'!H28&lt;0),'prev. run'!H28,""),IF(OR('base case'!H28&gt;0,'base case'!H28&lt;0),'base case'!H28,""))</f>
        <v/>
      </c>
      <c r="I28" s="700" t="str">
        <f>IF($E$1=1,IF(OR('prev. run'!I28&gt;0,'prev. run'!I28&lt;0),'prev. run'!I28,""),IF(OR('base case'!I28&gt;0,'base case'!I28&lt;0),'base case'!I28,""))</f>
        <v/>
      </c>
      <c r="J28" s="700" t="str">
        <f>IF($E$1=1,IF(OR('prev. run'!J28&gt;0,'prev. run'!J28&lt;0),'prev. run'!J28,""),IF(OR('base case'!J28&gt;0,'base case'!J28&lt;0),'base case'!J28,""))</f>
        <v/>
      </c>
      <c r="K28" s="700" t="str">
        <f>IF($E$1=1,IF(OR('prev. run'!K28&gt;0,'prev. run'!K28&lt;0),'prev. run'!K28,""),IF(OR('base case'!K28&gt;0,'base case'!K28&lt;0),'base case'!K28,""))</f>
        <v/>
      </c>
      <c r="L28" s="700" t="str">
        <f>IF($E$1=1,IF(OR('prev. run'!L28&gt;0,'prev. run'!L28&lt;0),'prev. run'!L28,""),IF(OR('base case'!L28&gt;0,'base case'!L28&lt;0),'base case'!L28,""))</f>
        <v/>
      </c>
      <c r="M28" s="700" t="str">
        <f>IF($E$1=1,IF(OR('prev. run'!M28&gt;0,'prev. run'!M28&lt;0),'prev. run'!M28,""),IF(OR('base case'!M28&gt;0,'base case'!M28&lt;0),'base case'!M28,""))</f>
        <v/>
      </c>
      <c r="N28" s="700" t="str">
        <f>IF($E$1=1,IF(OR('prev. run'!N28&gt;0,'prev. run'!N28&lt;0),'prev. run'!N28,""),IF(OR('base case'!N28&gt;0,'base case'!N28&lt;0),'base case'!N28,""))</f>
        <v/>
      </c>
      <c r="O28" s="700" t="str">
        <f>IF($E$1=1,IF(OR('prev. run'!O28&gt;0,'prev. run'!O28&lt;0),'prev. run'!O28,""),IF(OR('base case'!O28&gt;0,'base case'!O28&lt;0),'base case'!O28,""))</f>
        <v/>
      </c>
      <c r="P28" s="701"/>
      <c r="Q28" s="701"/>
      <c r="R28" s="701"/>
      <c r="S28" s="701"/>
      <c r="T28" s="701"/>
      <c r="U28" s="701"/>
      <c r="V28" s="701"/>
    </row>
    <row r="29" spans="1:22" s="693" customFormat="1">
      <c r="A29" s="699" t="str">
        <f>'%-Deviations from prev. results'!A33</f>
        <v xml:space="preserve">   Adjusted direct taxes</v>
      </c>
      <c r="B29" s="700">
        <f>IF($E$1=1,IF(OR('prev. run'!B29&gt;0,'prev. run'!B29&lt;0),'prev. run'!B29,""),IF(OR('base case'!B29&gt;0,'base case'!B29&lt;0),'base case'!B29,""))</f>
        <v>0.10404266988908396</v>
      </c>
      <c r="C29" s="700">
        <f>IF($E$1=1,IF(OR('prev. run'!C29&gt;0,'prev. run'!C29&lt;0),'prev. run'!C29,""),IF(OR('base case'!C29&gt;0,'base case'!C29&lt;0),'base case'!C29,""))</f>
        <v>7.5711786178834867E-2</v>
      </c>
      <c r="D29" s="700">
        <f>IF($E$1=1,IF(OR('prev. run'!D29&gt;0,'prev. run'!D29&lt;0),'prev. run'!D29,""),IF(OR('base case'!D29&gt;0,'base case'!D29&lt;0),'base case'!D29,""))</f>
        <v>7.0826510319833544E-2</v>
      </c>
      <c r="E29" s="700">
        <f>IF($E$1=1,IF(OR('prev. run'!E29&gt;0,'prev. run'!E29&lt;0),'prev. run'!E29,""),IF(OR('base case'!E29&gt;0,'base case'!E29&lt;0),'base case'!E29,""))</f>
        <v>7.4398771084549786E-2</v>
      </c>
      <c r="F29" s="700" t="str">
        <f>IF($E$1=1,IF(OR('prev. run'!F29&gt;0,'prev. run'!F29&lt;0),'prev. run'!F29,""),IF(OR('base case'!F29&gt;0,'base case'!F29&lt;0),'base case'!F29,""))</f>
        <v/>
      </c>
      <c r="G29" s="700" t="str">
        <f>IF($E$1=1,IF(OR('prev. run'!G29&gt;0,'prev. run'!G29&lt;0),'prev. run'!G29,""),IF(OR('base case'!G29&gt;0,'base case'!G29&lt;0),'base case'!G29,""))</f>
        <v/>
      </c>
      <c r="H29" s="700" t="str">
        <f>IF($E$1=1,IF(OR('prev. run'!H29&gt;0,'prev. run'!H29&lt;0),'prev. run'!H29,""),IF(OR('base case'!H29&gt;0,'base case'!H29&lt;0),'base case'!H29,""))</f>
        <v/>
      </c>
      <c r="I29" s="700" t="str">
        <f>IF($E$1=1,IF(OR('prev. run'!I29&gt;0,'prev. run'!I29&lt;0),'prev. run'!I29,""),IF(OR('base case'!I29&gt;0,'base case'!I29&lt;0),'base case'!I29,""))</f>
        <v/>
      </c>
      <c r="J29" s="700" t="str">
        <f>IF($E$1=1,IF(OR('prev. run'!J29&gt;0,'prev. run'!J29&lt;0),'prev. run'!J29,""),IF(OR('base case'!J29&gt;0,'base case'!J29&lt;0),'base case'!J29,""))</f>
        <v/>
      </c>
      <c r="K29" s="700" t="str">
        <f>IF($E$1=1,IF(OR('prev. run'!K29&gt;0,'prev. run'!K29&lt;0),'prev. run'!K29,""),IF(OR('base case'!K29&gt;0,'base case'!K29&lt;0),'base case'!K29,""))</f>
        <v/>
      </c>
      <c r="L29" s="700" t="str">
        <f>IF($E$1=1,IF(OR('prev. run'!L29&gt;0,'prev. run'!L29&lt;0),'prev. run'!L29,""),IF(OR('base case'!L29&gt;0,'base case'!L29&lt;0),'base case'!L29,""))</f>
        <v/>
      </c>
      <c r="M29" s="700" t="str">
        <f>IF($E$1=1,IF(OR('prev. run'!M29&gt;0,'prev. run'!M29&lt;0),'prev. run'!M29,""),IF(OR('base case'!M29&gt;0,'base case'!M29&lt;0),'base case'!M29,""))</f>
        <v/>
      </c>
      <c r="N29" s="700" t="str">
        <f>IF($E$1=1,IF(OR('prev. run'!N29&gt;0,'prev. run'!N29&lt;0),'prev. run'!N29,""),IF(OR('base case'!N29&gt;0,'base case'!N29&lt;0),'base case'!N29,""))</f>
        <v/>
      </c>
      <c r="O29" s="700" t="str">
        <f>IF($E$1=1,IF(OR('prev. run'!O29&gt;0,'prev. run'!O29&lt;0),'prev. run'!O29,""),IF(OR('base case'!O29&gt;0,'base case'!O29&lt;0),'base case'!O29,""))</f>
        <v/>
      </c>
      <c r="P29" s="701"/>
      <c r="Q29" s="701"/>
      <c r="R29" s="701"/>
      <c r="S29" s="701"/>
      <c r="T29" s="701"/>
      <c r="U29" s="701"/>
      <c r="V29" s="701"/>
    </row>
    <row r="30" spans="1:22" s="693" customFormat="1">
      <c r="A30" s="699" t="str">
        <f>'%-Deviations from prev. results'!A34</f>
        <v>Govt. Consumption</v>
      </c>
      <c r="B30" s="700">
        <f>IF($E$1=1,IF(OR('prev. run'!B30&gt;0,'prev. run'!B30&lt;0),'prev. run'!B30,""),IF(OR('base case'!B30&gt;0,'base case'!B30&lt;0),'base case'!B30,""))</f>
        <v>0.87624576843258351</v>
      </c>
      <c r="C30" s="700">
        <f>IF($E$1=1,IF(OR('prev. run'!C30&gt;0,'prev. run'!C30&lt;0),'prev. run'!C30,""),IF(OR('base case'!C30&gt;0,'base case'!C30&lt;0),'base case'!C30,""))</f>
        <v>1.0677622037388816</v>
      </c>
      <c r="D30" s="700">
        <f>IF($E$1=1,IF(OR('prev. run'!D30&gt;0,'prev. run'!D30&lt;0),'prev. run'!D30,""),IF(OR('base case'!D30&gt;0,'base case'!D30&lt;0),'base case'!D30,""))</f>
        <v>1.1211503139258254</v>
      </c>
      <c r="E30" s="700">
        <f>IF($E$1=1,IF(OR('prev. run'!E30&gt;0,'prev. run'!E30&lt;0),'prev. run'!E30,""),IF(OR('base case'!E30&gt;0,'base case'!E30&lt;0),'base case'!E30,""))</f>
        <v>1.1828135811917455</v>
      </c>
      <c r="F30" s="700" t="str">
        <f>IF($E$1=1,IF(OR('prev. run'!F30&gt;0,'prev. run'!F30&lt;0),'prev. run'!F30,""),IF(OR('base case'!F30&gt;0,'base case'!F30&lt;0),'base case'!F30,""))</f>
        <v/>
      </c>
      <c r="G30" s="700" t="str">
        <f>IF($E$1=1,IF(OR('prev. run'!G30&gt;0,'prev. run'!G30&lt;0),'prev. run'!G30,""),IF(OR('base case'!G30&gt;0,'base case'!G30&lt;0),'base case'!G30,""))</f>
        <v/>
      </c>
      <c r="H30" s="700" t="str">
        <f>IF($E$1=1,IF(OR('prev. run'!H30&gt;0,'prev. run'!H30&lt;0),'prev. run'!H30,""),IF(OR('base case'!H30&gt;0,'base case'!H30&lt;0),'base case'!H30,""))</f>
        <v/>
      </c>
      <c r="I30" s="700" t="str">
        <f>IF($E$1=1,IF(OR('prev. run'!I30&gt;0,'prev. run'!I30&lt;0),'prev. run'!I30,""),IF(OR('base case'!I30&gt;0,'base case'!I30&lt;0),'base case'!I30,""))</f>
        <v/>
      </c>
      <c r="J30" s="700" t="str">
        <f>IF($E$1=1,IF(OR('prev. run'!J30&gt;0,'prev. run'!J30&lt;0),'prev. run'!J30,""),IF(OR('base case'!J30&gt;0,'base case'!J30&lt;0),'base case'!J30,""))</f>
        <v/>
      </c>
      <c r="K30" s="700" t="str">
        <f>IF($E$1=1,IF(OR('prev. run'!K30&gt;0,'prev. run'!K30&lt;0),'prev. run'!K30,""),IF(OR('base case'!K30&gt;0,'base case'!K30&lt;0),'base case'!K30,""))</f>
        <v/>
      </c>
      <c r="L30" s="700" t="str">
        <f>IF($E$1=1,IF(OR('prev. run'!L30&gt;0,'prev. run'!L30&lt;0),'prev. run'!L30,""),IF(OR('base case'!L30&gt;0,'base case'!L30&lt;0),'base case'!L30,""))</f>
        <v/>
      </c>
      <c r="M30" s="700" t="str">
        <f>IF($E$1=1,IF(OR('prev. run'!M30&gt;0,'prev. run'!M30&lt;0),'prev. run'!M30,""),IF(OR('base case'!M30&gt;0,'base case'!M30&lt;0),'base case'!M30,""))</f>
        <v/>
      </c>
      <c r="N30" s="700" t="str">
        <f>IF($E$1=1,IF(OR('prev. run'!N30&gt;0,'prev. run'!N30&lt;0),'prev. run'!N30,""),IF(OR('base case'!N30&gt;0,'base case'!N30&lt;0),'base case'!N30,""))</f>
        <v/>
      </c>
      <c r="O30" s="700" t="str">
        <f>IF($E$1=1,IF(OR('prev. run'!O30&gt;0,'prev. run'!O30&lt;0),'prev. run'!O30,""),IF(OR('base case'!O30&gt;0,'base case'!O30&lt;0),'base case'!O30,""))</f>
        <v/>
      </c>
      <c r="P30" s="701"/>
      <c r="Q30" s="701"/>
      <c r="R30" s="701"/>
      <c r="S30" s="701"/>
      <c r="T30" s="701"/>
      <c r="U30" s="701"/>
      <c r="V30" s="701"/>
    </row>
    <row r="31" spans="1:22" s="693" customFormat="1">
      <c r="A31" s="699" t="str">
        <f>'%-Deviations from prev. results'!A35</f>
        <v xml:space="preserve">Govt. Transfers </v>
      </c>
      <c r="B31" s="700">
        <f>IF($E$1=1,IF(OR('prev. run'!B31&gt;0,'prev. run'!B31&lt;0),'prev. run'!B31,""),IF(OR('base case'!B31&gt;0,'base case'!B31&lt;0),'base case'!B31,""))</f>
        <v>0.33700000000000002</v>
      </c>
      <c r="C31" s="700">
        <f>IF($E$1=1,IF(OR('prev. run'!C31&gt;0,'prev. run'!C31&lt;0),'prev. run'!C31,""),IF(OR('base case'!C31&gt;0,'base case'!C31&lt;0),'base case'!C31,""))</f>
        <v>0.49240569722122512</v>
      </c>
      <c r="D31" s="700">
        <f>IF($E$1=1,IF(OR('prev. run'!D31&gt;0,'prev. run'!D31&lt;0),'prev. run'!D31,""),IF(OR('base case'!D31&gt;0,'base case'!D31&lt;0),'base case'!D31,""))</f>
        <v>0.4505643098132876</v>
      </c>
      <c r="E31" s="700">
        <f>IF($E$1=1,IF(OR('prev. run'!E31&gt;0,'prev. run'!E31&lt;0),'prev. run'!E31,""),IF(OR('base case'!E31&gt;0,'base case'!E31&lt;0),'base case'!E31,""))</f>
        <v>0.43798464357118105</v>
      </c>
      <c r="F31" s="700" t="str">
        <f>IF($E$1=1,IF(OR('prev. run'!F31&gt;0,'prev. run'!F31&lt;0),'prev. run'!F31,""),IF(OR('base case'!F31&gt;0,'base case'!F31&lt;0),'base case'!F31,""))</f>
        <v/>
      </c>
      <c r="G31" s="700" t="str">
        <f>IF($E$1=1,IF(OR('prev. run'!G31&gt;0,'prev. run'!G31&lt;0),'prev. run'!G31,""),IF(OR('base case'!G31&gt;0,'base case'!G31&lt;0),'base case'!G31,""))</f>
        <v/>
      </c>
      <c r="H31" s="700" t="str">
        <f>IF($E$1=1,IF(OR('prev. run'!H31&gt;0,'prev. run'!H31&lt;0),'prev. run'!H31,""),IF(OR('base case'!H31&gt;0,'base case'!H31&lt;0),'base case'!H31,""))</f>
        <v/>
      </c>
      <c r="I31" s="700" t="str">
        <f>IF($E$1=1,IF(OR('prev. run'!I31&gt;0,'prev. run'!I31&lt;0),'prev. run'!I31,""),IF(OR('base case'!I31&gt;0,'base case'!I31&lt;0),'base case'!I31,""))</f>
        <v/>
      </c>
      <c r="J31" s="700" t="str">
        <f>IF($E$1=1,IF(OR('prev. run'!J31&gt;0,'prev. run'!J31&lt;0),'prev. run'!J31,""),IF(OR('base case'!J31&gt;0,'base case'!J31&lt;0),'base case'!J31,""))</f>
        <v/>
      </c>
      <c r="K31" s="700" t="str">
        <f>IF($E$1=1,IF(OR('prev. run'!K31&gt;0,'prev. run'!K31&lt;0),'prev. run'!K31,""),IF(OR('base case'!K31&gt;0,'base case'!K31&lt;0),'base case'!K31,""))</f>
        <v/>
      </c>
      <c r="L31" s="700" t="str">
        <f>IF($E$1=1,IF(OR('prev. run'!L31&gt;0,'prev. run'!L31&lt;0),'prev. run'!L31,""),IF(OR('base case'!L31&gt;0,'base case'!L31&lt;0),'base case'!L31,""))</f>
        <v/>
      </c>
      <c r="M31" s="700" t="str">
        <f>IF($E$1=1,IF(OR('prev. run'!M31&gt;0,'prev. run'!M31&lt;0),'prev. run'!M31,""),IF(OR('base case'!M31&gt;0,'base case'!M31&lt;0),'base case'!M31,""))</f>
        <v/>
      </c>
      <c r="N31" s="700" t="str">
        <f>IF($E$1=1,IF(OR('prev. run'!N31&gt;0,'prev. run'!N31&lt;0),'prev. run'!N31,""),IF(OR('base case'!N31&gt;0,'base case'!N31&lt;0),'base case'!N31,""))</f>
        <v/>
      </c>
      <c r="O31" s="700" t="str">
        <f>IF($E$1=1,IF(OR('prev. run'!O31&gt;0,'prev. run'!O31&lt;0),'prev. run'!O31,""),IF(OR('base case'!O31&gt;0,'base case'!O31&lt;0),'base case'!O31,""))</f>
        <v/>
      </c>
      <c r="P31" s="701"/>
      <c r="Q31" s="701"/>
      <c r="R31" s="701"/>
      <c r="S31" s="701"/>
      <c r="T31" s="701"/>
      <c r="U31" s="701"/>
      <c r="V31" s="701"/>
    </row>
    <row r="32" spans="1:22" s="693" customFormat="1">
      <c r="A32" s="699" t="str">
        <f>'%-Deviations from prev. results'!A36</f>
        <v>Export subsidies  rate</v>
      </c>
      <c r="B32" s="700" t="str">
        <f>IF($E$1=1,IF(OR('prev. run'!B32&gt;0,'prev. run'!B32&lt;0),'prev. run'!B32,""),IF(OR('base case'!B32&gt;0,'base case'!B32&lt;0),'base case'!B32,""))</f>
        <v/>
      </c>
      <c r="C32" s="700" t="str">
        <f>IF($E$1=1,IF(OR('prev. run'!C32&gt;0,'prev. run'!C32&lt;0),'prev. run'!C32,""),IF(OR('base case'!C32&gt;0,'base case'!C32&lt;0),'base case'!C32,""))</f>
        <v/>
      </c>
      <c r="D32" s="700">
        <f>IF($E$1=1,IF(OR('prev. run'!D32&gt;0,'prev. run'!D32&lt;0),'prev. run'!D32,""),IF(OR('base case'!D32&gt;0,'base case'!D32&lt;0),'base case'!D32,""))</f>
        <v>-9.1827665386308046E-15</v>
      </c>
      <c r="E32" s="700" t="str">
        <f>IF($E$1=1,IF(OR('prev. run'!E32&gt;0,'prev. run'!E32&lt;0),'prev. run'!E32,""),IF(OR('base case'!E32&gt;0,'base case'!E32&lt;0),'base case'!E32,""))</f>
        <v/>
      </c>
      <c r="F32" s="700" t="str">
        <f>IF($E$1=1,IF(OR('prev. run'!F32&gt;0,'prev. run'!F32&lt;0),'prev. run'!F32,""),IF(OR('base case'!F32&gt;0,'base case'!F32&lt;0),'base case'!F32,""))</f>
        <v/>
      </c>
      <c r="G32" s="700" t="str">
        <f>IF($E$1=1,IF(OR('prev. run'!G32&gt;0,'prev. run'!G32&lt;0),'prev. run'!G32,""),IF(OR('base case'!G32&gt;0,'base case'!G32&lt;0),'base case'!G32,""))</f>
        <v/>
      </c>
      <c r="H32" s="700" t="str">
        <f>IF($E$1=1,IF(OR('prev. run'!H32&gt;0,'prev. run'!H32&lt;0),'prev. run'!H32,""),IF(OR('base case'!H32&gt;0,'base case'!H32&lt;0),'base case'!H32,""))</f>
        <v/>
      </c>
      <c r="I32" s="700" t="str">
        <f>IF($E$1=1,IF(OR('prev. run'!I32&gt;0,'prev. run'!I32&lt;0),'prev. run'!I32,""),IF(OR('base case'!I32&gt;0,'base case'!I32&lt;0),'base case'!I32,""))</f>
        <v/>
      </c>
      <c r="J32" s="700" t="str">
        <f>IF($E$1=1,IF(OR('prev. run'!J32&gt;0,'prev. run'!J32&lt;0),'prev. run'!J32,""),IF(OR('base case'!J32&gt;0,'base case'!J32&lt;0),'base case'!J32,""))</f>
        <v/>
      </c>
      <c r="K32" s="700" t="str">
        <f>IF($E$1=1,IF(OR('prev. run'!K32&gt;0,'prev. run'!K32&lt;0),'prev. run'!K32,""),IF(OR('base case'!K32&gt;0,'base case'!K32&lt;0),'base case'!K32,""))</f>
        <v/>
      </c>
      <c r="L32" s="700" t="str">
        <f>IF($E$1=1,IF(OR('prev. run'!L32&gt;0,'prev. run'!L32&lt;0),'prev. run'!L32,""),IF(OR('base case'!L32&gt;0,'base case'!L32&lt;0),'base case'!L32,""))</f>
        <v/>
      </c>
      <c r="M32" s="700" t="str">
        <f>IF($E$1=1,IF(OR('prev. run'!M32&gt;0,'prev. run'!M32&lt;0),'prev. run'!M32,""),IF(OR('base case'!M32&gt;0,'base case'!M32&lt;0),'base case'!M32,""))</f>
        <v/>
      </c>
      <c r="N32" s="700" t="str">
        <f>IF($E$1=1,IF(OR('prev. run'!N32&gt;0,'prev. run'!N32&lt;0),'prev. run'!N32,""),IF(OR('base case'!N32&gt;0,'base case'!N32&lt;0),'base case'!N32,""))</f>
        <v/>
      </c>
      <c r="O32" s="700" t="str">
        <f>IF($E$1=1,IF(OR('prev. run'!O32&gt;0,'prev. run'!O32&lt;0),'prev. run'!O32,""),IF(OR('base case'!O32&gt;0,'base case'!O32&lt;0),'base case'!O32,""))</f>
        <v/>
      </c>
      <c r="P32" s="701"/>
      <c r="Q32" s="701"/>
      <c r="R32" s="701"/>
      <c r="S32" s="701"/>
      <c r="T32" s="701"/>
      <c r="U32" s="701"/>
      <c r="V32" s="701"/>
    </row>
    <row r="33" spans="1:22" s="693" customFormat="1">
      <c r="A33" s="699" t="str">
        <f>'%-Deviations from prev. results'!A37</f>
        <v>Other Subsidies</v>
      </c>
      <c r="B33" s="700">
        <f>IF($E$1=1,IF(OR('prev. run'!B33&gt;0,'prev. run'!B33&lt;0),'prev. run'!B33,""),IF(OR('base case'!B33&gt;0,'base case'!B33&lt;0),'base case'!B33,""))</f>
        <v>8.788500774047206E-3</v>
      </c>
      <c r="C33" s="700">
        <f>IF($E$1=1,IF(OR('prev. run'!C33&gt;0,'prev. run'!C33&lt;0),'prev. run'!C33,""),IF(OR('base case'!C33&gt;0,'base case'!C33&lt;0),'base case'!C33,""))</f>
        <v>1.5060234989473785E-2</v>
      </c>
      <c r="D33" s="700">
        <f>IF($E$1=1,IF(OR('prev. run'!D33&gt;0,'prev. run'!D33&lt;0),'prev. run'!D33,""),IF(OR('base case'!D33&gt;0,'base case'!D33&lt;0),'base case'!D33,""))</f>
        <v>1.3795496827666382E-2</v>
      </c>
      <c r="E33" s="700">
        <f>IF($E$1=1,IF(OR('prev. run'!E33&gt;0,'prev. run'!E33&lt;0),'prev. run'!E33,""),IF(OR('base case'!E33&gt;0,'base case'!E33&lt;0),'base case'!E33,""))</f>
        <v>1.287938685566271E-2</v>
      </c>
      <c r="F33" s="700" t="str">
        <f>IF($E$1=1,IF(OR('prev. run'!F33&gt;0,'prev. run'!F33&lt;0),'prev. run'!F33,""),IF(OR('base case'!F33&gt;0,'base case'!F33&lt;0),'base case'!F33,""))</f>
        <v/>
      </c>
      <c r="G33" s="700" t="str">
        <f>IF($E$1=1,IF(OR('prev. run'!G33&gt;0,'prev. run'!G33&lt;0),'prev. run'!G33,""),IF(OR('base case'!G33&gt;0,'base case'!G33&lt;0),'base case'!G33,""))</f>
        <v/>
      </c>
      <c r="H33" s="700" t="str">
        <f>IF($E$1=1,IF(OR('prev. run'!H33&gt;0,'prev. run'!H33&lt;0),'prev. run'!H33,""),IF(OR('base case'!H33&gt;0,'base case'!H33&lt;0),'base case'!H33,""))</f>
        <v/>
      </c>
      <c r="I33" s="700" t="str">
        <f>IF($E$1=1,IF(OR('prev. run'!I33&gt;0,'prev. run'!I33&lt;0),'prev. run'!I33,""),IF(OR('base case'!I33&gt;0,'base case'!I33&lt;0),'base case'!I33,""))</f>
        <v/>
      </c>
      <c r="J33" s="700" t="str">
        <f>IF($E$1=1,IF(OR('prev. run'!J33&gt;0,'prev. run'!J33&lt;0),'prev. run'!J33,""),IF(OR('base case'!J33&gt;0,'base case'!J33&lt;0),'base case'!J33,""))</f>
        <v/>
      </c>
      <c r="K33" s="700" t="str">
        <f>IF($E$1=1,IF(OR('prev. run'!K33&gt;0,'prev. run'!K33&lt;0),'prev. run'!K33,""),IF(OR('base case'!K33&gt;0,'base case'!K33&lt;0),'base case'!K33,""))</f>
        <v/>
      </c>
      <c r="L33" s="700" t="str">
        <f>IF($E$1=1,IF(OR('prev. run'!L33&gt;0,'prev. run'!L33&lt;0),'prev. run'!L33,""),IF(OR('base case'!L33&gt;0,'base case'!L33&lt;0),'base case'!L33,""))</f>
        <v/>
      </c>
      <c r="M33" s="700" t="str">
        <f>IF($E$1=1,IF(OR('prev. run'!M33&gt;0,'prev. run'!M33&lt;0),'prev. run'!M33,""),IF(OR('base case'!M33&gt;0,'base case'!M33&lt;0),'base case'!M33,""))</f>
        <v/>
      </c>
      <c r="N33" s="700" t="str">
        <f>IF($E$1=1,IF(OR('prev. run'!N33&gt;0,'prev. run'!N33&lt;0),'prev. run'!N33,""),IF(OR('base case'!N33&gt;0,'base case'!N33&lt;0),'base case'!N33,""))</f>
        <v/>
      </c>
      <c r="O33" s="700" t="str">
        <f>IF($E$1=1,IF(OR('prev. run'!O33&gt;0,'prev. run'!O33&lt;0),'prev. run'!O33,""),IF(OR('base case'!O33&gt;0,'base case'!O33&lt;0),'base case'!O33,""))</f>
        <v/>
      </c>
      <c r="P33" s="701"/>
      <c r="Q33" s="701"/>
      <c r="R33" s="701"/>
      <c r="S33" s="701"/>
      <c r="T33" s="701"/>
      <c r="U33" s="701"/>
      <c r="V33" s="701"/>
    </row>
    <row r="34" spans="1:22" s="693" customFormat="1">
      <c r="A34" s="699" t="str">
        <f>'%-Deviations from prev. results'!A38</f>
        <v>Foreign Exchange Rate Index(Er)</v>
      </c>
      <c r="B34" s="700">
        <f>IF($E$1=1,IF(OR('prev. run'!B34&gt;0,'prev. run'!B34&lt;0),'prev. run'!B34,""),IF(OR('base case'!B34&gt;0,'base case'!B34&lt;0),'base case'!B34,""))</f>
        <v>3.1107999999999998</v>
      </c>
      <c r="C34" s="700">
        <f>IF($E$1=1,IF(OR('prev. run'!C34&gt;0,'prev. run'!C34&lt;0),'prev. run'!C34,""),IF(OR('base case'!C34&gt;0,'base case'!C34&lt;0),'base case'!C34,""))</f>
        <v>3.1963902216344935</v>
      </c>
      <c r="D34" s="700">
        <f>IF($E$1=1,IF(OR('prev. run'!D34&gt;0,'prev. run'!D34&lt;0),'prev. run'!D34,""),IF(OR('base case'!D34&gt;0,'base case'!D34&lt;0),'base case'!D34,""))</f>
        <v>3.82798478010448</v>
      </c>
      <c r="E34" s="700">
        <f>IF($E$1=1,IF(OR('prev. run'!E34&gt;0,'prev. run'!E34&lt;0),'prev. run'!E34,""),IF(OR('base case'!E34&gt;0,'base case'!E34&lt;0),'base case'!E34,""))</f>
        <v>4.4190631046803617</v>
      </c>
      <c r="F34" s="700" t="str">
        <f>IF($E$1=1,IF(OR('prev. run'!F34&gt;0,'prev. run'!F34&lt;0),'prev. run'!F34,""),IF(OR('base case'!F34&gt;0,'base case'!F34&lt;0),'base case'!F34,""))</f>
        <v/>
      </c>
      <c r="G34" s="700" t="str">
        <f>IF($E$1=1,IF(OR('prev. run'!G34&gt;0,'prev. run'!G34&lt;0),'prev. run'!G34,""),IF(OR('base case'!G34&gt;0,'base case'!G34&lt;0),'base case'!G34,""))</f>
        <v/>
      </c>
      <c r="H34" s="700" t="str">
        <f>IF($E$1=1,IF(OR('prev. run'!H34&gt;0,'prev. run'!H34&lt;0),'prev. run'!H34,""),IF(OR('base case'!H34&gt;0,'base case'!H34&lt;0),'base case'!H34,""))</f>
        <v/>
      </c>
      <c r="I34" s="700" t="str">
        <f>IF($E$1=1,IF(OR('prev. run'!I34&gt;0,'prev. run'!I34&lt;0),'prev. run'!I34,""),IF(OR('base case'!I34&gt;0,'base case'!I34&lt;0),'base case'!I34,""))</f>
        <v/>
      </c>
      <c r="J34" s="700" t="str">
        <f>IF($E$1=1,IF(OR('prev. run'!J34&gt;0,'prev. run'!J34&lt;0),'prev. run'!J34,""),IF(OR('base case'!J34&gt;0,'base case'!J34&lt;0),'base case'!J34,""))</f>
        <v/>
      </c>
      <c r="K34" s="700" t="str">
        <f>IF($E$1=1,IF(OR('prev. run'!K34&gt;0,'prev. run'!K34&lt;0),'prev. run'!K34,""),IF(OR('base case'!K34&gt;0,'base case'!K34&lt;0),'base case'!K34,""))</f>
        <v/>
      </c>
      <c r="L34" s="700" t="str">
        <f>IF($E$1=1,IF(OR('prev. run'!L34&gt;0,'prev. run'!L34&lt;0),'prev. run'!L34,""),IF(OR('base case'!L34&gt;0,'base case'!L34&lt;0),'base case'!L34,""))</f>
        <v/>
      </c>
      <c r="M34" s="700" t="str">
        <f>IF($E$1=1,IF(OR('prev. run'!M34&gt;0,'prev. run'!M34&lt;0),'prev. run'!M34,""),IF(OR('base case'!M34&gt;0,'base case'!M34&lt;0),'base case'!M34,""))</f>
        <v/>
      </c>
      <c r="N34" s="700" t="str">
        <f>IF($E$1=1,IF(OR('prev. run'!N34&gt;0,'prev. run'!N34&lt;0),'prev. run'!N34,""),IF(OR('base case'!N34&gt;0,'base case'!N34&lt;0),'base case'!N34,""))</f>
        <v/>
      </c>
      <c r="O34" s="700" t="str">
        <f>IF($E$1=1,IF(OR('prev. run'!O34&gt;0,'prev. run'!O34&lt;0),'prev. run'!O34,""),IF(OR('base case'!O34&gt;0,'base case'!O34&lt;0),'base case'!O34,""))</f>
        <v/>
      </c>
      <c r="P34" s="701"/>
      <c r="Q34" s="701"/>
      <c r="R34" s="701"/>
      <c r="S34" s="701"/>
      <c r="T34" s="701"/>
      <c r="U34" s="701"/>
      <c r="V34" s="701"/>
    </row>
    <row r="35" spans="1:22" s="693" customFormat="1">
      <c r="A35" s="699" t="str">
        <f>'%-Deviations from prev. results'!A39</f>
        <v>Deflator (Px)</v>
      </c>
      <c r="B35" s="700">
        <f>IF($E$1=1,IF(OR('prev. run'!B35&gt;0,'prev. run'!B35&lt;0),'prev. run'!B35,""),IF(OR('base case'!B35&gt;0,'base case'!B35&lt;0),'base case'!B35,""))</f>
        <v>1</v>
      </c>
      <c r="C35" s="700">
        <f>IF($E$1=1,IF(OR('prev. run'!C35&gt;0,'prev. run'!C35&lt;0),'prev. run'!C35,""),IF(OR('base case'!C35&gt;0,'base case'!C35&lt;0),'base case'!C35,""))</f>
        <v>1.2490000000000001</v>
      </c>
      <c r="D35" s="700">
        <f>IF($E$1=1,IF(OR('prev. run'!D35&gt;0,'prev. run'!D35&lt;0),'prev. run'!D35,""),IF(OR('base case'!D35&gt;0,'base case'!D35&lt;0),'base case'!D35,""))</f>
        <v>1.4638280000000001</v>
      </c>
      <c r="E35" s="700">
        <f>IF($E$1=1,IF(OR('prev. run'!E35&gt;0,'prev. run'!E35&lt;0),'prev. run'!E35,""),IF(OR('base case'!E35&gt;0,'base case'!E35&lt;0),'base case'!E35,""))</f>
        <v>1.6585171240000001</v>
      </c>
      <c r="F35" s="700" t="str">
        <f>IF($E$1=1,IF(OR('prev. run'!F35&gt;0,'prev. run'!F35&lt;0),'prev. run'!F35,""),IF(OR('base case'!F35&gt;0,'base case'!F35&lt;0),'base case'!F35,""))</f>
        <v/>
      </c>
      <c r="G35" s="700" t="str">
        <f>IF($E$1=1,IF(OR('prev. run'!G35&gt;0,'prev. run'!G35&lt;0),'prev. run'!G35,""),IF(OR('base case'!G35&gt;0,'base case'!G35&lt;0),'base case'!G35,""))</f>
        <v/>
      </c>
      <c r="H35" s="700" t="str">
        <f>IF($E$1=1,IF(OR('prev. run'!H35&gt;0,'prev. run'!H35&lt;0),'prev. run'!H35,""),IF(OR('base case'!H35&gt;0,'base case'!H35&lt;0),'base case'!H35,""))</f>
        <v/>
      </c>
      <c r="I35" s="700" t="str">
        <f>IF($E$1=1,IF(OR('prev. run'!I35&gt;0,'prev. run'!I35&lt;0),'prev. run'!I35,""),IF(OR('base case'!I35&gt;0,'base case'!I35&lt;0),'base case'!I35,""))</f>
        <v/>
      </c>
      <c r="J35" s="700" t="str">
        <f>IF($E$1=1,IF(OR('prev. run'!J35&gt;0,'prev. run'!J35&lt;0),'prev. run'!J35,""),IF(OR('base case'!J35&gt;0,'base case'!J35&lt;0),'base case'!J35,""))</f>
        <v/>
      </c>
      <c r="K35" s="700" t="str">
        <f>IF($E$1=1,IF(OR('prev. run'!K35&gt;0,'prev. run'!K35&lt;0),'prev. run'!K35,""),IF(OR('base case'!K35&gt;0,'base case'!K35&lt;0),'base case'!K35,""))</f>
        <v/>
      </c>
      <c r="L35" s="700" t="str">
        <f>IF($E$1=1,IF(OR('prev. run'!L35&gt;0,'prev. run'!L35&lt;0),'prev. run'!L35,""),IF(OR('base case'!L35&gt;0,'base case'!L35&lt;0),'base case'!L35,""))</f>
        <v/>
      </c>
      <c r="M35" s="700" t="str">
        <f>IF($E$1=1,IF(OR('prev. run'!M35&gt;0,'prev. run'!M35&lt;0),'prev. run'!M35,""),IF(OR('base case'!M35&gt;0,'base case'!M35&lt;0),'base case'!M35,""))</f>
        <v/>
      </c>
      <c r="N35" s="700" t="str">
        <f>IF($E$1=1,IF(OR('prev. run'!N35&gt;0,'prev. run'!N35&lt;0),'prev. run'!N35,""),IF(OR('base case'!N35&gt;0,'base case'!N35&lt;0),'base case'!N35,""))</f>
        <v/>
      </c>
      <c r="O35" s="700" t="str">
        <f>IF($E$1=1,IF(OR('prev. run'!O35&gt;0,'prev. run'!O35&lt;0),'prev. run'!O35,""),IF(OR('base case'!O35&gt;0,'base case'!O35&lt;0),'base case'!O35,""))</f>
        <v/>
      </c>
      <c r="P35" s="701"/>
      <c r="Q35" s="701"/>
      <c r="R35" s="701"/>
      <c r="S35" s="701"/>
      <c r="T35" s="701"/>
      <c r="U35" s="701"/>
      <c r="V35" s="701"/>
    </row>
    <row r="36" spans="1:22">
      <c r="A36" s="699"/>
      <c r="B36" s="700" t="str">
        <f>IF($E$1=1,IF(OR('prev. run'!B36&gt;0,'prev. run'!B36&lt;0),'prev. run'!B36,""),IF(OR('base case'!B36&gt;0,'base case'!B36&lt;0),'base case'!B36,""))</f>
        <v/>
      </c>
      <c r="C36" s="700" t="str">
        <f>IF($E$1=1,IF(OR('prev. run'!C36&gt;0,'prev. run'!C36&lt;0),'prev. run'!C36,""),IF(OR('base case'!C36&gt;0,'base case'!C36&lt;0),'base case'!C36,""))</f>
        <v/>
      </c>
      <c r="D36" s="700" t="str">
        <f>IF($E$1=1,IF(OR('prev. run'!D36&gt;0,'prev. run'!D36&lt;0),'prev. run'!D36,""),IF(OR('base case'!D36&gt;0,'base case'!D36&lt;0),'base case'!D36,""))</f>
        <v/>
      </c>
      <c r="E36" s="700" t="str">
        <f>IF($E$1=1,IF(OR('prev. run'!E36&gt;0,'prev. run'!E36&lt;0),'prev. run'!E36,""),IF(OR('base case'!E36&gt;0,'base case'!E36&lt;0),'base case'!E36,""))</f>
        <v/>
      </c>
      <c r="F36" s="700" t="str">
        <f>IF($E$1=1,IF(OR('prev. run'!F36&gt;0,'prev. run'!F36&lt;0),'prev. run'!F36,""),IF(OR('base case'!F36&gt;0,'base case'!F36&lt;0),'base case'!F36,""))</f>
        <v/>
      </c>
      <c r="G36" s="700" t="str">
        <f>IF($E$1=1,IF(OR('prev. run'!G36&gt;0,'prev. run'!G36&lt;0),'prev. run'!G36,""),IF(OR('base case'!G36&gt;0,'base case'!G36&lt;0),'base case'!G36,""))</f>
        <v/>
      </c>
      <c r="H36" s="700" t="str">
        <f>IF($E$1=1,IF(OR('prev. run'!H36&gt;0,'prev. run'!H36&lt;0),'prev. run'!H36,""),IF(OR('base case'!H36&gt;0,'base case'!H36&lt;0),'base case'!H36,""))</f>
        <v/>
      </c>
      <c r="I36" s="700" t="str">
        <f>IF($E$1=1,IF(OR('prev. run'!I36&gt;0,'prev. run'!I36&lt;0),'prev. run'!I36,""),IF(OR('base case'!I36&gt;0,'base case'!I36&lt;0),'base case'!I36,""))</f>
        <v/>
      </c>
      <c r="J36" s="700" t="str">
        <f>IF($E$1=1,IF(OR('prev. run'!J36&gt;0,'prev. run'!J36&lt;0),'prev. run'!J36,""),IF(OR('base case'!J36&gt;0,'base case'!J36&lt;0),'base case'!J36,""))</f>
        <v/>
      </c>
      <c r="K36" s="700" t="str">
        <f>IF($E$1=1,IF(OR('prev. run'!K36&gt;0,'prev. run'!K36&lt;0),'prev. run'!K36,""),IF(OR('base case'!K36&gt;0,'base case'!K36&lt;0),'base case'!K36,""))</f>
        <v/>
      </c>
      <c r="L36" s="700" t="str">
        <f>IF($E$1=1,IF(OR('prev. run'!L36&gt;0,'prev. run'!L36&lt;0),'prev. run'!L36,""),IF(OR('base case'!L36&gt;0,'base case'!L36&lt;0),'base case'!L36,""))</f>
        <v/>
      </c>
      <c r="M36" s="700" t="str">
        <f>IF($E$1=1,IF(OR('prev. run'!M36&gt;0,'prev. run'!M36&lt;0),'prev. run'!M36,""),IF(OR('base case'!M36&gt;0,'base case'!M36&lt;0),'base case'!M36,""))</f>
        <v/>
      </c>
      <c r="N36" s="700" t="str">
        <f>IF($E$1=1,IF(OR('prev. run'!N36&gt;0,'prev. run'!N36&lt;0),'prev. run'!N36,""),IF(OR('base case'!N36&gt;0,'base case'!N36&lt;0),'base case'!N36,""))</f>
        <v/>
      </c>
      <c r="O36" s="700" t="str">
        <f>IF($E$1=1,IF(OR('prev. run'!O36&gt;0,'prev. run'!O36&lt;0),'prev. run'!O36,""),IF(OR('base case'!O36&gt;0,'base case'!O36&lt;0),'base case'!O36,""))</f>
        <v/>
      </c>
    </row>
    <row r="37" spans="1:22">
      <c r="A37" s="699" t="str">
        <f>'%-Deviations from prev. results'!A41</f>
        <v>Final (non-normalized) real household income</v>
      </c>
      <c r="B37" s="700" t="str">
        <f>IF($E$1=1,IF(OR('prev. run'!B37&gt;0,'prev. run'!B37&lt;0),'prev. run'!B37,""),IF(OR('base case'!B37&gt;0,'base case'!B37&lt;0),'base case'!B37,""))</f>
        <v/>
      </c>
      <c r="C37" s="700" t="str">
        <f>IF($E$1=1,IF(OR('prev. run'!C37&gt;0,'prev. run'!C37&lt;0),'prev. run'!C37,""),IF(OR('base case'!C37&gt;0,'base case'!C37&lt;0),'base case'!C37,""))</f>
        <v/>
      </c>
      <c r="D37" s="700" t="str">
        <f>IF($E$1=1,IF(OR('prev. run'!D37&gt;0,'prev. run'!D37&lt;0),'prev. run'!D37,""),IF(OR('base case'!D37&gt;0,'base case'!D37&lt;0),'base case'!D37,""))</f>
        <v/>
      </c>
      <c r="E37" s="700" t="str">
        <f>IF($E$1=1,IF(OR('prev. run'!E37&gt;0,'prev. run'!E37&lt;0),'prev. run'!E37,""),IF(OR('base case'!E37&gt;0,'base case'!E37&lt;0),'base case'!E37,""))</f>
        <v/>
      </c>
      <c r="F37" s="700" t="str">
        <f>IF($E$1=1,IF(OR('prev. run'!F37&gt;0,'prev. run'!F37&lt;0),'prev. run'!F37,""),IF(OR('base case'!F37&gt;0,'base case'!F37&lt;0),'base case'!F37,""))</f>
        <v/>
      </c>
      <c r="G37" s="700" t="str">
        <f>IF($E$1=1,IF(OR('prev. run'!G37&gt;0,'prev. run'!G37&lt;0),'prev. run'!G37,""),IF(OR('base case'!G37&gt;0,'base case'!G37&lt;0),'base case'!G37,""))</f>
        <v/>
      </c>
      <c r="H37" s="700" t="str">
        <f>IF($E$1=1,IF(OR('prev. run'!H37&gt;0,'prev. run'!H37&lt;0),'prev. run'!H37,""),IF(OR('base case'!H37&gt;0,'base case'!H37&lt;0),'base case'!H37,""))</f>
        <v/>
      </c>
      <c r="I37" s="700" t="str">
        <f>IF($E$1=1,IF(OR('prev. run'!I37&gt;0,'prev. run'!I37&lt;0),'prev. run'!I37,""),IF(OR('base case'!I37&gt;0,'base case'!I37&lt;0),'base case'!I37,""))</f>
        <v/>
      </c>
      <c r="J37" s="700" t="str">
        <f>IF($E$1=1,IF(OR('prev. run'!J37&gt;0,'prev. run'!J37&lt;0),'prev. run'!J37,""),IF(OR('base case'!J37&gt;0,'base case'!J37&lt;0),'base case'!J37,""))</f>
        <v/>
      </c>
      <c r="K37" s="700" t="str">
        <f>IF($E$1=1,IF(OR('prev. run'!K37&gt;0,'prev. run'!K37&lt;0),'prev. run'!K37,""),IF(OR('base case'!K37&gt;0,'base case'!K37&lt;0),'base case'!K37,""))</f>
        <v/>
      </c>
      <c r="L37" s="700" t="str">
        <f>IF($E$1=1,IF(OR('prev. run'!L37&gt;0,'prev. run'!L37&lt;0),'prev. run'!L37,""),IF(OR('base case'!L37&gt;0,'base case'!L37&lt;0),'base case'!L37,""))</f>
        <v/>
      </c>
      <c r="M37" s="700" t="str">
        <f>IF($E$1=1,IF(OR('prev. run'!M37&gt;0,'prev. run'!M37&lt;0),'prev. run'!M37,""),IF(OR('base case'!M37&gt;0,'base case'!M37&lt;0),'base case'!M37,""))</f>
        <v/>
      </c>
      <c r="N37" s="700" t="str">
        <f>IF($E$1=1,IF(OR('prev. run'!N37&gt;0,'prev. run'!N37&lt;0),'prev. run'!N37,""),IF(OR('base case'!N37&gt;0,'base case'!N37&lt;0),'base case'!N37,""))</f>
        <v/>
      </c>
      <c r="O37" s="700" t="str">
        <f>IF($E$1=1,IF(OR('prev. run'!O37&gt;0,'prev. run'!O37&lt;0),'prev. run'!O37,""),IF(OR('base case'!O37&gt;0,'base case'!O37&lt;0),'base case'!O37,""))</f>
        <v/>
      </c>
    </row>
    <row r="38" spans="1:22">
      <c r="A38" s="699" t="str">
        <f>'%-Deviations from prev. results'!A42</f>
        <v>Decile 1</v>
      </c>
      <c r="B38" s="700">
        <f>IF($E$1=1,IF(OR('prev. run'!B38&gt;0,'prev. run'!B38&lt;0),'prev. run'!B38,""),IF(OR('base case'!B38&gt;0,'base case'!B38&lt;0),'base case'!B38,""))</f>
        <v>481.83116640000003</v>
      </c>
      <c r="C38" s="700">
        <f>IF($E$1=1,IF(OR('prev. run'!C38&gt;0,'prev. run'!C38&lt;0),'prev. run'!C38,""),IF(OR('base case'!C38&gt;0,'base case'!C38&lt;0),'base case'!C38,""))</f>
        <v>567.96605651782932</v>
      </c>
      <c r="D38" s="700">
        <f>IF($E$1=1,IF(OR('prev. run'!D38&gt;0,'prev. run'!D38&lt;0),'prev. run'!D38,""),IF(OR('base case'!D38&gt;0,'base case'!D38&lt;0),'base case'!D38,""))</f>
        <v>578.56921790314061</v>
      </c>
      <c r="E38" s="700">
        <f>IF($E$1=1,IF(OR('prev. run'!E38&gt;0,'prev. run'!E38&lt;0),'prev. run'!E38,""),IF(OR('base case'!E38&gt;0,'base case'!E38&lt;0),'base case'!E38,""))</f>
        <v>597.13715922349797</v>
      </c>
      <c r="F38" s="700">
        <f>IF($E$1=1,IF(OR('prev. run'!F38&gt;0,'prev. run'!F38&lt;0),'prev. run'!F38,""),IF(OR('base case'!F38&gt;0,'base case'!F38&lt;0),'base case'!F38,""))</f>
        <v>-383.38256886791817</v>
      </c>
      <c r="G38" s="700" t="e">
        <f>IF($E$1=1,IF(OR('prev. run'!G38&gt;0,'prev. run'!G38&lt;0),'prev. run'!G38,""),IF(OR('base case'!G38&gt;0,'base case'!G38&lt;0),'base case'!G38,""))</f>
        <v>#DIV/0!</v>
      </c>
      <c r="H38" s="700" t="e">
        <f>IF($E$1=1,IF(OR('prev. run'!H38&gt;0,'prev. run'!H38&lt;0),'prev. run'!H38,""),IF(OR('base case'!H38&gt;0,'base case'!H38&lt;0),'base case'!H38,""))</f>
        <v>#DIV/0!</v>
      </c>
      <c r="I38" s="700" t="str">
        <f>IF($E$1=1,IF(OR('prev. run'!I38&gt;0,'prev. run'!I38&lt;0),'prev. run'!I38,""),IF(OR('base case'!I38&gt;0,'base case'!I38&lt;0),'base case'!I38,""))</f>
        <v/>
      </c>
      <c r="J38" s="700" t="str">
        <f>IF($E$1=1,IF(OR('prev. run'!J38&gt;0,'prev. run'!J38&lt;0),'prev. run'!J38,""),IF(OR('base case'!J38&gt;0,'base case'!J38&lt;0),'base case'!J38,""))</f>
        <v/>
      </c>
      <c r="K38" s="700" t="str">
        <f>IF($E$1=1,IF(OR('prev. run'!K38&gt;0,'prev. run'!K38&lt;0),'prev. run'!K38,""),IF(OR('base case'!K38&gt;0,'base case'!K38&lt;0),'base case'!K38,""))</f>
        <v/>
      </c>
      <c r="L38" s="700" t="str">
        <f>IF($E$1=1,IF(OR('prev. run'!L38&gt;0,'prev. run'!L38&lt;0),'prev. run'!L38,""),IF(OR('base case'!L38&gt;0,'base case'!L38&lt;0),'base case'!L38,""))</f>
        <v/>
      </c>
      <c r="M38" s="700" t="str">
        <f>IF($E$1=1,IF(OR('prev. run'!M38&gt;0,'prev. run'!M38&lt;0),'prev. run'!M38,""),IF(OR('base case'!M38&gt;0,'base case'!M38&lt;0),'base case'!M38,""))</f>
        <v/>
      </c>
      <c r="N38" s="700" t="str">
        <f>IF($E$1=1,IF(OR('prev. run'!N38&gt;0,'prev. run'!N38&lt;0),'prev. run'!N38,""),IF(OR('base case'!N38&gt;0,'base case'!N38&lt;0),'base case'!N38,""))</f>
        <v/>
      </c>
      <c r="O38" s="700" t="str">
        <f>IF($E$1=1,IF(OR('prev. run'!O38&gt;0,'prev. run'!O38&lt;0),'prev. run'!O38,""),IF(OR('base case'!O38&gt;0,'base case'!O38&lt;0),'base case'!O38,""))</f>
        <v/>
      </c>
    </row>
    <row r="39" spans="1:22">
      <c r="A39" s="699" t="str">
        <f>'%-Deviations from prev. results'!A43</f>
        <v>Decile 2</v>
      </c>
      <c r="B39" s="700">
        <f>IF($E$1=1,IF(OR('prev. run'!B39&gt;0,'prev. run'!B39&lt;0),'prev. run'!B39,""),IF(OR('base case'!B39&gt;0,'base case'!B39&lt;0),'base case'!B39,""))</f>
        <v>6790.3526800000009</v>
      </c>
      <c r="C39" s="700">
        <f>IF($E$1=1,IF(OR('prev. run'!C39&gt;0,'prev. run'!C39&lt;0),'prev. run'!C39,""),IF(OR('base case'!C39&gt;0,'base case'!C39&lt;0),'base case'!C39,""))</f>
        <v>7995.9127171118607</v>
      </c>
      <c r="D39" s="700">
        <f>IF($E$1=1,IF(OR('prev. run'!D39&gt;0,'prev. run'!D39&lt;0),'prev. run'!D39,""),IF(OR('base case'!D39&gt;0,'base case'!D39&lt;0),'base case'!D39,""))</f>
        <v>8161.3685592074144</v>
      </c>
      <c r="E39" s="700">
        <f>IF($E$1=1,IF(OR('prev. run'!E39&gt;0,'prev. run'!E39&lt;0),'prev. run'!E39,""),IF(OR('base case'!E39&gt;0,'base case'!E39&lt;0),'base case'!E39,""))</f>
        <v>8437.7183930505435</v>
      </c>
      <c r="F39" s="700">
        <f>IF($E$1=1,IF(OR('prev. run'!F39&gt;0,'prev. run'!F39&lt;0),'prev. run'!F39,""),IF(OR('base case'!F39&gt;0,'base case'!F39&lt;0),'base case'!F39,""))</f>
        <v>-5301.0547642138617</v>
      </c>
      <c r="G39" s="700" t="e">
        <f>IF($E$1=1,IF(OR('prev. run'!G39&gt;0,'prev. run'!G39&lt;0),'prev. run'!G39,""),IF(OR('base case'!G39&gt;0,'base case'!G39&lt;0),'base case'!G39,""))</f>
        <v>#DIV/0!</v>
      </c>
      <c r="H39" s="700" t="e">
        <f>IF($E$1=1,IF(OR('prev. run'!H39&gt;0,'prev. run'!H39&lt;0),'prev. run'!H39,""),IF(OR('base case'!H39&gt;0,'base case'!H39&lt;0),'base case'!H39,""))</f>
        <v>#DIV/0!</v>
      </c>
      <c r="I39" s="700" t="str">
        <f>IF($E$1=1,IF(OR('prev. run'!I39&gt;0,'prev. run'!I39&lt;0),'prev. run'!I39,""),IF(OR('base case'!I39&gt;0,'base case'!I39&lt;0),'base case'!I39,""))</f>
        <v/>
      </c>
      <c r="J39" s="700" t="str">
        <f>IF($E$1=1,IF(OR('prev. run'!J39&gt;0,'prev. run'!J39&lt;0),'prev. run'!J39,""),IF(OR('base case'!J39&gt;0,'base case'!J39&lt;0),'base case'!J39,""))</f>
        <v/>
      </c>
      <c r="K39" s="700" t="str">
        <f>IF($E$1=1,IF(OR('prev. run'!K39&gt;0,'prev. run'!K39&lt;0),'prev. run'!K39,""),IF(OR('base case'!K39&gt;0,'base case'!K39&lt;0),'base case'!K39,""))</f>
        <v/>
      </c>
      <c r="L39" s="700" t="str">
        <f>IF($E$1=1,IF(OR('prev. run'!L39&gt;0,'prev. run'!L39&lt;0),'prev. run'!L39,""),IF(OR('base case'!L39&gt;0,'base case'!L39&lt;0),'base case'!L39,""))</f>
        <v/>
      </c>
      <c r="M39" s="700" t="str">
        <f>IF($E$1=1,IF(OR('prev. run'!M39&gt;0,'prev. run'!M39&lt;0),'prev. run'!M39,""),IF(OR('base case'!M39&gt;0,'base case'!M39&lt;0),'base case'!M39,""))</f>
        <v/>
      </c>
      <c r="N39" s="700" t="str">
        <f>IF($E$1=1,IF(OR('prev. run'!N39&gt;0,'prev. run'!N39&lt;0),'prev. run'!N39,""),IF(OR('base case'!N39&gt;0,'base case'!N39&lt;0),'base case'!N39,""))</f>
        <v/>
      </c>
      <c r="O39" s="700" t="str">
        <f>IF($E$1=1,IF(OR('prev. run'!O39&gt;0,'prev. run'!O39&lt;0),'prev. run'!O39,""),IF(OR('base case'!O39&gt;0,'base case'!O39&lt;0),'base case'!O39,""))</f>
        <v/>
      </c>
    </row>
    <row r="40" spans="1:22">
      <c r="A40" s="699" t="str">
        <f>'%-Deviations from prev. results'!A44</f>
        <v>Decile 3</v>
      </c>
      <c r="B40" s="700">
        <f>IF($E$1=1,IF(OR('prev. run'!B40&gt;0,'prev. run'!B40&lt;0),'prev. run'!B40,""),IF(OR('base case'!B40&gt;0,'base case'!B40&lt;0),'base case'!B40,""))</f>
        <v>20006.210999999996</v>
      </c>
      <c r="C40" s="700">
        <f>IF($E$1=1,IF(OR('prev. run'!C40&gt;0,'prev. run'!C40&lt;0),'prev. run'!C40,""),IF(OR('base case'!C40&gt;0,'base case'!C40&lt;0),'base case'!C40,""))</f>
        <v>23545.257949125935</v>
      </c>
      <c r="D40" s="700">
        <f>IF($E$1=1,IF(OR('prev. run'!D40&gt;0,'prev. run'!D40&lt;0),'prev. run'!D40,""),IF(OR('base case'!D40&gt;0,'base case'!D40&lt;0),'base case'!D40,""))</f>
        <v>24057.479219717734</v>
      </c>
      <c r="E40" s="700">
        <f>IF($E$1=1,IF(OR('prev. run'!E40&gt;0,'prev. run'!E40&lt;0),'prev. run'!E40,""),IF(OR('base case'!E40&gt;0,'base case'!E40&lt;0),'base case'!E40,""))</f>
        <v>24894.539778317798</v>
      </c>
      <c r="F40" s="700">
        <f>IF($E$1=1,IF(OR('prev. run'!F40&gt;0,'prev. run'!F40&lt;0),'prev. run'!F40,""),IF(OR('base case'!F40&gt;0,'base case'!F40&lt;0),'base case'!F40,""))</f>
        <v>-14911.284914288499</v>
      </c>
      <c r="G40" s="700" t="e">
        <f>IF($E$1=1,IF(OR('prev. run'!G40&gt;0,'prev. run'!G40&lt;0),'prev. run'!G40,""),IF(OR('base case'!G40&gt;0,'base case'!G40&lt;0),'base case'!G40,""))</f>
        <v>#DIV/0!</v>
      </c>
      <c r="H40" s="700" t="e">
        <f>IF($E$1=1,IF(OR('prev. run'!H40&gt;0,'prev. run'!H40&lt;0),'prev. run'!H40,""),IF(OR('base case'!H40&gt;0,'base case'!H40&lt;0),'base case'!H40,""))</f>
        <v>#DIV/0!</v>
      </c>
      <c r="I40" s="700" t="str">
        <f>IF($E$1=1,IF(OR('prev. run'!I40&gt;0,'prev. run'!I40&lt;0),'prev. run'!I40,""),IF(OR('base case'!I40&gt;0,'base case'!I40&lt;0),'base case'!I40,""))</f>
        <v/>
      </c>
      <c r="J40" s="700" t="str">
        <f>IF($E$1=1,IF(OR('prev. run'!J40&gt;0,'prev. run'!J40&lt;0),'prev. run'!J40,""),IF(OR('base case'!J40&gt;0,'base case'!J40&lt;0),'base case'!J40,""))</f>
        <v/>
      </c>
      <c r="K40" s="700" t="str">
        <f>IF($E$1=1,IF(OR('prev. run'!K40&gt;0,'prev. run'!K40&lt;0),'prev. run'!K40,""),IF(OR('base case'!K40&gt;0,'base case'!K40&lt;0),'base case'!K40,""))</f>
        <v/>
      </c>
      <c r="L40" s="700" t="str">
        <f>IF($E$1=1,IF(OR('prev. run'!L40&gt;0,'prev. run'!L40&lt;0),'prev. run'!L40,""),IF(OR('base case'!L40&gt;0,'base case'!L40&lt;0),'base case'!L40,""))</f>
        <v/>
      </c>
      <c r="M40" s="700" t="str">
        <f>IF($E$1=1,IF(OR('prev. run'!M40&gt;0,'prev. run'!M40&lt;0),'prev. run'!M40,""),IF(OR('base case'!M40&gt;0,'base case'!M40&lt;0),'base case'!M40,""))</f>
        <v/>
      </c>
      <c r="N40" s="700" t="str">
        <f>IF($E$1=1,IF(OR('prev. run'!N40&gt;0,'prev. run'!N40&lt;0),'prev. run'!N40,""),IF(OR('base case'!N40&gt;0,'base case'!N40&lt;0),'base case'!N40,""))</f>
        <v/>
      </c>
      <c r="O40" s="700" t="str">
        <f>IF($E$1=1,IF(OR('prev. run'!O40&gt;0,'prev. run'!O40&lt;0),'prev. run'!O40,""),IF(OR('base case'!O40&gt;0,'base case'!O40&lt;0),'base case'!O40,""))</f>
        <v/>
      </c>
    </row>
    <row r="41" spans="1:22">
      <c r="A41" s="699" t="str">
        <f>'%-Deviations from prev. results'!A45</f>
        <v>Decile 4</v>
      </c>
      <c r="B41" s="700">
        <f>IF($E$1=1,IF(OR('prev. run'!B41&gt;0,'prev. run'!B41&lt;0),'prev. run'!B41,""),IF(OR('base case'!B41&gt;0,'base case'!B41&lt;0),'base case'!B41,""))</f>
        <v>40196.773000000001</v>
      </c>
      <c r="C41" s="700">
        <f>IF($E$1=1,IF(OR('prev. run'!C41&gt;0,'prev. run'!C41&lt;0),'prev. run'!C41,""),IF(OR('base case'!C41&gt;0,'base case'!C41&lt;0),'base case'!C41,""))</f>
        <v>47262.17982069587</v>
      </c>
      <c r="D41" s="700">
        <f>IF($E$1=1,IF(OR('prev. run'!D41&gt;0,'prev. run'!D41&lt;0),'prev. run'!D41,""),IF(OR('base case'!D41&gt;0,'base case'!D41&lt;0),'base case'!D41,""))</f>
        <v>48378.596712173719</v>
      </c>
      <c r="E41" s="700">
        <f>IF($E$1=1,IF(OR('prev. run'!E41&gt;0,'prev. run'!E41&lt;0),'prev. run'!E41,""),IF(OR('base case'!E41&gt;0,'base case'!E41&lt;0),'base case'!E41,""))</f>
        <v>50142.740733937739</v>
      </c>
      <c r="F41" s="700">
        <f>IF($E$1=1,IF(OR('prev. run'!F41&gt;0,'prev. run'!F41&lt;0),'prev. run'!F41,""),IF(OR('base case'!F41&gt;0,'base case'!F41&lt;0),'base case'!F41,""))</f>
        <v>-21494.4502914937</v>
      </c>
      <c r="G41" s="700" t="e">
        <f>IF($E$1=1,IF(OR('prev. run'!G41&gt;0,'prev. run'!G41&lt;0),'prev. run'!G41,""),IF(OR('base case'!G41&gt;0,'base case'!G41&lt;0),'base case'!G41,""))</f>
        <v>#DIV/0!</v>
      </c>
      <c r="H41" s="700" t="e">
        <f>IF($E$1=1,IF(OR('prev. run'!H41&gt;0,'prev. run'!H41&lt;0),'prev. run'!H41,""),IF(OR('base case'!H41&gt;0,'base case'!H41&lt;0),'base case'!H41,""))</f>
        <v>#DIV/0!</v>
      </c>
      <c r="I41" s="700" t="str">
        <f>IF($E$1=1,IF(OR('prev. run'!I41&gt;0,'prev. run'!I41&lt;0),'prev. run'!I41,""),IF(OR('base case'!I41&gt;0,'base case'!I41&lt;0),'base case'!I41,""))</f>
        <v/>
      </c>
      <c r="J41" s="700" t="str">
        <f>IF($E$1=1,IF(OR('prev. run'!J41&gt;0,'prev. run'!J41&lt;0),'prev. run'!J41,""),IF(OR('base case'!J41&gt;0,'base case'!J41&lt;0),'base case'!J41,""))</f>
        <v/>
      </c>
      <c r="K41" s="700" t="str">
        <f>IF($E$1=1,IF(OR('prev. run'!K41&gt;0,'prev. run'!K41&lt;0),'prev. run'!K41,""),IF(OR('base case'!K41&gt;0,'base case'!K41&lt;0),'base case'!K41,""))</f>
        <v/>
      </c>
      <c r="L41" s="700" t="str">
        <f>IF($E$1=1,IF(OR('prev. run'!L41&gt;0,'prev. run'!L41&lt;0),'prev. run'!L41,""),IF(OR('base case'!L41&gt;0,'base case'!L41&lt;0),'base case'!L41,""))</f>
        <v/>
      </c>
      <c r="M41" s="700" t="str">
        <f>IF($E$1=1,IF(OR('prev. run'!M41&gt;0,'prev. run'!M41&lt;0),'prev. run'!M41,""),IF(OR('base case'!M41&gt;0,'base case'!M41&lt;0),'base case'!M41,""))</f>
        <v/>
      </c>
      <c r="N41" s="700" t="str">
        <f>IF($E$1=1,IF(OR('prev. run'!N41&gt;0,'prev. run'!N41&lt;0),'prev. run'!N41,""),IF(OR('base case'!N41&gt;0,'base case'!N41&lt;0),'base case'!N41,""))</f>
        <v/>
      </c>
      <c r="O41" s="700" t="str">
        <f>IF($E$1=1,IF(OR('prev. run'!O41&gt;0,'prev. run'!O41&lt;0),'prev. run'!O41,""),IF(OR('base case'!O41&gt;0,'base case'!O41&lt;0),'base case'!O41,""))</f>
        <v/>
      </c>
    </row>
    <row r="42" spans="1:22">
      <c r="A42" s="699" t="str">
        <f>'%-Deviations from prev. results'!A46</f>
        <v>Decile 5</v>
      </c>
      <c r="B42" s="700">
        <f>IF($E$1=1,IF(OR('prev. run'!B42&gt;0,'prev. run'!B42&lt;0),'prev. run'!B42,""),IF(OR('base case'!B42&gt;0,'base case'!B42&lt;0),'base case'!B42,""))</f>
        <v>68715.895000000004</v>
      </c>
      <c r="C42" s="700">
        <f>IF($E$1=1,IF(OR('prev. run'!C42&gt;0,'prev. run'!C42&lt;0),'prev. run'!C42,""),IF(OR('base case'!C42&gt;0,'base case'!C42&lt;0),'base case'!C42,""))</f>
        <v>80757.016891696956</v>
      </c>
      <c r="D42" s="700">
        <f>IF($E$1=1,IF(OR('prev. run'!D42&gt;0,'prev. run'!D42&lt;0),'prev. run'!D42,""),IF(OR('base case'!D42&gt;0,'base case'!D42&lt;0),'base case'!D42,""))</f>
        <v>82737.087061003069</v>
      </c>
      <c r="E42" s="700">
        <f>IF($E$1=1,IF(OR('prev. run'!E42&gt;0,'prev. run'!E42&lt;0),'prev. run'!E42,""),IF(OR('base case'!E42&gt;0,'base case'!E42&lt;0),'base case'!E42,""))</f>
        <v>85821.910970269513</v>
      </c>
      <c r="F42" s="700">
        <f>IF($E$1=1,IF(OR('prev. run'!F42&gt;0,'prev. run'!F42&lt;0),'prev. run'!F42,""),IF(OR('base case'!F42&gt;0,'base case'!F42&lt;0),'base case'!F42,""))</f>
        <v>-24305.066458785943</v>
      </c>
      <c r="G42" s="700" t="e">
        <f>IF($E$1=1,IF(OR('prev. run'!G42&gt;0,'prev. run'!G42&lt;0),'prev. run'!G42,""),IF(OR('base case'!G42&gt;0,'base case'!G42&lt;0),'base case'!G42,""))</f>
        <v>#DIV/0!</v>
      </c>
      <c r="H42" s="700" t="e">
        <f>IF($E$1=1,IF(OR('prev. run'!H42&gt;0,'prev. run'!H42&lt;0),'prev. run'!H42,""),IF(OR('base case'!H42&gt;0,'base case'!H42&lt;0),'base case'!H42,""))</f>
        <v>#DIV/0!</v>
      </c>
      <c r="I42" s="700" t="str">
        <f>IF($E$1=1,IF(OR('prev. run'!I42&gt;0,'prev. run'!I42&lt;0),'prev. run'!I42,""),IF(OR('base case'!I42&gt;0,'base case'!I42&lt;0),'base case'!I42,""))</f>
        <v/>
      </c>
      <c r="J42" s="700" t="str">
        <f>IF($E$1=1,IF(OR('prev. run'!J42&gt;0,'prev. run'!J42&lt;0),'prev. run'!J42,""),IF(OR('base case'!J42&gt;0,'base case'!J42&lt;0),'base case'!J42,""))</f>
        <v/>
      </c>
      <c r="K42" s="700" t="str">
        <f>IF($E$1=1,IF(OR('prev. run'!K42&gt;0,'prev. run'!K42&lt;0),'prev. run'!K42,""),IF(OR('base case'!K42&gt;0,'base case'!K42&lt;0),'base case'!K42,""))</f>
        <v/>
      </c>
      <c r="L42" s="700" t="str">
        <f>IF($E$1=1,IF(OR('prev. run'!L42&gt;0,'prev. run'!L42&lt;0),'prev. run'!L42,""),IF(OR('base case'!L42&gt;0,'base case'!L42&lt;0),'base case'!L42,""))</f>
        <v/>
      </c>
      <c r="M42" s="700" t="str">
        <f>IF($E$1=1,IF(OR('prev. run'!M42&gt;0,'prev. run'!M42&lt;0),'prev. run'!M42,""),IF(OR('base case'!M42&gt;0,'base case'!M42&lt;0),'base case'!M42,""))</f>
        <v/>
      </c>
      <c r="N42" s="700" t="str">
        <f>IF($E$1=1,IF(OR('prev. run'!N42&gt;0,'prev. run'!N42&lt;0),'prev. run'!N42,""),IF(OR('base case'!N42&gt;0,'base case'!N42&lt;0),'base case'!N42,""))</f>
        <v/>
      </c>
      <c r="O42" s="700" t="str">
        <f>IF($E$1=1,IF(OR('prev. run'!O42&gt;0,'prev. run'!O42&lt;0),'prev. run'!O42,""),IF(OR('base case'!O42&gt;0,'base case'!O42&lt;0),'base case'!O42,""))</f>
        <v/>
      </c>
    </row>
    <row r="43" spans="1:22">
      <c r="A43" s="699" t="str">
        <f>'%-Deviations from prev. results'!A47</f>
        <v>Decile 6</v>
      </c>
      <c r="B43" s="700">
        <f>IF($E$1=1,IF(OR('prev. run'!B43&gt;0,'prev. run'!B43&lt;0),'prev. run'!B43,""),IF(OR('base case'!B43&gt;0,'base case'!B43&lt;0),'base case'!B43,""))</f>
        <v>106396.47699999998</v>
      </c>
      <c r="C43" s="700">
        <f>IF($E$1=1,IF(OR('prev. run'!C43&gt;0,'prev. run'!C43&lt;0),'prev. run'!C43,""),IF(OR('base case'!C43&gt;0,'base case'!C43&lt;0),'base case'!C43,""))</f>
        <v>124832.07881224318</v>
      </c>
      <c r="D43" s="700">
        <f>IF($E$1=1,IF(OR('prev. run'!D43&gt;0,'prev. run'!D43&lt;0),'prev. run'!D43,""),IF(OR('base case'!D43&gt;0,'base case'!D43&lt;0),'base case'!D43,""))</f>
        <v>128298.16198570037</v>
      </c>
      <c r="E43" s="700">
        <f>IF($E$1=1,IF(OR('prev. run'!E43&gt;0,'prev. run'!E43&lt;0),'prev. run'!E43,""),IF(OR('base case'!E43&gt;0,'base case'!E43&lt;0),'base case'!E43,""))</f>
        <v>133457.51420108046</v>
      </c>
      <c r="F43" s="700">
        <f>IF($E$1=1,IF(OR('prev. run'!F43&gt;0,'prev. run'!F43&lt;0),'prev. run'!F43,""),IF(OR('base case'!F43&gt;0,'base case'!F43&lt;0),'base case'!F43,""))</f>
        <v>13517.363842396864</v>
      </c>
      <c r="G43" s="700" t="e">
        <f>IF($E$1=1,IF(OR('prev. run'!G43&gt;0,'prev. run'!G43&lt;0),'prev. run'!G43,""),IF(OR('base case'!G43&gt;0,'base case'!G43&lt;0),'base case'!G43,""))</f>
        <v>#DIV/0!</v>
      </c>
      <c r="H43" s="700" t="e">
        <f>IF($E$1=1,IF(OR('prev. run'!H43&gt;0,'prev. run'!H43&lt;0),'prev. run'!H43,""),IF(OR('base case'!H43&gt;0,'base case'!H43&lt;0),'base case'!H43,""))</f>
        <v>#DIV/0!</v>
      </c>
      <c r="I43" s="700" t="str">
        <f>IF($E$1=1,IF(OR('prev. run'!I43&gt;0,'prev. run'!I43&lt;0),'prev. run'!I43,""),IF(OR('base case'!I43&gt;0,'base case'!I43&lt;0),'base case'!I43,""))</f>
        <v/>
      </c>
      <c r="J43" s="700" t="str">
        <f>IF($E$1=1,IF(OR('prev. run'!J43&gt;0,'prev. run'!J43&lt;0),'prev. run'!J43,""),IF(OR('base case'!J43&gt;0,'base case'!J43&lt;0),'base case'!J43,""))</f>
        <v/>
      </c>
      <c r="K43" s="700" t="str">
        <f>IF($E$1=1,IF(OR('prev. run'!K43&gt;0,'prev. run'!K43&lt;0),'prev. run'!K43,""),IF(OR('base case'!K43&gt;0,'base case'!K43&lt;0),'base case'!K43,""))</f>
        <v/>
      </c>
      <c r="L43" s="700" t="str">
        <f>IF($E$1=1,IF(OR('prev. run'!L43&gt;0,'prev. run'!L43&lt;0),'prev. run'!L43,""),IF(OR('base case'!L43&gt;0,'base case'!L43&lt;0),'base case'!L43,""))</f>
        <v/>
      </c>
      <c r="M43" s="700" t="str">
        <f>IF($E$1=1,IF(OR('prev. run'!M43&gt;0,'prev. run'!M43&lt;0),'prev. run'!M43,""),IF(OR('base case'!M43&gt;0,'base case'!M43&lt;0),'base case'!M43,""))</f>
        <v/>
      </c>
      <c r="N43" s="700" t="str">
        <f>IF($E$1=1,IF(OR('prev. run'!N43&gt;0,'prev. run'!N43&lt;0),'prev. run'!N43,""),IF(OR('base case'!N43&gt;0,'base case'!N43&lt;0),'base case'!N43,""))</f>
        <v/>
      </c>
      <c r="O43" s="700" t="str">
        <f>IF($E$1=1,IF(OR('prev. run'!O43&gt;0,'prev. run'!O43&lt;0),'prev. run'!O43,""),IF(OR('base case'!O43&gt;0,'base case'!O43&lt;0),'base case'!O43,""))</f>
        <v/>
      </c>
    </row>
    <row r="44" spans="1:22">
      <c r="A44" s="699" t="str">
        <f>'%-Deviations from prev. results'!A48</f>
        <v>Decile 7</v>
      </c>
      <c r="B44" s="700">
        <f>IF($E$1=1,IF(OR('prev. run'!B44&gt;0,'prev. run'!B44&lt;0),'prev. run'!B44,""),IF(OR('base case'!B44&gt;0,'base case'!B44&lt;0),'base case'!B44,""))</f>
        <v>149092.68400000001</v>
      </c>
      <c r="C44" s="700">
        <f>IF($E$1=1,IF(OR('prev. run'!C44&gt;0,'prev. run'!C44&lt;0),'prev. run'!C44,""),IF(OR('base case'!C44&gt;0,'base case'!C44&lt;0),'base case'!C44,""))</f>
        <v>174843.3558079525</v>
      </c>
      <c r="D44" s="700">
        <f>IF($E$1=1,IF(OR('prev. run'!D44&gt;0,'prev. run'!D44&lt;0),'prev. run'!D44,""),IF(OR('base case'!D44&gt;0,'base case'!D44&lt;0),'base case'!D44,""))</f>
        <v>179859.4728162431</v>
      </c>
      <c r="E44" s="700">
        <f>IF($E$1=1,IF(OR('prev. run'!E44&gt;0,'prev. run'!E44&lt;0),'prev. run'!E44,""),IF(OR('base case'!E44&gt;0,'base case'!E44&lt;0),'base case'!E44,""))</f>
        <v>187241.81981675106</v>
      </c>
      <c r="F44" s="700">
        <f>IF($E$1=1,IF(OR('prev. run'!F44&gt;0,'prev. run'!F44&lt;0),'prev. run'!F44,""),IF(OR('base case'!F44&gt;0,'base case'!F44&lt;0),'base case'!F44,""))</f>
        <v>38331.308096917339</v>
      </c>
      <c r="G44" s="700" t="e">
        <f>IF($E$1=1,IF(OR('prev. run'!G44&gt;0,'prev. run'!G44&lt;0),'prev. run'!G44,""),IF(OR('base case'!G44&gt;0,'base case'!G44&lt;0),'base case'!G44,""))</f>
        <v>#DIV/0!</v>
      </c>
      <c r="H44" s="700" t="e">
        <f>IF($E$1=1,IF(OR('prev. run'!H44&gt;0,'prev. run'!H44&lt;0),'prev. run'!H44,""),IF(OR('base case'!H44&gt;0,'base case'!H44&lt;0),'base case'!H44,""))</f>
        <v>#DIV/0!</v>
      </c>
      <c r="I44" s="700" t="str">
        <f>IF($E$1=1,IF(OR('prev. run'!I44&gt;0,'prev. run'!I44&lt;0),'prev. run'!I44,""),IF(OR('base case'!I44&gt;0,'base case'!I44&lt;0),'base case'!I44,""))</f>
        <v/>
      </c>
      <c r="J44" s="700" t="str">
        <f>IF($E$1=1,IF(OR('prev. run'!J44&gt;0,'prev. run'!J44&lt;0),'prev. run'!J44,""),IF(OR('base case'!J44&gt;0,'base case'!J44&lt;0),'base case'!J44,""))</f>
        <v/>
      </c>
      <c r="K44" s="700" t="str">
        <f>IF($E$1=1,IF(OR('prev. run'!K44&gt;0,'prev. run'!K44&lt;0),'prev. run'!K44,""),IF(OR('base case'!K44&gt;0,'base case'!K44&lt;0),'base case'!K44,""))</f>
        <v/>
      </c>
      <c r="L44" s="700" t="str">
        <f>IF($E$1=1,IF(OR('prev. run'!L44&gt;0,'prev. run'!L44&lt;0),'prev. run'!L44,""),IF(OR('base case'!L44&gt;0,'base case'!L44&lt;0),'base case'!L44,""))</f>
        <v/>
      </c>
      <c r="M44" s="700" t="str">
        <f>IF($E$1=1,IF(OR('prev. run'!M44&gt;0,'prev. run'!M44&lt;0),'prev. run'!M44,""),IF(OR('base case'!M44&gt;0,'base case'!M44&lt;0),'base case'!M44,""))</f>
        <v/>
      </c>
      <c r="N44" s="700" t="str">
        <f>IF($E$1=1,IF(OR('prev. run'!N44&gt;0,'prev. run'!N44&lt;0),'prev. run'!N44,""),IF(OR('base case'!N44&gt;0,'base case'!N44&lt;0),'base case'!N44,""))</f>
        <v/>
      </c>
      <c r="O44" s="700" t="str">
        <f>IF($E$1=1,IF(OR('prev. run'!O44&gt;0,'prev. run'!O44&lt;0),'prev. run'!O44,""),IF(OR('base case'!O44&gt;0,'base case'!O44&lt;0),'base case'!O44,""))</f>
        <v/>
      </c>
    </row>
    <row r="45" spans="1:22">
      <c r="A45" s="699" t="str">
        <f>'%-Deviations from prev. results'!A49</f>
        <v>Decile 8</v>
      </c>
      <c r="B45" s="700">
        <f>IF($E$1=1,IF(OR('prev. run'!B45&gt;0,'prev. run'!B45&lt;0),'prev. run'!B45,""),IF(OR('base case'!B45&gt;0,'base case'!B45&lt;0),'base case'!B45,""))</f>
        <v>215545.726</v>
      </c>
      <c r="C45" s="700">
        <f>IF($E$1=1,IF(OR('prev. run'!C45&gt;0,'prev. run'!C45&lt;0),'prev. run'!C45,""),IF(OR('base case'!C45&gt;0,'base case'!C45&lt;0),'base case'!C45,""))</f>
        <v>252938.99278846546</v>
      </c>
      <c r="D45" s="700">
        <f>IF($E$1=1,IF(OR('prev. run'!D45&gt;0,'prev. run'!D45&lt;0),'prev. run'!D45,""),IF(OR('base case'!D45&gt;0,'base case'!D45&lt;0),'base case'!D45,""))</f>
        <v>259874.89023433879</v>
      </c>
      <c r="E45" s="700">
        <f>IF($E$1=1,IF(OR('prev. run'!E45&gt;0,'prev. run'!E45&lt;0),'prev. run'!E45,""),IF(OR('base case'!E45&gt;0,'base case'!E45&lt;0),'base case'!E45,""))</f>
        <v>270248.31771838159</v>
      </c>
      <c r="F45" s="700">
        <f>IF($E$1=1,IF(OR('prev. run'!F45&gt;0,'prev. run'!F45&lt;0),'prev. run'!F45,""),IF(OR('base case'!F45&gt;0,'base case'!F45&lt;0),'base case'!F45,""))</f>
        <v>31347.318467121095</v>
      </c>
      <c r="G45" s="700" t="e">
        <f>IF($E$1=1,IF(OR('prev. run'!G45&gt;0,'prev. run'!G45&lt;0),'prev. run'!G45,""),IF(OR('base case'!G45&gt;0,'base case'!G45&lt;0),'base case'!G45,""))</f>
        <v>#DIV/0!</v>
      </c>
      <c r="H45" s="700" t="e">
        <f>IF($E$1=1,IF(OR('prev. run'!H45&gt;0,'prev. run'!H45&lt;0),'prev. run'!H45,""),IF(OR('base case'!H45&gt;0,'base case'!H45&lt;0),'base case'!H45,""))</f>
        <v>#DIV/0!</v>
      </c>
      <c r="I45" s="700" t="str">
        <f>IF($E$1=1,IF(OR('prev. run'!I45&gt;0,'prev. run'!I45&lt;0),'prev. run'!I45,""),IF(OR('base case'!I45&gt;0,'base case'!I45&lt;0),'base case'!I45,""))</f>
        <v/>
      </c>
      <c r="J45" s="700" t="str">
        <f>IF($E$1=1,IF(OR('prev. run'!J45&gt;0,'prev. run'!J45&lt;0),'prev. run'!J45,""),IF(OR('base case'!J45&gt;0,'base case'!J45&lt;0),'base case'!J45,""))</f>
        <v/>
      </c>
      <c r="K45" s="700" t="str">
        <f>IF($E$1=1,IF(OR('prev. run'!K45&gt;0,'prev. run'!K45&lt;0),'prev. run'!K45,""),IF(OR('base case'!K45&gt;0,'base case'!K45&lt;0),'base case'!K45,""))</f>
        <v/>
      </c>
      <c r="L45" s="700" t="str">
        <f>IF($E$1=1,IF(OR('prev. run'!L45&gt;0,'prev. run'!L45&lt;0),'prev. run'!L45,""),IF(OR('base case'!L45&gt;0,'base case'!L45&lt;0),'base case'!L45,""))</f>
        <v/>
      </c>
      <c r="M45" s="700" t="str">
        <f>IF($E$1=1,IF(OR('prev. run'!M45&gt;0,'prev. run'!M45&lt;0),'prev. run'!M45,""),IF(OR('base case'!M45&gt;0,'base case'!M45&lt;0),'base case'!M45,""))</f>
        <v/>
      </c>
      <c r="N45" s="700" t="str">
        <f>IF($E$1=1,IF(OR('prev. run'!N45&gt;0,'prev. run'!N45&lt;0),'prev. run'!N45,""),IF(OR('base case'!N45&gt;0,'base case'!N45&lt;0),'base case'!N45,""))</f>
        <v/>
      </c>
      <c r="O45" s="700" t="str">
        <f>IF($E$1=1,IF(OR('prev. run'!O45&gt;0,'prev. run'!O45&lt;0),'prev. run'!O45,""),IF(OR('base case'!O45&gt;0,'base case'!O45&lt;0),'base case'!O45,""))</f>
        <v/>
      </c>
    </row>
    <row r="46" spans="1:22">
      <c r="A46" s="699" t="str">
        <f>'%-Deviations from prev. results'!A50</f>
        <v>Decile 9</v>
      </c>
      <c r="B46" s="700">
        <f>IF($E$1=1,IF(OR('prev. run'!B46&gt;0,'prev. run'!B46&lt;0),'prev. run'!B46,""),IF(OR('base case'!B46&gt;0,'base case'!B46&lt;0),'base case'!B46,""))</f>
        <v>345239.08299999998</v>
      </c>
      <c r="C46" s="700">
        <f>IF($E$1=1,IF(OR('prev. run'!C46&gt;0,'prev. run'!C46&lt;0),'prev. run'!C46,""),IF(OR('base case'!C46&gt;0,'base case'!C46&lt;0),'base case'!C46,""))</f>
        <v>404941.74596075626</v>
      </c>
      <c r="D46" s="700">
        <f>IF($E$1=1,IF(OR('prev. run'!D46&gt;0,'prev. run'!D46&lt;0),'prev. run'!D46,""),IF(OR('base case'!D46&gt;0,'base case'!D46&lt;0),'base case'!D46,""))</f>
        <v>416414.89284595876</v>
      </c>
      <c r="E46" s="700">
        <f>IF($E$1=1,IF(OR('prev. run'!E46&gt;0,'prev. run'!E46&lt;0),'prev. run'!E46,""),IF(OR('base case'!E46&gt;0,'base case'!E46&lt;0),'base case'!E46,""))</f>
        <v>433375.62568934495</v>
      </c>
      <c r="F46" s="700">
        <f>IF($E$1=1,IF(OR('prev. run'!F46&gt;0,'prev. run'!F46&lt;0),'prev. run'!F46,""),IF(OR('base case'!F46&gt;0,'base case'!F46&lt;0),'base case'!F46,""))</f>
        <v>81872.698789454211</v>
      </c>
      <c r="G46" s="700" t="e">
        <f>IF($E$1=1,IF(OR('prev. run'!G46&gt;0,'prev. run'!G46&lt;0),'prev. run'!G46,""),IF(OR('base case'!G46&gt;0,'base case'!G46&lt;0),'base case'!G46,""))</f>
        <v>#DIV/0!</v>
      </c>
      <c r="H46" s="700" t="e">
        <f>IF($E$1=1,IF(OR('prev. run'!H46&gt;0,'prev. run'!H46&lt;0),'prev. run'!H46,""),IF(OR('base case'!H46&gt;0,'base case'!H46&lt;0),'base case'!H46,""))</f>
        <v>#DIV/0!</v>
      </c>
      <c r="I46" s="700" t="str">
        <f>IF($E$1=1,IF(OR('prev. run'!I46&gt;0,'prev. run'!I46&lt;0),'prev. run'!I46,""),IF(OR('base case'!I46&gt;0,'base case'!I46&lt;0),'base case'!I46,""))</f>
        <v/>
      </c>
      <c r="J46" s="700" t="str">
        <f>IF($E$1=1,IF(OR('prev. run'!J46&gt;0,'prev. run'!J46&lt;0),'prev. run'!J46,""),IF(OR('base case'!J46&gt;0,'base case'!J46&lt;0),'base case'!J46,""))</f>
        <v/>
      </c>
      <c r="K46" s="700" t="str">
        <f>IF($E$1=1,IF(OR('prev. run'!K46&gt;0,'prev. run'!K46&lt;0),'prev. run'!K46,""),IF(OR('base case'!K46&gt;0,'base case'!K46&lt;0),'base case'!K46,""))</f>
        <v/>
      </c>
      <c r="L46" s="700" t="str">
        <f>IF($E$1=1,IF(OR('prev. run'!L46&gt;0,'prev. run'!L46&lt;0),'prev. run'!L46,""),IF(OR('base case'!L46&gt;0,'base case'!L46&lt;0),'base case'!L46,""))</f>
        <v/>
      </c>
      <c r="M46" s="700" t="str">
        <f>IF($E$1=1,IF(OR('prev. run'!M46&gt;0,'prev. run'!M46&lt;0),'prev. run'!M46,""),IF(OR('base case'!M46&gt;0,'base case'!M46&lt;0),'base case'!M46,""))</f>
        <v/>
      </c>
      <c r="N46" s="700" t="str">
        <f>IF($E$1=1,IF(OR('prev. run'!N46&gt;0,'prev. run'!N46&lt;0),'prev. run'!N46,""),IF(OR('base case'!N46&gt;0,'base case'!N46&lt;0),'base case'!N46,""))</f>
        <v/>
      </c>
      <c r="O46" s="700" t="str">
        <f>IF($E$1=1,IF(OR('prev. run'!O46&gt;0,'prev. run'!O46&lt;0),'prev. run'!O46,""),IF(OR('base case'!O46&gt;0,'base case'!O46&lt;0),'base case'!O46,""))</f>
        <v/>
      </c>
    </row>
    <row r="47" spans="1:22">
      <c r="A47" s="699" t="str">
        <f>'%-Deviations from prev. results'!A51</f>
        <v>Decile 10</v>
      </c>
      <c r="B47" s="700">
        <f>IF($E$1=1,IF(OR('prev. run'!B47&gt;0,'prev. run'!B47&lt;0),'prev. run'!B47,""),IF(OR('base case'!B47&gt;0,'base case'!B47&lt;0),'base case'!B47,""))</f>
        <v>1488271.4</v>
      </c>
      <c r="C47" s="700">
        <f>IF($E$1=1,IF(OR('prev. run'!C47&gt;0,'prev. run'!C47&lt;0),'prev. run'!C47,""),IF(OR('base case'!C47&gt;0,'base case'!C47&lt;0),'base case'!C47,""))</f>
        <v>1741986.8446338647</v>
      </c>
      <c r="D47" s="700">
        <f>IF($E$1=1,IF(OR('prev. run'!D47&gt;0,'prev. run'!D47&lt;0),'prev. run'!D47,""),IF(OR('base case'!D47&gt;0,'base case'!D47&lt;0),'base case'!D47,""))</f>
        <v>1798385.7128314027</v>
      </c>
      <c r="E47" s="700">
        <f>IF($E$1=1,IF(OR('prev. run'!E47&gt;0,'prev. run'!E47&lt;0),'prev. run'!E47,""),IF(OR('base case'!E47&gt;0,'base case'!E47&lt;0),'base case'!E47,""))</f>
        <v>1877862.3381988287</v>
      </c>
      <c r="F47" s="700">
        <f>IF($E$1=1,IF(OR('prev. run'!F47&gt;0,'prev. run'!F47&lt;0),'prev. run'!F47,""),IF(OR('base case'!F47&gt;0,'base case'!F47&lt;0),'base case'!F47,""))</f>
        <v>-98761.553342106941</v>
      </c>
      <c r="G47" s="700" t="e">
        <f>IF($E$1=1,IF(OR('prev. run'!G47&gt;0,'prev. run'!G47&lt;0),'prev. run'!G47,""),IF(OR('base case'!G47&gt;0,'base case'!G47&lt;0),'base case'!G47,""))</f>
        <v>#DIV/0!</v>
      </c>
      <c r="H47" s="700" t="e">
        <f>IF($E$1=1,IF(OR('prev. run'!H47&gt;0,'prev. run'!H47&lt;0),'prev. run'!H47,""),IF(OR('base case'!H47&gt;0,'base case'!H47&lt;0),'base case'!H47,""))</f>
        <v>#DIV/0!</v>
      </c>
      <c r="I47" s="700" t="str">
        <f>IF($E$1=1,IF(OR('prev. run'!I47&gt;0,'prev. run'!I47&lt;0),'prev. run'!I47,""),IF(OR('base case'!I47&gt;0,'base case'!I47&lt;0),'base case'!I47,""))</f>
        <v/>
      </c>
      <c r="J47" s="700" t="str">
        <f>IF($E$1=1,IF(OR('prev. run'!J47&gt;0,'prev. run'!J47&lt;0),'prev. run'!J47,""),IF(OR('base case'!J47&gt;0,'base case'!J47&lt;0),'base case'!J47,""))</f>
        <v/>
      </c>
      <c r="K47" s="700" t="str">
        <f>IF($E$1=1,IF(OR('prev. run'!K47&gt;0,'prev. run'!K47&lt;0),'prev. run'!K47,""),IF(OR('base case'!K47&gt;0,'base case'!K47&lt;0),'base case'!K47,""))</f>
        <v/>
      </c>
      <c r="L47" s="700" t="str">
        <f>IF($E$1=1,IF(OR('prev. run'!L47&gt;0,'prev. run'!L47&lt;0),'prev. run'!L47,""),IF(OR('base case'!L47&gt;0,'base case'!L47&lt;0),'base case'!L47,""))</f>
        <v/>
      </c>
      <c r="M47" s="700" t="str">
        <f>IF($E$1=1,IF(OR('prev. run'!M47&gt;0,'prev. run'!M47&lt;0),'prev. run'!M47,""),IF(OR('base case'!M47&gt;0,'base case'!M47&lt;0),'base case'!M47,""))</f>
        <v/>
      </c>
      <c r="N47" s="700" t="str">
        <f>IF($E$1=1,IF(OR('prev. run'!N47&gt;0,'prev. run'!N47&lt;0),'prev. run'!N47,""),IF(OR('base case'!N47&gt;0,'base case'!N47&lt;0),'base case'!N47,""))</f>
        <v/>
      </c>
      <c r="O47" s="700" t="str">
        <f>IF($E$1=1,IF(OR('prev. run'!O47&gt;0,'prev. run'!O47&lt;0),'prev. run'!O47,""),IF(OR('base case'!O47&gt;0,'base case'!O47&lt;0),'base case'!O47,""))</f>
        <v/>
      </c>
    </row>
    <row r="48" spans="1:22">
      <c r="A48" s="699"/>
      <c r="B48" s="700" t="str">
        <f>IF($E$1=1,IF(OR('prev. run'!B48&gt;0,'prev. run'!B48&lt;0),'prev. run'!B48,""),IF(OR('base case'!B48&gt;0,'base case'!B48&lt;0),'base case'!B48,""))</f>
        <v/>
      </c>
      <c r="C48" s="700" t="str">
        <f>IF($E$1=1,IF(OR('prev. run'!C48&gt;0,'prev. run'!C48&lt;0),'prev. run'!C48,""),IF(OR('base case'!C48&gt;0,'base case'!C48&lt;0),'base case'!C48,""))</f>
        <v/>
      </c>
      <c r="D48" s="700" t="str">
        <f>IF($E$1=1,IF(OR('prev. run'!D48&gt;0,'prev. run'!D48&lt;0),'prev. run'!D48,""),IF(OR('base case'!D48&gt;0,'base case'!D48&lt;0),'base case'!D48,""))</f>
        <v/>
      </c>
      <c r="E48" s="700" t="str">
        <f>IF($E$1=1,IF(OR('prev. run'!E48&gt;0,'prev. run'!E48&lt;0),'prev. run'!E48,""),IF(OR('base case'!E48&gt;0,'base case'!E48&lt;0),'base case'!E48,""))</f>
        <v/>
      </c>
      <c r="F48" s="700" t="str">
        <f>IF($E$1=1,IF(OR('prev. run'!F48&gt;0,'prev. run'!F48&lt;0),'prev. run'!F48,""),IF(OR('base case'!F48&gt;0,'base case'!F48&lt;0),'base case'!F48,""))</f>
        <v/>
      </c>
      <c r="G48" s="700" t="str">
        <f>IF($E$1=1,IF(OR('prev. run'!G48&gt;0,'prev. run'!G48&lt;0),'prev. run'!G48,""),IF(OR('base case'!G48&gt;0,'base case'!G48&lt;0),'base case'!G48,""))</f>
        <v/>
      </c>
      <c r="H48" s="700" t="str">
        <f>IF($E$1=1,IF(OR('prev. run'!H48&gt;0,'prev. run'!H48&lt;0),'prev. run'!H48,""),IF(OR('base case'!H48&gt;0,'base case'!H48&lt;0),'base case'!H48,""))</f>
        <v/>
      </c>
      <c r="I48" s="700" t="str">
        <f>IF($E$1=1,IF(OR('prev. run'!I48&gt;0,'prev. run'!I48&lt;0),'prev. run'!I48,""),IF(OR('base case'!I48&gt;0,'base case'!I48&lt;0),'base case'!I48,""))</f>
        <v/>
      </c>
      <c r="J48" s="700" t="str">
        <f>IF($E$1=1,IF(OR('prev. run'!J48&gt;0,'prev. run'!J48&lt;0),'prev. run'!J48,""),IF(OR('base case'!J48&gt;0,'base case'!J48&lt;0),'base case'!J48,""))</f>
        <v/>
      </c>
      <c r="K48" s="700" t="str">
        <f>IF($E$1=1,IF(OR('prev. run'!K48&gt;0,'prev. run'!K48&lt;0),'prev. run'!K48,""),IF(OR('base case'!K48&gt;0,'base case'!K48&lt;0),'base case'!K48,""))</f>
        <v/>
      </c>
      <c r="L48" s="700" t="str">
        <f>IF($E$1=1,IF(OR('prev. run'!L48&gt;0,'prev. run'!L48&lt;0),'prev. run'!L48,""),IF(OR('base case'!L48&gt;0,'base case'!L48&lt;0),'base case'!L48,""))</f>
        <v/>
      </c>
      <c r="M48" s="700" t="str">
        <f>IF($E$1=1,IF(OR('prev. run'!M48&gt;0,'prev. run'!M48&lt;0),'prev. run'!M48,""),IF(OR('base case'!M48&gt;0,'base case'!M48&lt;0),'base case'!M48,""))</f>
        <v/>
      </c>
      <c r="N48" s="700" t="str">
        <f>IF($E$1=1,IF(OR('prev. run'!N48&gt;0,'prev. run'!N48&lt;0),'prev. run'!N48,""),IF(OR('base case'!N48&gt;0,'base case'!N48&lt;0),'base case'!N48,""))</f>
        <v/>
      </c>
      <c r="O48" s="700" t="str">
        <f>IF($E$1=1,IF(OR('prev. run'!O48&gt;0,'prev. run'!O48&lt;0),'prev. run'!O48,""),IF(OR('base case'!O48&gt;0,'base case'!O48&lt;0),'base case'!O48,""))</f>
        <v/>
      </c>
    </row>
    <row r="49" spans="1:15">
      <c r="A49" s="699" t="str">
        <f>'%-Deviations from prev. results'!A53</f>
        <v>Total</v>
      </c>
      <c r="B49" s="700">
        <f>IF($E$1=1,IF(OR('prev. run'!B49&gt;0,'prev. run'!B49&lt;0),'prev. run'!B49,""),IF(OR('base case'!B49&gt;0,'base case'!B49&lt;0),'base case'!B49,""))</f>
        <v>2440736.4328464</v>
      </c>
      <c r="C49" s="700">
        <f>IF($E$1=1,IF(OR('prev. run'!C49&gt;0,'prev. run'!C49&lt;0),'prev. run'!C49,""),IF(OR('base case'!C49&gt;0,'base case'!C49&lt;0),'base case'!C49,""))</f>
        <v>2859671.3514384306</v>
      </c>
      <c r="D49" s="700">
        <f>IF($E$1=1,IF(OR('prev. run'!D49&gt;0,'prev. run'!D49&lt;0),'prev. run'!D49,""),IF(OR('base case'!D49&gt;0,'base case'!D49&lt;0),'base case'!D49,""))</f>
        <v>2946746.2314836485</v>
      </c>
      <c r="E49" s="700">
        <f>IF($E$1=1,IF(OR('prev. run'!E49&gt;0,'prev. run'!E49&lt;0),'prev. run'!E49,""),IF(OR('base case'!E49&gt;0,'base case'!E49&lt;0),'base case'!E49,""))</f>
        <v>3072079.6626591859</v>
      </c>
      <c r="F49" s="700">
        <f>IF($E$1=1,IF(OR('prev. run'!F49&gt;0,'prev. run'!F49&lt;0),'prev. run'!F49,""),IF(OR('base case'!F49&gt;0,'base case'!F49&lt;0),'base case'!F49,""))</f>
        <v>-88.103143867352628</v>
      </c>
      <c r="G49" s="700" t="e">
        <f>IF($E$1=1,IF(OR('prev. run'!G49&gt;0,'prev. run'!G49&lt;0),'prev. run'!G49,""),IF(OR('base case'!G49&gt;0,'base case'!G49&lt;0),'base case'!G49,""))</f>
        <v>#DIV/0!</v>
      </c>
      <c r="H49" s="700" t="e">
        <f>IF($E$1=1,IF(OR('prev. run'!H49&gt;0,'prev. run'!H49&lt;0),'prev. run'!H49,""),IF(OR('base case'!H49&gt;0,'base case'!H49&lt;0),'base case'!H49,""))</f>
        <v>#DIV/0!</v>
      </c>
      <c r="I49" s="700" t="str">
        <f>IF($E$1=1,IF(OR('prev. run'!I49&gt;0,'prev. run'!I49&lt;0),'prev. run'!I49,""),IF(OR('base case'!I49&gt;0,'base case'!I49&lt;0),'base case'!I49,""))</f>
        <v/>
      </c>
      <c r="J49" s="700" t="str">
        <f>IF($E$1=1,IF(OR('prev. run'!J49&gt;0,'prev. run'!J49&lt;0),'prev. run'!J49,""),IF(OR('base case'!J49&gt;0,'base case'!J49&lt;0),'base case'!J49,""))</f>
        <v/>
      </c>
      <c r="K49" s="700" t="str">
        <f>IF($E$1=1,IF(OR('prev. run'!K49&gt;0,'prev. run'!K49&lt;0),'prev. run'!K49,""),IF(OR('base case'!K49&gt;0,'base case'!K49&lt;0),'base case'!K49,""))</f>
        <v/>
      </c>
      <c r="L49" s="700" t="str">
        <f>IF($E$1=1,IF(OR('prev. run'!L49&gt;0,'prev. run'!L49&lt;0),'prev. run'!L49,""),IF(OR('base case'!L49&gt;0,'base case'!L49&lt;0),'base case'!L49,""))</f>
        <v/>
      </c>
      <c r="M49" s="700" t="str">
        <f>IF($E$1=1,IF(OR('prev. run'!M49&gt;0,'prev. run'!M49&lt;0),'prev. run'!M49,""),IF(OR('base case'!M49&gt;0,'base case'!M49&lt;0),'base case'!M49,""))</f>
        <v/>
      </c>
      <c r="N49" s="700" t="str">
        <f>IF($E$1=1,IF(OR('prev. run'!N49&gt;0,'prev. run'!N49&lt;0),'prev. run'!N49,""),IF(OR('base case'!N49&gt;0,'base case'!N49&lt;0),'base case'!N49,""))</f>
        <v/>
      </c>
      <c r="O49" s="700" t="str">
        <f>IF($E$1=1,IF(OR('prev. run'!O49&gt;0,'prev. run'!O49&lt;0),'prev. run'!O49,""),IF(OR('base case'!O49&gt;0,'base case'!O49&lt;0),'base case'!O49,""))</f>
        <v/>
      </c>
    </row>
    <row r="50" spans="1:15">
      <c r="A50" s="699"/>
      <c r="B50" s="700" t="str">
        <f>IF($E$1=1,IF(OR('prev. run'!B50&gt;0,'prev. run'!B50&lt;0),'prev. run'!B50,""),IF(OR('base case'!B50&gt;0,'base case'!B50&lt;0),'base case'!B50,""))</f>
        <v/>
      </c>
      <c r="C50" s="700" t="str">
        <f>IF($E$1=1,IF(OR('prev. run'!C50&gt;0,'prev. run'!C50&lt;0),'prev. run'!C50,""),IF(OR('base case'!C50&gt;0,'base case'!C50&lt;0),'base case'!C50,""))</f>
        <v/>
      </c>
      <c r="D50" s="700" t="str">
        <f>IF($E$1=1,IF(OR('prev. run'!D50&gt;0,'prev. run'!D50&lt;0),'prev. run'!D50,""),IF(OR('base case'!D50&gt;0,'base case'!D50&lt;0),'base case'!D50,""))</f>
        <v/>
      </c>
      <c r="E50" s="700" t="str">
        <f>IF($E$1=1,IF(OR('prev. run'!E50&gt;0,'prev. run'!E50&lt;0),'prev. run'!E50,""),IF(OR('base case'!E50&gt;0,'base case'!E50&lt;0),'base case'!E50,""))</f>
        <v/>
      </c>
      <c r="F50" s="700" t="str">
        <f>IF($E$1=1,IF(OR('prev. run'!F50&gt;0,'prev. run'!F50&lt;0),'prev. run'!F50,""),IF(OR('base case'!F50&gt;0,'base case'!F50&lt;0),'base case'!F50,""))</f>
        <v/>
      </c>
      <c r="G50" s="700" t="str">
        <f>IF($E$1=1,IF(OR('prev. run'!G50&gt;0,'prev. run'!G50&lt;0),'prev. run'!G50,""),IF(OR('base case'!G50&gt;0,'base case'!G50&lt;0),'base case'!G50,""))</f>
        <v/>
      </c>
      <c r="H50" s="700" t="str">
        <f>IF($E$1=1,IF(OR('prev. run'!H50&gt;0,'prev. run'!H50&lt;0),'prev. run'!H50,""),IF(OR('base case'!H50&gt;0,'base case'!H50&lt;0),'base case'!H50,""))</f>
        <v/>
      </c>
      <c r="I50" s="700" t="str">
        <f>IF($E$1=1,IF(OR('prev. run'!I50&gt;0,'prev. run'!I50&lt;0),'prev. run'!I50,""),IF(OR('base case'!I50&gt;0,'base case'!I50&lt;0),'base case'!I50,""))</f>
        <v/>
      </c>
      <c r="J50" s="700" t="str">
        <f>IF($E$1=1,IF(OR('prev. run'!J50&gt;0,'prev. run'!J50&lt;0),'prev. run'!J50,""),IF(OR('base case'!J50&gt;0,'base case'!J50&lt;0),'base case'!J50,""))</f>
        <v/>
      </c>
      <c r="K50" s="700" t="str">
        <f>IF($E$1=1,IF(OR('prev. run'!K50&gt;0,'prev. run'!K50&lt;0),'prev. run'!K50,""),IF(OR('base case'!K50&gt;0,'base case'!K50&lt;0),'base case'!K50,""))</f>
        <v/>
      </c>
      <c r="L50" s="700" t="str">
        <f>IF($E$1=1,IF(OR('prev. run'!L50&gt;0,'prev. run'!L50&lt;0),'prev. run'!L50,""),IF(OR('base case'!L50&gt;0,'base case'!L50&lt;0),'base case'!L50,""))</f>
        <v/>
      </c>
      <c r="M50" s="700" t="str">
        <f>IF($E$1=1,IF(OR('prev. run'!M50&gt;0,'prev. run'!M50&lt;0),'prev. run'!M50,""),IF(OR('base case'!M50&gt;0,'base case'!M50&lt;0),'base case'!M50,""))</f>
        <v/>
      </c>
      <c r="N50" s="700" t="str">
        <f>IF($E$1=1,IF(OR('prev. run'!N50&gt;0,'prev. run'!N50&lt;0),'prev. run'!N50,""),IF(OR('base case'!N50&gt;0,'base case'!N50&lt;0),'base case'!N50,""))</f>
        <v/>
      </c>
      <c r="O50" s="700" t="str">
        <f>IF($E$1=1,IF(OR('prev. run'!O50&gt;0,'prev. run'!O50&lt;0),'prev. run'!O50,""),IF(OR('base case'!O50&gt;0,'base case'!O50&lt;0),'base case'!O50,""))</f>
        <v/>
      </c>
    </row>
    <row r="51" spans="1:15">
      <c r="A51" s="699" t="str">
        <f>'%-Deviations from prev. results'!A55</f>
        <v>GINI coefficient (inc.)</v>
      </c>
      <c r="B51" s="700">
        <f>IF($E$1=1,IF(OR('prev. run'!B51&gt;0,'prev. run'!B51&lt;0),'prev. run'!B51,""),IF(OR('base case'!B51&gt;0,'base case'!B51&lt;0),'base case'!B51,""))</f>
        <v>0.35033100853496818</v>
      </c>
      <c r="C51" s="700">
        <f>IF($E$1=1,IF(OR('prev. run'!C51&gt;0,'prev. run'!C51&lt;0),'prev. run'!C51,""),IF(OR('base case'!C51&gt;0,'base case'!C51&lt;0),'base case'!C51,""))</f>
        <v>0.3501307588004452</v>
      </c>
      <c r="D51" s="700">
        <f>IF($E$1=1,IF(OR('prev. run'!D51&gt;0,'prev. run'!D51&lt;0),'prev. run'!D51,""),IF(OR('base case'!D51&gt;0,'base case'!D51&lt;0),'base case'!D51,""))</f>
        <v>0.35050744275387036</v>
      </c>
      <c r="E51" s="700">
        <f>IF($E$1=1,IF(OR('prev. run'!E51&gt;0,'prev. run'!E51&lt;0),'prev. run'!E51,""),IF(OR('base case'!E51&gt;0,'base case'!E51&lt;0),'base case'!E51,""))</f>
        <v>0.35083162316096239</v>
      </c>
      <c r="F51" s="700">
        <f>IF($E$1=1,IF(OR('prev. run'!F51&gt;0,'prev. run'!F51&lt;0),'prev. run'!F51,""),IF(OR('base case'!F51&gt;0,'base case'!F51&lt;0),'base case'!F51,""))</f>
        <v>-98.410483825110177</v>
      </c>
      <c r="G51" s="700" t="e">
        <f>IF($E$1=1,IF(OR('prev. run'!G51&gt;0,'prev. run'!G51&lt;0),'prev. run'!G51,""),IF(OR('base case'!G51&gt;0,'base case'!G51&lt;0),'base case'!G51,""))</f>
        <v>#DIV/0!</v>
      </c>
      <c r="H51" s="700" t="e">
        <f>IF($E$1=1,IF(OR('prev. run'!H51&gt;0,'prev. run'!H51&lt;0),'prev. run'!H51,""),IF(OR('base case'!H51&gt;0,'base case'!H51&lt;0),'base case'!H51,""))</f>
        <v>#DIV/0!</v>
      </c>
      <c r="I51" s="700" t="str">
        <f>IF($E$1=1,IF(OR('prev. run'!I51&gt;0,'prev. run'!I51&lt;0),'prev. run'!I51,""),IF(OR('base case'!I51&gt;0,'base case'!I51&lt;0),'base case'!I51,""))</f>
        <v/>
      </c>
      <c r="J51" s="700" t="str">
        <f>IF($E$1=1,IF(OR('prev. run'!J51&gt;0,'prev. run'!J51&lt;0),'prev. run'!J51,""),IF(OR('base case'!J51&gt;0,'base case'!J51&lt;0),'base case'!J51,""))</f>
        <v/>
      </c>
      <c r="K51" s="700" t="str">
        <f>IF($E$1=1,IF(OR('prev. run'!K51&gt;0,'prev. run'!K51&lt;0),'prev. run'!K51,""),IF(OR('base case'!K51&gt;0,'base case'!K51&lt;0),'base case'!K51,""))</f>
        <v/>
      </c>
      <c r="L51" s="700" t="str">
        <f>IF($E$1=1,IF(OR('prev. run'!L51&gt;0,'prev. run'!L51&lt;0),'prev. run'!L51,""),IF(OR('base case'!L51&gt;0,'base case'!L51&lt;0),'base case'!L51,""))</f>
        <v/>
      </c>
      <c r="M51" s="700" t="str">
        <f>IF($E$1=1,IF(OR('prev. run'!M51&gt;0,'prev. run'!M51&lt;0),'prev. run'!M51,""),IF(OR('base case'!M51&gt;0,'base case'!M51&lt;0),'base case'!M51,""))</f>
        <v/>
      </c>
      <c r="N51" s="700" t="str">
        <f>IF($E$1=1,IF(OR('prev. run'!N51&gt;0,'prev. run'!N51&lt;0),'prev. run'!N51,""),IF(OR('base case'!N51&gt;0,'base case'!N51&lt;0),'base case'!N51,""))</f>
        <v/>
      </c>
      <c r="O51" s="700" t="str">
        <f>IF($E$1=1,IF(OR('prev. run'!O51&gt;0,'prev. run'!O51&lt;0),'prev. run'!O51,""),IF(OR('base case'!O51&gt;0,'base case'!O51&lt;0),'base case'!O51,""))</f>
        <v/>
      </c>
    </row>
    <row r="52" spans="1:15">
      <c r="B52" s="700" t="str">
        <f>IF($E$1=1,IF(OR('prev. run'!B52&gt;0,'prev. run'!B52&lt;0),'prev. run'!B52,""),IF(OR('base case'!B52&gt;0,'base case'!B52&lt;0),'base case'!B52,""))</f>
        <v/>
      </c>
      <c r="C52" s="700" t="str">
        <f>IF($E$1=1,IF(OR('prev. run'!C52&gt;0,'prev. run'!C52&lt;0),'prev. run'!C52,""),IF(OR('base case'!C52&gt;0,'base case'!C52&lt;0),'base case'!C52,""))</f>
        <v/>
      </c>
      <c r="D52" s="700" t="str">
        <f>IF($E$1=1,IF(OR('prev. run'!D52&gt;0,'prev. run'!D52&lt;0),'prev. run'!D52,""),IF(OR('base case'!D52&gt;0,'base case'!D52&lt;0),'base case'!D52,""))</f>
        <v/>
      </c>
      <c r="E52" s="700" t="str">
        <f>IF($E$1=1,IF(OR('prev. run'!E52&gt;0,'prev. run'!E52&lt;0),'prev. run'!E52,""),IF(OR('base case'!E52&gt;0,'base case'!E52&lt;0),'base case'!E52,""))</f>
        <v/>
      </c>
      <c r="F52" s="700" t="str">
        <f>IF($E$1=1,IF(OR('prev. run'!F52&gt;0,'prev. run'!F52&lt;0),'prev. run'!F52,""),IF(OR('base case'!F52&gt;0,'base case'!F52&lt;0),'base case'!F52,""))</f>
        <v/>
      </c>
      <c r="G52" s="700" t="str">
        <f>IF($E$1=1,IF(OR('prev. run'!G52&gt;0,'prev. run'!G52&lt;0),'prev. run'!G52,""),IF(OR('base case'!G52&gt;0,'base case'!G52&lt;0),'base case'!G52,""))</f>
        <v/>
      </c>
      <c r="H52" s="700" t="str">
        <f>IF($E$1=1,IF(OR('prev. run'!H52&gt;0,'prev. run'!H52&lt;0),'prev. run'!H52,""),IF(OR('base case'!H52&gt;0,'base case'!H52&lt;0),'base case'!H52,""))</f>
        <v/>
      </c>
      <c r="I52" s="700" t="str">
        <f>IF($E$1=1,IF(OR('prev. run'!I52&gt;0,'prev. run'!I52&lt;0),'prev. run'!I52,""),IF(OR('base case'!I52&gt;0,'base case'!I52&lt;0),'base case'!I52,""))</f>
        <v/>
      </c>
      <c r="J52" s="700" t="str">
        <f>IF($E$1=1,IF(OR('prev. run'!J52&gt;0,'prev. run'!J52&lt;0),'prev. run'!J52,""),IF(OR('base case'!J52&gt;0,'base case'!J52&lt;0),'base case'!J52,""))</f>
        <v/>
      </c>
      <c r="K52" s="700" t="str">
        <f>IF($E$1=1,IF(OR('prev. run'!K52&gt;0,'prev. run'!K52&lt;0),'prev. run'!K52,""),IF(OR('base case'!K52&gt;0,'base case'!K52&lt;0),'base case'!K52,""))</f>
        <v/>
      </c>
      <c r="L52" s="700" t="str">
        <f>IF($E$1=1,IF(OR('prev. run'!L52&gt;0,'prev. run'!L52&lt;0),'prev. run'!L52,""),IF(OR('base case'!L52&gt;0,'base case'!L52&lt;0),'base case'!L52,""))</f>
        <v/>
      </c>
      <c r="M52" s="700" t="str">
        <f>IF($E$1=1,IF(OR('prev. run'!M52&gt;0,'prev. run'!M52&lt;0),'prev. run'!M52,""),IF(OR('base case'!M52&gt;0,'base case'!M52&lt;0),'base case'!M52,""))</f>
        <v/>
      </c>
      <c r="N52" s="700" t="str">
        <f>IF($E$1=1,IF(OR('prev. run'!N52&gt;0,'prev. run'!N52&lt;0),'prev. run'!N52,""),IF(OR('base case'!N52&gt;0,'base case'!N52&lt;0),'base case'!N52,""))</f>
        <v/>
      </c>
      <c r="O52" s="700" t="str">
        <f>IF($E$1=1,IF(OR('prev. run'!O52&gt;0,'prev. run'!O52&lt;0),'prev. run'!O52,""),IF(OR('base case'!O52&gt;0,'base case'!O52&lt;0),'base case'!O52,""))</f>
        <v/>
      </c>
    </row>
    <row r="53" spans="1:15">
      <c r="B53" s="700" t="str">
        <f>IF($E$1=1,IF(OR('prev. run'!B53&gt;0,'prev. run'!B53&lt;0),'prev. run'!B53,""),IF(OR('base case'!B53&gt;0,'base case'!B53&lt;0),'base case'!B53,""))</f>
        <v/>
      </c>
      <c r="C53" s="700" t="str">
        <f>IF($E$1=1,IF(OR('prev. run'!C53&gt;0,'prev. run'!C53&lt;0),'prev. run'!C53,""),IF(OR('base case'!C53&gt;0,'base case'!C53&lt;0),'base case'!C53,""))</f>
        <v/>
      </c>
      <c r="D53" s="700" t="str">
        <f>IF($E$1=1,IF(OR('prev. run'!D53&gt;0,'prev. run'!D53&lt;0),'prev. run'!D53,""),IF(OR('base case'!D53&gt;0,'base case'!D53&lt;0),'base case'!D53,""))</f>
        <v/>
      </c>
      <c r="E53" s="700" t="str">
        <f>IF($E$1=1,IF(OR('prev. run'!E53&gt;0,'prev. run'!E53&lt;0),'prev. run'!E53,""),IF(OR('base case'!E53&gt;0,'base case'!E53&lt;0),'base case'!E53,""))</f>
        <v/>
      </c>
      <c r="F53" s="700" t="str">
        <f>IF($E$1=1,IF(OR('prev. run'!F53&gt;0,'prev. run'!F53&lt;0),'prev. run'!F53,""),IF(OR('base case'!F53&gt;0,'base case'!F53&lt;0),'base case'!F53,""))</f>
        <v/>
      </c>
      <c r="G53" s="700" t="str">
        <f>IF($E$1=1,IF(OR('prev. run'!G53&gt;0,'prev. run'!G53&lt;0),'prev. run'!G53,""),IF(OR('base case'!G53&gt;0,'base case'!G53&lt;0),'base case'!G53,""))</f>
        <v/>
      </c>
      <c r="H53" s="700" t="str">
        <f>IF($E$1=1,IF(OR('prev. run'!H53&gt;0,'prev. run'!H53&lt;0),'prev. run'!H53,""),IF(OR('base case'!H53&gt;0,'base case'!H53&lt;0),'base case'!H53,""))</f>
        <v/>
      </c>
      <c r="I53" s="700" t="str">
        <f>IF($E$1=1,IF(OR('prev. run'!I53&gt;0,'prev. run'!I53&lt;0),'prev. run'!I53,""),IF(OR('base case'!I53&gt;0,'base case'!I53&lt;0),'base case'!I53,""))</f>
        <v/>
      </c>
      <c r="J53" s="700" t="str">
        <f>IF($E$1=1,IF(OR('prev. run'!J53&gt;0,'prev. run'!J53&lt;0),'prev. run'!J53,""),IF(OR('base case'!J53&gt;0,'base case'!J53&lt;0),'base case'!J53,""))</f>
        <v/>
      </c>
      <c r="K53" s="700" t="str">
        <f>IF($E$1=1,IF(OR('prev. run'!K53&gt;0,'prev. run'!K53&lt;0),'prev. run'!K53,""),IF(OR('base case'!K53&gt;0,'base case'!K53&lt;0),'base case'!K53,""))</f>
        <v/>
      </c>
      <c r="L53" s="700" t="str">
        <f>IF($E$1=1,IF(OR('prev. run'!L53&gt;0,'prev. run'!L53&lt;0),'prev. run'!L53,""),IF(OR('base case'!L53&gt;0,'base case'!L53&lt;0),'base case'!L53,""))</f>
        <v/>
      </c>
      <c r="M53" s="700" t="str">
        <f>IF($E$1=1,IF(OR('prev. run'!M53&gt;0,'prev. run'!M53&lt;0),'prev. run'!M53,""),IF(OR('base case'!M53&gt;0,'base case'!M53&lt;0),'base case'!M53,""))</f>
        <v/>
      </c>
      <c r="N53" s="700" t="str">
        <f>IF($E$1=1,IF(OR('prev. run'!N53&gt;0,'prev. run'!N53&lt;0),'prev. run'!N53,""),IF(OR('base case'!N53&gt;0,'base case'!N53&lt;0),'base case'!N53,""))</f>
        <v/>
      </c>
      <c r="O53" s="700" t="str">
        <f>IF($E$1=1,IF(OR('prev. run'!O53&gt;0,'prev. run'!O53&lt;0),'prev. run'!O53,""),IF(OR('base case'!O53&gt;0,'base case'!O53&lt;0),'base case'!O53,""))</f>
        <v/>
      </c>
    </row>
    <row r="54" spans="1:15">
      <c r="A54" t="str">
        <f>'%-Deviations from prev. results'!A58</f>
        <v>Final (non-normalized) real household expenditure</v>
      </c>
      <c r="B54" s="700" t="str">
        <f>IF($E$1=1,IF(OR('prev. run'!B54&gt;0,'prev. run'!B54&lt;0),'prev. run'!B54,""),IF(OR('base case'!B54&gt;0,'base case'!B54&lt;0),'base case'!B54,""))</f>
        <v/>
      </c>
      <c r="C54" s="700" t="str">
        <f>IF($E$1=1,IF(OR('prev. run'!C54&gt;0,'prev. run'!C54&lt;0),'prev. run'!C54,""),IF(OR('base case'!C54&gt;0,'base case'!C54&lt;0),'base case'!C54,""))</f>
        <v/>
      </c>
      <c r="D54" s="700" t="str">
        <f>IF($E$1=1,IF(OR('prev. run'!D54&gt;0,'prev. run'!D54&lt;0),'prev. run'!D54,""),IF(OR('base case'!D54&gt;0,'base case'!D54&lt;0),'base case'!D54,""))</f>
        <v/>
      </c>
      <c r="E54" s="700" t="str">
        <f>IF($E$1=1,IF(OR('prev. run'!E54&gt;0,'prev. run'!E54&lt;0),'prev. run'!E54,""),IF(OR('base case'!E54&gt;0,'base case'!E54&lt;0),'base case'!E54,""))</f>
        <v/>
      </c>
      <c r="F54" s="700" t="str">
        <f>IF($E$1=1,IF(OR('prev. run'!F54&gt;0,'prev. run'!F54&lt;0),'prev. run'!F54,""),IF(OR('base case'!F54&gt;0,'base case'!F54&lt;0),'base case'!F54,""))</f>
        <v/>
      </c>
      <c r="G54" s="700" t="str">
        <f>IF($E$1=1,IF(OR('prev. run'!G54&gt;0,'prev. run'!G54&lt;0),'prev. run'!G54,""),IF(OR('base case'!G54&gt;0,'base case'!G54&lt;0),'base case'!G54,""))</f>
        <v/>
      </c>
      <c r="H54" s="700" t="str">
        <f>IF($E$1=1,IF(OR('prev. run'!H54&gt;0,'prev. run'!H54&lt;0),'prev. run'!H54,""),IF(OR('base case'!H54&gt;0,'base case'!H54&lt;0),'base case'!H54,""))</f>
        <v/>
      </c>
      <c r="I54" s="700" t="str">
        <f>IF($E$1=1,IF(OR('prev. run'!I54&gt;0,'prev. run'!I54&lt;0),'prev. run'!I54,""),IF(OR('base case'!I54&gt;0,'base case'!I54&lt;0),'base case'!I54,""))</f>
        <v/>
      </c>
      <c r="J54" s="700" t="str">
        <f>IF($E$1=1,IF(OR('prev. run'!J54&gt;0,'prev. run'!J54&lt;0),'prev. run'!J54,""),IF(OR('base case'!J54&gt;0,'base case'!J54&lt;0),'base case'!J54,""))</f>
        <v/>
      </c>
      <c r="K54" s="700" t="str">
        <f>IF($E$1=1,IF(OR('prev. run'!K54&gt;0,'prev. run'!K54&lt;0),'prev. run'!K54,""),IF(OR('base case'!K54&gt;0,'base case'!K54&lt;0),'base case'!K54,""))</f>
        <v/>
      </c>
      <c r="L54" s="700" t="str">
        <f>IF($E$1=1,IF(OR('prev. run'!L54&gt;0,'prev. run'!L54&lt;0),'prev. run'!L54,""),IF(OR('base case'!L54&gt;0,'base case'!L54&lt;0),'base case'!L54,""))</f>
        <v/>
      </c>
      <c r="M54" s="700" t="str">
        <f>IF($E$1=1,IF(OR('prev. run'!M54&gt;0,'prev. run'!M54&lt;0),'prev. run'!M54,""),IF(OR('base case'!M54&gt;0,'base case'!M54&lt;0),'base case'!M54,""))</f>
        <v/>
      </c>
      <c r="N54" s="700" t="str">
        <f>IF($E$1=1,IF(OR('prev. run'!N54&gt;0,'prev. run'!N54&lt;0),'prev. run'!N54,""),IF(OR('base case'!N54&gt;0,'base case'!N54&lt;0),'base case'!N54,""))</f>
        <v/>
      </c>
      <c r="O54" s="700" t="str">
        <f>IF($E$1=1,IF(OR('prev. run'!O54&gt;0,'prev. run'!O54&lt;0),'prev. run'!O54,""),IF(OR('base case'!O54&gt;0,'base case'!O54&lt;0),'base case'!O54,""))</f>
        <v/>
      </c>
    </row>
    <row r="55" spans="1:15">
      <c r="A55" t="str">
        <f>'%-Deviations from prev. results'!A59</f>
        <v>Decile 1</v>
      </c>
      <c r="B55" s="700" t="str">
        <f>IF($E$1=1,IF(OR('prev. run'!B55&gt;0,'prev. run'!B55&lt;0),'prev. run'!B55,""),IF(OR('base case'!B55&gt;0,'base case'!B55&lt;0),'base case'!B55,""))</f>
        <v/>
      </c>
      <c r="C55" s="700" t="str">
        <f>IF($E$1=1,IF(OR('prev. run'!C55&gt;0,'prev. run'!C55&lt;0),'prev. run'!C55,""),IF(OR('base case'!C55&gt;0,'base case'!C55&lt;0),'base case'!C55,""))</f>
        <v/>
      </c>
      <c r="D55" s="700" t="str">
        <f>IF($E$1=1,IF(OR('prev. run'!D55&gt;0,'prev. run'!D55&lt;0),'prev. run'!D55,""),IF(OR('base case'!D55&gt;0,'base case'!D55&lt;0),'base case'!D55,""))</f>
        <v/>
      </c>
      <c r="E55" s="700" t="str">
        <f>IF($E$1=1,IF(OR('prev. run'!E55&gt;0,'prev. run'!E55&lt;0),'prev. run'!E55,""),IF(OR('base case'!E55&gt;0,'base case'!E55&lt;0),'base case'!E55,""))</f>
        <v/>
      </c>
      <c r="F55" s="700" t="str">
        <f>IF($E$1=1,IF(OR('prev. run'!F55&gt;0,'prev. run'!F55&lt;0),'prev. run'!F55,""),IF(OR('base case'!F55&gt;0,'base case'!F55&lt;0),'base case'!F55,""))</f>
        <v/>
      </c>
      <c r="G55" s="700" t="str">
        <f>IF($E$1=1,IF(OR('prev. run'!G55&gt;0,'prev. run'!G55&lt;0),'prev. run'!G55,""),IF(OR('base case'!G55&gt;0,'base case'!G55&lt;0),'base case'!G55,""))</f>
        <v/>
      </c>
      <c r="H55" s="700" t="str">
        <f>IF($E$1=1,IF(OR('prev. run'!H55&gt;0,'prev. run'!H55&lt;0),'prev. run'!H55,""),IF(OR('base case'!H55&gt;0,'base case'!H55&lt;0),'base case'!H55,""))</f>
        <v/>
      </c>
      <c r="I55" s="700" t="str">
        <f>IF($E$1=1,IF(OR('prev. run'!I55&gt;0,'prev. run'!I55&lt;0),'prev. run'!I55,""),IF(OR('base case'!I55&gt;0,'base case'!I55&lt;0),'base case'!I55,""))</f>
        <v/>
      </c>
      <c r="J55" s="700" t="str">
        <f>IF($E$1=1,IF(OR('prev. run'!J55&gt;0,'prev. run'!J55&lt;0),'prev. run'!J55,""),IF(OR('base case'!J55&gt;0,'base case'!J55&lt;0),'base case'!J55,""))</f>
        <v/>
      </c>
      <c r="K55" s="700" t="str">
        <f>IF($E$1=1,IF(OR('prev. run'!K55&gt;0,'prev. run'!K55&lt;0),'prev. run'!K55,""),IF(OR('base case'!K55&gt;0,'base case'!K55&lt;0),'base case'!K55,""))</f>
        <v/>
      </c>
      <c r="L55" s="700" t="str">
        <f>IF($E$1=1,IF(OR('prev. run'!L55&gt;0,'prev. run'!L55&lt;0),'prev. run'!L55,""),IF(OR('base case'!L55&gt;0,'base case'!L55&lt;0),'base case'!L55,""))</f>
        <v/>
      </c>
      <c r="M55" s="700" t="str">
        <f>IF($E$1=1,IF(OR('prev. run'!M55&gt;0,'prev. run'!M55&lt;0),'prev. run'!M55,""),IF(OR('base case'!M55&gt;0,'base case'!M55&lt;0),'base case'!M55,""))</f>
        <v/>
      </c>
      <c r="N55" s="700" t="str">
        <f>IF($E$1=1,IF(OR('prev. run'!N55&gt;0,'prev. run'!N55&lt;0),'prev. run'!N55,""),IF(OR('base case'!N55&gt;0,'base case'!N55&lt;0),'base case'!N55,""))</f>
        <v/>
      </c>
      <c r="O55" s="700" t="str">
        <f>IF($E$1=1,IF(OR('prev. run'!O55&gt;0,'prev. run'!O55&lt;0),'prev. run'!O55,""),IF(OR('base case'!O55&gt;0,'base case'!O55&lt;0),'base case'!O55,""))</f>
        <v/>
      </c>
    </row>
    <row r="56" spans="1:15">
      <c r="A56" t="str">
        <f>'%-Deviations from prev. results'!A60</f>
        <v>Decile 2</v>
      </c>
      <c r="B56" s="700" t="str">
        <f>IF($E$1=1,IF(OR('prev. run'!B56&gt;0,'prev. run'!B56&lt;0),'prev. run'!B56,""),IF(OR('base case'!B56&gt;0,'base case'!B56&lt;0),'base case'!B56,""))</f>
        <v/>
      </c>
      <c r="C56" s="700" t="str">
        <f>IF($E$1=1,IF(OR('prev. run'!C56&gt;0,'prev. run'!C56&lt;0),'prev. run'!C56,""),IF(OR('base case'!C56&gt;0,'base case'!C56&lt;0),'base case'!C56,""))</f>
        <v/>
      </c>
      <c r="D56" s="700" t="str">
        <f>IF($E$1=1,IF(OR('prev. run'!D56&gt;0,'prev. run'!D56&lt;0),'prev. run'!D56,""),IF(OR('base case'!D56&gt;0,'base case'!D56&lt;0),'base case'!D56,""))</f>
        <v/>
      </c>
      <c r="E56" s="700" t="str">
        <f>IF($E$1=1,IF(OR('prev. run'!E56&gt;0,'prev. run'!E56&lt;0),'prev. run'!E56,""),IF(OR('base case'!E56&gt;0,'base case'!E56&lt;0),'base case'!E56,""))</f>
        <v/>
      </c>
      <c r="F56" s="700" t="str">
        <f>IF($E$1=1,IF(OR('prev. run'!F56&gt;0,'prev. run'!F56&lt;0),'prev. run'!F56,""),IF(OR('base case'!F56&gt;0,'base case'!F56&lt;0),'base case'!F56,""))</f>
        <v/>
      </c>
      <c r="G56" s="700" t="str">
        <f>IF($E$1=1,IF(OR('prev. run'!G56&gt;0,'prev. run'!G56&lt;0),'prev. run'!G56,""),IF(OR('base case'!G56&gt;0,'base case'!G56&lt;0),'base case'!G56,""))</f>
        <v/>
      </c>
      <c r="H56" s="700" t="str">
        <f>IF($E$1=1,IF(OR('prev. run'!H56&gt;0,'prev. run'!H56&lt;0),'prev. run'!H56,""),IF(OR('base case'!H56&gt;0,'base case'!H56&lt;0),'base case'!H56,""))</f>
        <v/>
      </c>
      <c r="I56" s="700" t="str">
        <f>IF($E$1=1,IF(OR('prev. run'!I56&gt;0,'prev. run'!I56&lt;0),'prev. run'!I56,""),IF(OR('base case'!I56&gt;0,'base case'!I56&lt;0),'base case'!I56,""))</f>
        <v/>
      </c>
      <c r="J56" s="700" t="str">
        <f>IF($E$1=1,IF(OR('prev. run'!J56&gt;0,'prev. run'!J56&lt;0),'prev. run'!J56,""),IF(OR('base case'!J56&gt;0,'base case'!J56&lt;0),'base case'!J56,""))</f>
        <v/>
      </c>
      <c r="K56" s="700" t="str">
        <f>IF($E$1=1,IF(OR('prev. run'!K56&gt;0,'prev. run'!K56&lt;0),'prev. run'!K56,""),IF(OR('base case'!K56&gt;0,'base case'!K56&lt;0),'base case'!K56,""))</f>
        <v/>
      </c>
      <c r="L56" s="700" t="str">
        <f>IF($E$1=1,IF(OR('prev. run'!L56&gt;0,'prev. run'!L56&lt;0),'prev. run'!L56,""),IF(OR('base case'!L56&gt;0,'base case'!L56&lt;0),'base case'!L56,""))</f>
        <v/>
      </c>
      <c r="M56" s="700" t="str">
        <f>IF($E$1=1,IF(OR('prev. run'!M56&gt;0,'prev. run'!M56&lt;0),'prev. run'!M56,""),IF(OR('base case'!M56&gt;0,'base case'!M56&lt;0),'base case'!M56,""))</f>
        <v/>
      </c>
      <c r="N56" s="700" t="str">
        <f>IF($E$1=1,IF(OR('prev. run'!N56&gt;0,'prev. run'!N56&lt;0),'prev. run'!N56,""),IF(OR('base case'!N56&gt;0,'base case'!N56&lt;0),'base case'!N56,""))</f>
        <v/>
      </c>
      <c r="O56" s="700" t="str">
        <f>IF($E$1=1,IF(OR('prev. run'!O56&gt;0,'prev. run'!O56&lt;0),'prev. run'!O56,""),IF(OR('base case'!O56&gt;0,'base case'!O56&lt;0),'base case'!O56,""))</f>
        <v/>
      </c>
    </row>
    <row r="57" spans="1:15">
      <c r="A57" t="str">
        <f>'%-Deviations from prev. results'!A61</f>
        <v>Decile 3</v>
      </c>
      <c r="B57" s="700" t="str">
        <f>IF($E$1=1,IF(OR('prev. run'!B57&gt;0,'prev. run'!B57&lt;0),'prev. run'!B57,""),IF(OR('base case'!B57&gt;0,'base case'!B57&lt;0),'base case'!B57,""))</f>
        <v/>
      </c>
      <c r="C57" s="700" t="str">
        <f>IF($E$1=1,IF(OR('prev. run'!C57&gt;0,'prev. run'!C57&lt;0),'prev. run'!C57,""),IF(OR('base case'!C57&gt;0,'base case'!C57&lt;0),'base case'!C57,""))</f>
        <v/>
      </c>
      <c r="D57" s="700" t="str">
        <f>IF($E$1=1,IF(OR('prev. run'!D57&gt;0,'prev. run'!D57&lt;0),'prev. run'!D57,""),IF(OR('base case'!D57&gt;0,'base case'!D57&lt;0),'base case'!D57,""))</f>
        <v/>
      </c>
      <c r="E57" s="700" t="str">
        <f>IF($E$1=1,IF(OR('prev. run'!E57&gt;0,'prev. run'!E57&lt;0),'prev. run'!E57,""),IF(OR('base case'!E57&gt;0,'base case'!E57&lt;0),'base case'!E57,""))</f>
        <v/>
      </c>
      <c r="F57" s="700" t="str">
        <f>IF($E$1=1,IF(OR('prev. run'!F57&gt;0,'prev. run'!F57&lt;0),'prev. run'!F57,""),IF(OR('base case'!F57&gt;0,'base case'!F57&lt;0),'base case'!F57,""))</f>
        <v/>
      </c>
      <c r="G57" s="700" t="str">
        <f>IF($E$1=1,IF(OR('prev. run'!G57&gt;0,'prev. run'!G57&lt;0),'prev. run'!G57,""),IF(OR('base case'!G57&gt;0,'base case'!G57&lt;0),'base case'!G57,""))</f>
        <v/>
      </c>
      <c r="H57" s="700" t="str">
        <f>IF($E$1=1,IF(OR('prev. run'!H57&gt;0,'prev. run'!H57&lt;0),'prev. run'!H57,""),IF(OR('base case'!H57&gt;0,'base case'!H57&lt;0),'base case'!H57,""))</f>
        <v/>
      </c>
      <c r="I57" s="700" t="str">
        <f>IF($E$1=1,IF(OR('prev. run'!I57&gt;0,'prev. run'!I57&lt;0),'prev. run'!I57,""),IF(OR('base case'!I57&gt;0,'base case'!I57&lt;0),'base case'!I57,""))</f>
        <v/>
      </c>
      <c r="J57" s="700" t="str">
        <f>IF($E$1=1,IF(OR('prev. run'!J57&gt;0,'prev. run'!J57&lt;0),'prev. run'!J57,""),IF(OR('base case'!J57&gt;0,'base case'!J57&lt;0),'base case'!J57,""))</f>
        <v/>
      </c>
      <c r="K57" s="700" t="str">
        <f>IF($E$1=1,IF(OR('prev. run'!K57&gt;0,'prev. run'!K57&lt;0),'prev. run'!K57,""),IF(OR('base case'!K57&gt;0,'base case'!K57&lt;0),'base case'!K57,""))</f>
        <v/>
      </c>
      <c r="L57" s="700" t="str">
        <f>IF($E$1=1,IF(OR('prev. run'!L57&gt;0,'prev. run'!L57&lt;0),'prev. run'!L57,""),IF(OR('base case'!L57&gt;0,'base case'!L57&lt;0),'base case'!L57,""))</f>
        <v/>
      </c>
      <c r="M57" s="700" t="str">
        <f>IF($E$1=1,IF(OR('prev. run'!M57&gt;0,'prev. run'!M57&lt;0),'prev. run'!M57,""),IF(OR('base case'!M57&gt;0,'base case'!M57&lt;0),'base case'!M57,""))</f>
        <v/>
      </c>
      <c r="N57" s="700" t="str">
        <f>IF($E$1=1,IF(OR('prev. run'!N57&gt;0,'prev. run'!N57&lt;0),'prev. run'!N57,""),IF(OR('base case'!N57&gt;0,'base case'!N57&lt;0),'base case'!N57,""))</f>
        <v/>
      </c>
      <c r="O57" s="700" t="str">
        <f>IF($E$1=1,IF(OR('prev. run'!O57&gt;0,'prev. run'!O57&lt;0),'prev. run'!O57,""),IF(OR('base case'!O57&gt;0,'base case'!O57&lt;0),'base case'!O57,""))</f>
        <v/>
      </c>
    </row>
    <row r="58" spans="1:15">
      <c r="A58" t="str">
        <f>'%-Deviations from prev. results'!A62</f>
        <v>Decile 4</v>
      </c>
      <c r="B58" s="700" t="str">
        <f>IF($E$1=1,IF(OR('prev. run'!B58&gt;0,'prev. run'!B58&lt;0),'prev. run'!B58,""),IF(OR('base case'!B58&gt;0,'base case'!B58&lt;0),'base case'!B58,""))</f>
        <v/>
      </c>
      <c r="C58" s="700" t="str">
        <f>IF($E$1=1,IF(OR('prev. run'!C58&gt;0,'prev. run'!C58&lt;0),'prev. run'!C58,""),IF(OR('base case'!C58&gt;0,'base case'!C58&lt;0),'base case'!C58,""))</f>
        <v/>
      </c>
      <c r="D58" s="700" t="str">
        <f>IF($E$1=1,IF(OR('prev. run'!D58&gt;0,'prev. run'!D58&lt;0),'prev. run'!D58,""),IF(OR('base case'!D58&gt;0,'base case'!D58&lt;0),'base case'!D58,""))</f>
        <v/>
      </c>
      <c r="E58" s="700" t="str">
        <f>IF($E$1=1,IF(OR('prev. run'!E58&gt;0,'prev. run'!E58&lt;0),'prev. run'!E58,""),IF(OR('base case'!E58&gt;0,'base case'!E58&lt;0),'base case'!E58,""))</f>
        <v/>
      </c>
      <c r="F58" s="700" t="str">
        <f>IF($E$1=1,IF(OR('prev. run'!F58&gt;0,'prev. run'!F58&lt;0),'prev. run'!F58,""),IF(OR('base case'!F58&gt;0,'base case'!F58&lt;0),'base case'!F58,""))</f>
        <v/>
      </c>
      <c r="G58" s="700" t="str">
        <f>IF($E$1=1,IF(OR('prev. run'!G58&gt;0,'prev. run'!G58&lt;0),'prev. run'!G58,""),IF(OR('base case'!G58&gt;0,'base case'!G58&lt;0),'base case'!G58,""))</f>
        <v/>
      </c>
      <c r="H58" s="700" t="str">
        <f>IF($E$1=1,IF(OR('prev. run'!H58&gt;0,'prev. run'!H58&lt;0),'prev. run'!H58,""),IF(OR('base case'!H58&gt;0,'base case'!H58&lt;0),'base case'!H58,""))</f>
        <v/>
      </c>
      <c r="I58" s="700" t="str">
        <f>IF($E$1=1,IF(OR('prev. run'!I58&gt;0,'prev. run'!I58&lt;0),'prev. run'!I58,""),IF(OR('base case'!I58&gt;0,'base case'!I58&lt;0),'base case'!I58,""))</f>
        <v/>
      </c>
      <c r="J58" s="700" t="str">
        <f>IF($E$1=1,IF(OR('prev. run'!J58&gt;0,'prev. run'!J58&lt;0),'prev. run'!J58,""),IF(OR('base case'!J58&gt;0,'base case'!J58&lt;0),'base case'!J58,""))</f>
        <v/>
      </c>
      <c r="K58" s="700" t="str">
        <f>IF($E$1=1,IF(OR('prev. run'!K58&gt;0,'prev. run'!K58&lt;0),'prev. run'!K58,""),IF(OR('base case'!K58&gt;0,'base case'!K58&lt;0),'base case'!K58,""))</f>
        <v/>
      </c>
      <c r="L58" s="700" t="str">
        <f>IF($E$1=1,IF(OR('prev. run'!L58&gt;0,'prev. run'!L58&lt;0),'prev. run'!L58,""),IF(OR('base case'!L58&gt;0,'base case'!L58&lt;0),'base case'!L58,""))</f>
        <v/>
      </c>
      <c r="M58" s="700" t="str">
        <f>IF($E$1=1,IF(OR('prev. run'!M58&gt;0,'prev. run'!M58&lt;0),'prev. run'!M58,""),IF(OR('base case'!M58&gt;0,'base case'!M58&lt;0),'base case'!M58,""))</f>
        <v/>
      </c>
      <c r="N58" s="700" t="str">
        <f>IF($E$1=1,IF(OR('prev. run'!N58&gt;0,'prev. run'!N58&lt;0),'prev. run'!N58,""),IF(OR('base case'!N58&gt;0,'base case'!N58&lt;0),'base case'!N58,""))</f>
        <v/>
      </c>
      <c r="O58" s="700" t="str">
        <f>IF($E$1=1,IF(OR('prev. run'!O58&gt;0,'prev. run'!O58&lt;0),'prev. run'!O58,""),IF(OR('base case'!O58&gt;0,'base case'!O58&lt;0),'base case'!O58,""))</f>
        <v/>
      </c>
    </row>
    <row r="59" spans="1:15">
      <c r="A59" t="str">
        <f>'%-Deviations from prev. results'!A63</f>
        <v>Decile 5</v>
      </c>
      <c r="B59" s="700" t="str">
        <f>IF($E$1=1,IF(OR('prev. run'!B59&gt;0,'prev. run'!B59&lt;0),'prev. run'!B59,""),IF(OR('base case'!B59&gt;0,'base case'!B59&lt;0),'base case'!B59,""))</f>
        <v/>
      </c>
      <c r="C59" s="700" t="str">
        <f>IF($E$1=1,IF(OR('prev. run'!C59&gt;0,'prev. run'!C59&lt;0),'prev. run'!C59,""),IF(OR('base case'!C59&gt;0,'base case'!C59&lt;0),'base case'!C59,""))</f>
        <v/>
      </c>
      <c r="D59" s="700" t="str">
        <f>IF($E$1=1,IF(OR('prev. run'!D59&gt;0,'prev. run'!D59&lt;0),'prev. run'!D59,""),IF(OR('base case'!D59&gt;0,'base case'!D59&lt;0),'base case'!D59,""))</f>
        <v/>
      </c>
      <c r="E59" s="700" t="str">
        <f>IF($E$1=1,IF(OR('prev. run'!E59&gt;0,'prev. run'!E59&lt;0),'prev. run'!E59,""),IF(OR('base case'!E59&gt;0,'base case'!E59&lt;0),'base case'!E59,""))</f>
        <v/>
      </c>
      <c r="F59" s="700" t="str">
        <f>IF($E$1=1,IF(OR('prev. run'!F59&gt;0,'prev. run'!F59&lt;0),'prev. run'!F59,""),IF(OR('base case'!F59&gt;0,'base case'!F59&lt;0),'base case'!F59,""))</f>
        <v/>
      </c>
      <c r="G59" s="700" t="str">
        <f>IF($E$1=1,IF(OR('prev. run'!G59&gt;0,'prev. run'!G59&lt;0),'prev. run'!G59,""),IF(OR('base case'!G59&gt;0,'base case'!G59&lt;0),'base case'!G59,""))</f>
        <v/>
      </c>
      <c r="H59" s="700" t="str">
        <f>IF($E$1=1,IF(OR('prev. run'!H59&gt;0,'prev. run'!H59&lt;0),'prev. run'!H59,""),IF(OR('base case'!H59&gt;0,'base case'!H59&lt;0),'base case'!H59,""))</f>
        <v/>
      </c>
      <c r="I59" s="700" t="str">
        <f>IF($E$1=1,IF(OR('prev. run'!I59&gt;0,'prev. run'!I59&lt;0),'prev. run'!I59,""),IF(OR('base case'!I59&gt;0,'base case'!I59&lt;0),'base case'!I59,""))</f>
        <v/>
      </c>
      <c r="J59" s="700" t="str">
        <f>IF($E$1=1,IF(OR('prev. run'!J59&gt;0,'prev. run'!J59&lt;0),'prev. run'!J59,""),IF(OR('base case'!J59&gt;0,'base case'!J59&lt;0),'base case'!J59,""))</f>
        <v/>
      </c>
      <c r="K59" s="700" t="str">
        <f>IF($E$1=1,IF(OR('prev. run'!K59&gt;0,'prev. run'!K59&lt;0),'prev. run'!K59,""),IF(OR('base case'!K59&gt;0,'base case'!K59&lt;0),'base case'!K59,""))</f>
        <v/>
      </c>
      <c r="L59" s="700" t="str">
        <f>IF($E$1=1,IF(OR('prev. run'!L59&gt;0,'prev. run'!L59&lt;0),'prev. run'!L59,""),IF(OR('base case'!L59&gt;0,'base case'!L59&lt;0),'base case'!L59,""))</f>
        <v/>
      </c>
      <c r="M59" s="700" t="str">
        <f>IF($E$1=1,IF(OR('prev. run'!M59&gt;0,'prev. run'!M59&lt;0),'prev. run'!M59,""),IF(OR('base case'!M59&gt;0,'base case'!M59&lt;0),'base case'!M59,""))</f>
        <v/>
      </c>
      <c r="N59" s="700" t="str">
        <f>IF($E$1=1,IF(OR('prev. run'!N59&gt;0,'prev. run'!N59&lt;0),'prev. run'!N59,""),IF(OR('base case'!N59&gt;0,'base case'!N59&lt;0),'base case'!N59,""))</f>
        <v/>
      </c>
      <c r="O59" s="700" t="str">
        <f>IF($E$1=1,IF(OR('prev. run'!O59&gt;0,'prev. run'!O59&lt;0),'prev. run'!O59,""),IF(OR('base case'!O59&gt;0,'base case'!O59&lt;0),'base case'!O59,""))</f>
        <v/>
      </c>
    </row>
    <row r="60" spans="1:15">
      <c r="A60" t="str">
        <f>'%-Deviations from prev. results'!A64</f>
        <v>Decile 6</v>
      </c>
      <c r="B60" s="700" t="str">
        <f>IF($E$1=1,IF(OR('prev. run'!B60&gt;0,'prev. run'!B60&lt;0),'prev. run'!B60,""),IF(OR('base case'!B60&gt;0,'base case'!B60&lt;0),'base case'!B60,""))</f>
        <v/>
      </c>
      <c r="C60" s="700" t="str">
        <f>IF($E$1=1,IF(OR('prev. run'!C60&gt;0,'prev. run'!C60&lt;0),'prev. run'!C60,""),IF(OR('base case'!C60&gt;0,'base case'!C60&lt;0),'base case'!C60,""))</f>
        <v/>
      </c>
      <c r="D60" s="700" t="str">
        <f>IF($E$1=1,IF(OR('prev. run'!D60&gt;0,'prev. run'!D60&lt;0),'prev. run'!D60,""),IF(OR('base case'!D60&gt;0,'base case'!D60&lt;0),'base case'!D60,""))</f>
        <v/>
      </c>
      <c r="E60" s="700" t="str">
        <f>IF($E$1=1,IF(OR('prev. run'!E60&gt;0,'prev. run'!E60&lt;0),'prev. run'!E60,""),IF(OR('base case'!E60&gt;0,'base case'!E60&lt;0),'base case'!E60,""))</f>
        <v/>
      </c>
      <c r="F60" s="700" t="str">
        <f>IF($E$1=1,IF(OR('prev. run'!F60&gt;0,'prev. run'!F60&lt;0),'prev. run'!F60,""),IF(OR('base case'!F60&gt;0,'base case'!F60&lt;0),'base case'!F60,""))</f>
        <v/>
      </c>
      <c r="G60" s="700" t="str">
        <f>IF($E$1=1,IF(OR('prev. run'!G60&gt;0,'prev. run'!G60&lt;0),'prev. run'!G60,""),IF(OR('base case'!G60&gt;0,'base case'!G60&lt;0),'base case'!G60,""))</f>
        <v/>
      </c>
      <c r="H60" s="700" t="str">
        <f>IF($E$1=1,IF(OR('prev. run'!H60&gt;0,'prev. run'!H60&lt;0),'prev. run'!H60,""),IF(OR('base case'!H60&gt;0,'base case'!H60&lt;0),'base case'!H60,""))</f>
        <v/>
      </c>
      <c r="I60" s="700" t="str">
        <f>IF($E$1=1,IF(OR('prev. run'!I60&gt;0,'prev. run'!I60&lt;0),'prev. run'!I60,""),IF(OR('base case'!I60&gt;0,'base case'!I60&lt;0),'base case'!I60,""))</f>
        <v/>
      </c>
      <c r="J60" s="700" t="str">
        <f>IF($E$1=1,IF(OR('prev. run'!J60&gt;0,'prev. run'!J60&lt;0),'prev. run'!J60,""),IF(OR('base case'!J60&gt;0,'base case'!J60&lt;0),'base case'!J60,""))</f>
        <v/>
      </c>
      <c r="K60" s="700" t="str">
        <f>IF($E$1=1,IF(OR('prev. run'!K60&gt;0,'prev. run'!K60&lt;0),'prev. run'!K60,""),IF(OR('base case'!K60&gt;0,'base case'!K60&lt;0),'base case'!K60,""))</f>
        <v/>
      </c>
      <c r="L60" s="700" t="str">
        <f>IF($E$1=1,IF(OR('prev. run'!L60&gt;0,'prev. run'!L60&lt;0),'prev. run'!L60,""),IF(OR('base case'!L60&gt;0,'base case'!L60&lt;0),'base case'!L60,""))</f>
        <v/>
      </c>
      <c r="M60" s="700" t="str">
        <f>IF($E$1=1,IF(OR('prev. run'!M60&gt;0,'prev. run'!M60&lt;0),'prev. run'!M60,""),IF(OR('base case'!M60&gt;0,'base case'!M60&lt;0),'base case'!M60,""))</f>
        <v/>
      </c>
      <c r="N60" s="700" t="str">
        <f>IF($E$1=1,IF(OR('prev. run'!N60&gt;0,'prev. run'!N60&lt;0),'prev. run'!N60,""),IF(OR('base case'!N60&gt;0,'base case'!N60&lt;0),'base case'!N60,""))</f>
        <v/>
      </c>
      <c r="O60" s="700" t="str">
        <f>IF($E$1=1,IF(OR('prev. run'!O60&gt;0,'prev. run'!O60&lt;0),'prev. run'!O60,""),IF(OR('base case'!O60&gt;0,'base case'!O60&lt;0),'base case'!O60,""))</f>
        <v/>
      </c>
    </row>
    <row r="61" spans="1:15">
      <c r="A61" t="str">
        <f>'%-Deviations from prev. results'!A65</f>
        <v>Decile 7</v>
      </c>
      <c r="B61" s="700" t="str">
        <f>IF($E$1=1,IF(OR('prev. run'!B61&gt;0,'prev. run'!B61&lt;0),'prev. run'!B61,""),IF(OR('base case'!B61&gt;0,'base case'!B61&lt;0),'base case'!B61,""))</f>
        <v/>
      </c>
      <c r="C61" s="700" t="str">
        <f>IF($E$1=1,IF(OR('prev. run'!C61&gt;0,'prev. run'!C61&lt;0),'prev. run'!C61,""),IF(OR('base case'!C61&gt;0,'base case'!C61&lt;0),'base case'!C61,""))</f>
        <v/>
      </c>
      <c r="D61" s="700" t="str">
        <f>IF($E$1=1,IF(OR('prev. run'!D61&gt;0,'prev. run'!D61&lt;0),'prev. run'!D61,""),IF(OR('base case'!D61&gt;0,'base case'!D61&lt;0),'base case'!D61,""))</f>
        <v/>
      </c>
      <c r="E61" s="700" t="str">
        <f>IF($E$1=1,IF(OR('prev. run'!E61&gt;0,'prev. run'!E61&lt;0),'prev. run'!E61,""),IF(OR('base case'!E61&gt;0,'base case'!E61&lt;0),'base case'!E61,""))</f>
        <v/>
      </c>
      <c r="F61" s="700" t="str">
        <f>IF($E$1=1,IF(OR('prev. run'!F61&gt;0,'prev. run'!F61&lt;0),'prev. run'!F61,""),IF(OR('base case'!F61&gt;0,'base case'!F61&lt;0),'base case'!F61,""))</f>
        <v/>
      </c>
      <c r="G61" s="700" t="str">
        <f>IF($E$1=1,IF(OR('prev. run'!G61&gt;0,'prev. run'!G61&lt;0),'prev. run'!G61,""),IF(OR('base case'!G61&gt;0,'base case'!G61&lt;0),'base case'!G61,""))</f>
        <v/>
      </c>
      <c r="H61" s="700" t="str">
        <f>IF($E$1=1,IF(OR('prev. run'!H61&gt;0,'prev. run'!H61&lt;0),'prev. run'!H61,""),IF(OR('base case'!H61&gt;0,'base case'!H61&lt;0),'base case'!H61,""))</f>
        <v/>
      </c>
      <c r="I61" s="700" t="str">
        <f>IF($E$1=1,IF(OR('prev. run'!I61&gt;0,'prev. run'!I61&lt;0),'prev. run'!I61,""),IF(OR('base case'!I61&gt;0,'base case'!I61&lt;0),'base case'!I61,""))</f>
        <v/>
      </c>
      <c r="J61" s="700" t="str">
        <f>IF($E$1=1,IF(OR('prev. run'!J61&gt;0,'prev. run'!J61&lt;0),'prev. run'!J61,""),IF(OR('base case'!J61&gt;0,'base case'!J61&lt;0),'base case'!J61,""))</f>
        <v/>
      </c>
      <c r="K61" s="700" t="str">
        <f>IF($E$1=1,IF(OR('prev. run'!K61&gt;0,'prev. run'!K61&lt;0),'prev. run'!K61,""),IF(OR('base case'!K61&gt;0,'base case'!K61&lt;0),'base case'!K61,""))</f>
        <v/>
      </c>
      <c r="L61" s="700" t="str">
        <f>IF($E$1=1,IF(OR('prev. run'!L61&gt;0,'prev. run'!L61&lt;0),'prev. run'!L61,""),IF(OR('base case'!L61&gt;0,'base case'!L61&lt;0),'base case'!L61,""))</f>
        <v/>
      </c>
      <c r="M61" s="700" t="str">
        <f>IF($E$1=1,IF(OR('prev. run'!M61&gt;0,'prev. run'!M61&lt;0),'prev. run'!M61,""),IF(OR('base case'!M61&gt;0,'base case'!M61&lt;0),'base case'!M61,""))</f>
        <v/>
      </c>
      <c r="N61" s="700" t="str">
        <f>IF($E$1=1,IF(OR('prev. run'!N61&gt;0,'prev. run'!N61&lt;0),'prev. run'!N61,""),IF(OR('base case'!N61&gt;0,'base case'!N61&lt;0),'base case'!N61,""))</f>
        <v/>
      </c>
      <c r="O61" s="700" t="str">
        <f>IF($E$1=1,IF(OR('prev. run'!O61&gt;0,'prev. run'!O61&lt;0),'prev. run'!O61,""),IF(OR('base case'!O61&gt;0,'base case'!O61&lt;0),'base case'!O61,""))</f>
        <v/>
      </c>
    </row>
    <row r="62" spans="1:15">
      <c r="A62" t="str">
        <f>'%-Deviations from prev. results'!A66</f>
        <v>Decile 8</v>
      </c>
      <c r="B62" s="700" t="str">
        <f>IF($E$1=1,IF(OR('prev. run'!B62&gt;0,'prev. run'!B62&lt;0),'prev. run'!B62,""),IF(OR('base case'!B62&gt;0,'base case'!B62&lt;0),'base case'!B62,""))</f>
        <v/>
      </c>
      <c r="C62" s="700" t="str">
        <f>IF($E$1=1,IF(OR('prev. run'!C62&gt;0,'prev. run'!C62&lt;0),'prev. run'!C62,""),IF(OR('base case'!C62&gt;0,'base case'!C62&lt;0),'base case'!C62,""))</f>
        <v/>
      </c>
      <c r="D62" s="700" t="str">
        <f>IF($E$1=1,IF(OR('prev. run'!D62&gt;0,'prev. run'!D62&lt;0),'prev. run'!D62,""),IF(OR('base case'!D62&gt;0,'base case'!D62&lt;0),'base case'!D62,""))</f>
        <v/>
      </c>
      <c r="E62" s="700" t="str">
        <f>IF($E$1=1,IF(OR('prev. run'!E62&gt;0,'prev. run'!E62&lt;0),'prev. run'!E62,""),IF(OR('base case'!E62&gt;0,'base case'!E62&lt;0),'base case'!E62,""))</f>
        <v/>
      </c>
      <c r="F62" s="700" t="str">
        <f>IF($E$1=1,IF(OR('prev. run'!F62&gt;0,'prev. run'!F62&lt;0),'prev. run'!F62,""),IF(OR('base case'!F62&gt;0,'base case'!F62&lt;0),'base case'!F62,""))</f>
        <v/>
      </c>
      <c r="G62" s="700" t="str">
        <f>IF($E$1=1,IF(OR('prev. run'!G62&gt;0,'prev. run'!G62&lt;0),'prev. run'!G62,""),IF(OR('base case'!G62&gt;0,'base case'!G62&lt;0),'base case'!G62,""))</f>
        <v/>
      </c>
      <c r="H62" s="700" t="str">
        <f>IF($E$1=1,IF(OR('prev. run'!H62&gt;0,'prev. run'!H62&lt;0),'prev. run'!H62,""),IF(OR('base case'!H62&gt;0,'base case'!H62&lt;0),'base case'!H62,""))</f>
        <v/>
      </c>
      <c r="I62" s="700" t="str">
        <f>IF($E$1=1,IF(OR('prev. run'!I62&gt;0,'prev. run'!I62&lt;0),'prev. run'!I62,""),IF(OR('base case'!I62&gt;0,'base case'!I62&lt;0),'base case'!I62,""))</f>
        <v/>
      </c>
      <c r="J62" s="700" t="str">
        <f>IF($E$1=1,IF(OR('prev. run'!J62&gt;0,'prev. run'!J62&lt;0),'prev. run'!J62,""),IF(OR('base case'!J62&gt;0,'base case'!J62&lt;0),'base case'!J62,""))</f>
        <v/>
      </c>
      <c r="K62" s="700" t="str">
        <f>IF($E$1=1,IF(OR('prev. run'!K62&gt;0,'prev. run'!K62&lt;0),'prev. run'!K62,""),IF(OR('base case'!K62&gt;0,'base case'!K62&lt;0),'base case'!K62,""))</f>
        <v/>
      </c>
      <c r="L62" s="700" t="str">
        <f>IF($E$1=1,IF(OR('prev. run'!L62&gt;0,'prev. run'!L62&lt;0),'prev. run'!L62,""),IF(OR('base case'!L62&gt;0,'base case'!L62&lt;0),'base case'!L62,""))</f>
        <v/>
      </c>
      <c r="M62" s="700" t="str">
        <f>IF($E$1=1,IF(OR('prev. run'!M62&gt;0,'prev. run'!M62&lt;0),'prev. run'!M62,""),IF(OR('base case'!M62&gt;0,'base case'!M62&lt;0),'base case'!M62,""))</f>
        <v/>
      </c>
      <c r="N62" s="700" t="str">
        <f>IF($E$1=1,IF(OR('prev. run'!N62&gt;0,'prev. run'!N62&lt;0),'prev. run'!N62,""),IF(OR('base case'!N62&gt;0,'base case'!N62&lt;0),'base case'!N62,""))</f>
        <v/>
      </c>
      <c r="O62" s="700" t="str">
        <f>IF($E$1=1,IF(OR('prev. run'!O62&gt;0,'prev. run'!O62&lt;0),'prev. run'!O62,""),IF(OR('base case'!O62&gt;0,'base case'!O62&lt;0),'base case'!O62,""))</f>
        <v/>
      </c>
    </row>
    <row r="63" spans="1:15">
      <c r="A63" t="str">
        <f>'%-Deviations from prev. results'!A67</f>
        <v>Decile 9</v>
      </c>
      <c r="B63" s="700" t="str">
        <f>IF($E$1=1,IF(OR('prev. run'!B63&gt;0,'prev. run'!B63&lt;0),'prev. run'!B63,""),IF(OR('base case'!B63&gt;0,'base case'!B63&lt;0),'base case'!B63,""))</f>
        <v/>
      </c>
      <c r="C63" s="700" t="str">
        <f>IF($E$1=1,IF(OR('prev. run'!C63&gt;0,'prev. run'!C63&lt;0),'prev. run'!C63,""),IF(OR('base case'!C63&gt;0,'base case'!C63&lt;0),'base case'!C63,""))</f>
        <v/>
      </c>
      <c r="D63" s="700" t="str">
        <f>IF($E$1=1,IF(OR('prev. run'!D63&gt;0,'prev. run'!D63&lt;0),'prev. run'!D63,""),IF(OR('base case'!D63&gt;0,'base case'!D63&lt;0),'base case'!D63,""))</f>
        <v/>
      </c>
      <c r="E63" s="700" t="str">
        <f>IF($E$1=1,IF(OR('prev. run'!E63&gt;0,'prev. run'!E63&lt;0),'prev. run'!E63,""),IF(OR('base case'!E63&gt;0,'base case'!E63&lt;0),'base case'!E63,""))</f>
        <v/>
      </c>
      <c r="F63" s="700" t="str">
        <f>IF($E$1=1,IF(OR('prev. run'!F63&gt;0,'prev. run'!F63&lt;0),'prev. run'!F63,""),IF(OR('base case'!F63&gt;0,'base case'!F63&lt;0),'base case'!F63,""))</f>
        <v/>
      </c>
      <c r="G63" s="700" t="str">
        <f>IF($E$1=1,IF(OR('prev. run'!G63&gt;0,'prev. run'!G63&lt;0),'prev. run'!G63,""),IF(OR('base case'!G63&gt;0,'base case'!G63&lt;0),'base case'!G63,""))</f>
        <v/>
      </c>
      <c r="H63" s="700" t="str">
        <f>IF($E$1=1,IF(OR('prev. run'!H63&gt;0,'prev. run'!H63&lt;0),'prev. run'!H63,""),IF(OR('base case'!H63&gt;0,'base case'!H63&lt;0),'base case'!H63,""))</f>
        <v/>
      </c>
      <c r="I63" s="700" t="str">
        <f>IF($E$1=1,IF(OR('prev. run'!I63&gt;0,'prev. run'!I63&lt;0),'prev. run'!I63,""),IF(OR('base case'!I63&gt;0,'base case'!I63&lt;0),'base case'!I63,""))</f>
        <v/>
      </c>
      <c r="J63" s="700" t="str">
        <f>IF($E$1=1,IF(OR('prev. run'!J63&gt;0,'prev. run'!J63&lt;0),'prev. run'!J63,""),IF(OR('base case'!J63&gt;0,'base case'!J63&lt;0),'base case'!J63,""))</f>
        <v/>
      </c>
      <c r="K63" s="700" t="str">
        <f>IF($E$1=1,IF(OR('prev. run'!K63&gt;0,'prev. run'!K63&lt;0),'prev. run'!K63,""),IF(OR('base case'!K63&gt;0,'base case'!K63&lt;0),'base case'!K63,""))</f>
        <v/>
      </c>
      <c r="L63" s="700" t="str">
        <f>IF($E$1=1,IF(OR('prev. run'!L63&gt;0,'prev. run'!L63&lt;0),'prev. run'!L63,""),IF(OR('base case'!L63&gt;0,'base case'!L63&lt;0),'base case'!L63,""))</f>
        <v/>
      </c>
      <c r="M63" s="700" t="str">
        <f>IF($E$1=1,IF(OR('prev. run'!M63&gt;0,'prev. run'!M63&lt;0),'prev. run'!M63,""),IF(OR('base case'!M63&gt;0,'base case'!M63&lt;0),'base case'!M63,""))</f>
        <v/>
      </c>
      <c r="N63" s="700" t="str">
        <f>IF($E$1=1,IF(OR('prev. run'!N63&gt;0,'prev. run'!N63&lt;0),'prev. run'!N63,""),IF(OR('base case'!N63&gt;0,'base case'!N63&lt;0),'base case'!N63,""))</f>
        <v/>
      </c>
      <c r="O63" s="700" t="str">
        <f>IF($E$1=1,IF(OR('prev. run'!O63&gt;0,'prev. run'!O63&lt;0),'prev. run'!O63,""),IF(OR('base case'!O63&gt;0,'base case'!O63&lt;0),'base case'!O63,""))</f>
        <v/>
      </c>
    </row>
    <row r="64" spans="1:15">
      <c r="A64" t="str">
        <f>'%-Deviations from prev. results'!A68</f>
        <v>Decile 10</v>
      </c>
      <c r="B64" s="700" t="str">
        <f>IF($E$1=1,IF(OR('prev. run'!B64&gt;0,'prev. run'!B64&lt;0),'prev. run'!B64,""),IF(OR('base case'!B64&gt;0,'base case'!B64&lt;0),'base case'!B64,""))</f>
        <v/>
      </c>
      <c r="C64" s="700" t="str">
        <f>IF($E$1=1,IF(OR('prev. run'!C64&gt;0,'prev. run'!C64&lt;0),'prev. run'!C64,""),IF(OR('base case'!C64&gt;0,'base case'!C64&lt;0),'base case'!C64,""))</f>
        <v/>
      </c>
      <c r="D64" s="700" t="str">
        <f>IF($E$1=1,IF(OR('prev. run'!D64&gt;0,'prev. run'!D64&lt;0),'prev. run'!D64,""),IF(OR('base case'!D64&gt;0,'base case'!D64&lt;0),'base case'!D64,""))</f>
        <v/>
      </c>
      <c r="E64" s="700" t="str">
        <f>IF($E$1=1,IF(OR('prev. run'!E64&gt;0,'prev. run'!E64&lt;0),'prev. run'!E64,""),IF(OR('base case'!E64&gt;0,'base case'!E64&lt;0),'base case'!E64,""))</f>
        <v/>
      </c>
      <c r="F64" s="700" t="str">
        <f>IF($E$1=1,IF(OR('prev. run'!F64&gt;0,'prev. run'!F64&lt;0),'prev. run'!F64,""),IF(OR('base case'!F64&gt;0,'base case'!F64&lt;0),'base case'!F64,""))</f>
        <v/>
      </c>
      <c r="G64" s="700" t="str">
        <f>IF($E$1=1,IF(OR('prev. run'!G64&gt;0,'prev. run'!G64&lt;0),'prev. run'!G64,""),IF(OR('base case'!G64&gt;0,'base case'!G64&lt;0),'base case'!G64,""))</f>
        <v/>
      </c>
      <c r="H64" s="700" t="str">
        <f>IF($E$1=1,IF(OR('prev. run'!H64&gt;0,'prev. run'!H64&lt;0),'prev. run'!H64,""),IF(OR('base case'!H64&gt;0,'base case'!H64&lt;0),'base case'!H64,""))</f>
        <v/>
      </c>
      <c r="I64" s="700" t="str">
        <f>IF($E$1=1,IF(OR('prev. run'!I64&gt;0,'prev. run'!I64&lt;0),'prev. run'!I64,""),IF(OR('base case'!I64&gt;0,'base case'!I64&lt;0),'base case'!I64,""))</f>
        <v/>
      </c>
      <c r="J64" s="700" t="str">
        <f>IF($E$1=1,IF(OR('prev. run'!J64&gt;0,'prev. run'!J64&lt;0),'prev. run'!J64,""),IF(OR('base case'!J64&gt;0,'base case'!J64&lt;0),'base case'!J64,""))</f>
        <v/>
      </c>
      <c r="K64" s="700" t="str">
        <f>IF($E$1=1,IF(OR('prev. run'!K64&gt;0,'prev. run'!K64&lt;0),'prev. run'!K64,""),IF(OR('base case'!K64&gt;0,'base case'!K64&lt;0),'base case'!K64,""))</f>
        <v/>
      </c>
      <c r="L64" s="700" t="str">
        <f>IF($E$1=1,IF(OR('prev. run'!L64&gt;0,'prev. run'!L64&lt;0),'prev. run'!L64,""),IF(OR('base case'!L64&gt;0,'base case'!L64&lt;0),'base case'!L64,""))</f>
        <v/>
      </c>
      <c r="M64" s="700" t="str">
        <f>IF($E$1=1,IF(OR('prev. run'!M64&gt;0,'prev. run'!M64&lt;0),'prev. run'!M64,""),IF(OR('base case'!M64&gt;0,'base case'!M64&lt;0),'base case'!M64,""))</f>
        <v/>
      </c>
      <c r="N64" s="700" t="str">
        <f>IF($E$1=1,IF(OR('prev. run'!N64&gt;0,'prev. run'!N64&lt;0),'prev. run'!N64,""),IF(OR('base case'!N64&gt;0,'base case'!N64&lt;0),'base case'!N64,""))</f>
        <v/>
      </c>
      <c r="O64" s="700" t="str">
        <f>IF($E$1=1,IF(OR('prev. run'!O64&gt;0,'prev. run'!O64&lt;0),'prev. run'!O64,""),IF(OR('base case'!O64&gt;0,'base case'!O64&lt;0),'base case'!O64,""))</f>
        <v/>
      </c>
    </row>
    <row r="65" spans="1:15">
      <c r="B65" s="700" t="str">
        <f>IF($E$1=1,IF(OR('prev. run'!B65&gt;0,'prev. run'!B65&lt;0),'prev. run'!B65,""),IF(OR('base case'!B65&gt;0,'base case'!B65&lt;0),'base case'!B65,""))</f>
        <v/>
      </c>
      <c r="C65" s="700" t="str">
        <f>IF($E$1=1,IF(OR('prev. run'!C65&gt;0,'prev. run'!C65&lt;0),'prev. run'!C65,""),IF(OR('base case'!C65&gt;0,'base case'!C65&lt;0),'base case'!C65,""))</f>
        <v/>
      </c>
      <c r="D65" s="700" t="str">
        <f>IF($E$1=1,IF(OR('prev. run'!D65&gt;0,'prev. run'!D65&lt;0),'prev. run'!D65,""),IF(OR('base case'!D65&gt;0,'base case'!D65&lt;0),'base case'!D65,""))</f>
        <v/>
      </c>
      <c r="E65" s="700" t="str">
        <f>IF($E$1=1,IF(OR('prev. run'!E65&gt;0,'prev. run'!E65&lt;0),'prev. run'!E65,""),IF(OR('base case'!E65&gt;0,'base case'!E65&lt;0),'base case'!E65,""))</f>
        <v/>
      </c>
      <c r="F65" s="700" t="str">
        <f>IF($E$1=1,IF(OR('prev. run'!F65&gt;0,'prev. run'!F65&lt;0),'prev. run'!F65,""),IF(OR('base case'!F65&gt;0,'base case'!F65&lt;0),'base case'!F65,""))</f>
        <v/>
      </c>
      <c r="G65" s="700" t="str">
        <f>IF($E$1=1,IF(OR('prev. run'!G65&gt;0,'prev. run'!G65&lt;0),'prev. run'!G65,""),IF(OR('base case'!G65&gt;0,'base case'!G65&lt;0),'base case'!G65,""))</f>
        <v/>
      </c>
      <c r="H65" s="700" t="str">
        <f>IF($E$1=1,IF(OR('prev. run'!H65&gt;0,'prev. run'!H65&lt;0),'prev. run'!H65,""),IF(OR('base case'!H65&gt;0,'base case'!H65&lt;0),'base case'!H65,""))</f>
        <v/>
      </c>
      <c r="I65" s="700" t="str">
        <f>IF($E$1=1,IF(OR('prev. run'!I65&gt;0,'prev. run'!I65&lt;0),'prev. run'!I65,""),IF(OR('base case'!I65&gt;0,'base case'!I65&lt;0),'base case'!I65,""))</f>
        <v/>
      </c>
      <c r="J65" s="700" t="str">
        <f>IF($E$1=1,IF(OR('prev. run'!J65&gt;0,'prev. run'!J65&lt;0),'prev. run'!J65,""),IF(OR('base case'!J65&gt;0,'base case'!J65&lt;0),'base case'!J65,""))</f>
        <v/>
      </c>
      <c r="K65" s="700" t="str">
        <f>IF($E$1=1,IF(OR('prev. run'!K65&gt;0,'prev. run'!K65&lt;0),'prev. run'!K65,""),IF(OR('base case'!K65&gt;0,'base case'!K65&lt;0),'base case'!K65,""))</f>
        <v/>
      </c>
      <c r="L65" s="700" t="str">
        <f>IF($E$1=1,IF(OR('prev. run'!L65&gt;0,'prev. run'!L65&lt;0),'prev. run'!L65,""),IF(OR('base case'!L65&gt;0,'base case'!L65&lt;0),'base case'!L65,""))</f>
        <v/>
      </c>
      <c r="M65" s="700" t="str">
        <f>IF($E$1=1,IF(OR('prev. run'!M65&gt;0,'prev. run'!M65&lt;0),'prev. run'!M65,""),IF(OR('base case'!M65&gt;0,'base case'!M65&lt;0),'base case'!M65,""))</f>
        <v/>
      </c>
      <c r="N65" s="700" t="str">
        <f>IF($E$1=1,IF(OR('prev. run'!N65&gt;0,'prev. run'!N65&lt;0),'prev. run'!N65,""),IF(OR('base case'!N65&gt;0,'base case'!N65&lt;0),'base case'!N65,""))</f>
        <v/>
      </c>
      <c r="O65" s="700" t="str">
        <f>IF($E$1=1,IF(OR('prev. run'!O65&gt;0,'prev. run'!O65&lt;0),'prev. run'!O65,""),IF(OR('base case'!O65&gt;0,'base case'!O65&lt;0),'base case'!O65,""))</f>
        <v/>
      </c>
    </row>
    <row r="66" spans="1:15">
      <c r="A66" t="str">
        <f>'%-Deviations from prev. results'!A70</f>
        <v>Total</v>
      </c>
      <c r="B66" s="700" t="str">
        <f>IF($E$1=1,IF(OR('prev. run'!B66&gt;0,'prev. run'!B66&lt;0),'prev. run'!B66,""),IF(OR('base case'!B66&gt;0,'base case'!B66&lt;0),'base case'!B66,""))</f>
        <v/>
      </c>
      <c r="C66" s="700" t="str">
        <f>IF($E$1=1,IF(OR('prev. run'!C66&gt;0,'prev. run'!C66&lt;0),'prev. run'!C66,""),IF(OR('base case'!C66&gt;0,'base case'!C66&lt;0),'base case'!C66,""))</f>
        <v/>
      </c>
      <c r="D66" s="700" t="str">
        <f>IF($E$1=1,IF(OR('prev. run'!D66&gt;0,'prev. run'!D66&lt;0),'prev. run'!D66,""),IF(OR('base case'!D66&gt;0,'base case'!D66&lt;0),'base case'!D66,""))</f>
        <v/>
      </c>
      <c r="E66" s="700" t="str">
        <f>IF($E$1=1,IF(OR('prev. run'!E66&gt;0,'prev. run'!E66&lt;0),'prev. run'!E66,""),IF(OR('base case'!E66&gt;0,'base case'!E66&lt;0),'base case'!E66,""))</f>
        <v/>
      </c>
      <c r="F66" s="700" t="str">
        <f>IF($E$1=1,IF(OR('prev. run'!F66&gt;0,'prev. run'!F66&lt;0),'prev. run'!F66,""),IF(OR('base case'!F66&gt;0,'base case'!F66&lt;0),'base case'!F66,""))</f>
        <v/>
      </c>
      <c r="G66" s="700" t="str">
        <f>IF($E$1=1,IF(OR('prev. run'!G66&gt;0,'prev. run'!G66&lt;0),'prev. run'!G66,""),IF(OR('base case'!G66&gt;0,'base case'!G66&lt;0),'base case'!G66,""))</f>
        <v/>
      </c>
      <c r="H66" s="700" t="str">
        <f>IF($E$1=1,IF(OR('prev. run'!H66&gt;0,'prev. run'!H66&lt;0),'prev. run'!H66,""),IF(OR('base case'!H66&gt;0,'base case'!H66&lt;0),'base case'!H66,""))</f>
        <v/>
      </c>
      <c r="I66" s="700" t="str">
        <f>IF($E$1=1,IF(OR('prev. run'!I66&gt;0,'prev. run'!I66&lt;0),'prev. run'!I66,""),IF(OR('base case'!I66&gt;0,'base case'!I66&lt;0),'base case'!I66,""))</f>
        <v/>
      </c>
      <c r="J66" s="700" t="str">
        <f>IF($E$1=1,IF(OR('prev. run'!J66&gt;0,'prev. run'!J66&lt;0),'prev. run'!J66,""),IF(OR('base case'!J66&gt;0,'base case'!J66&lt;0),'base case'!J66,""))</f>
        <v/>
      </c>
      <c r="K66" s="700" t="str">
        <f>IF($E$1=1,IF(OR('prev. run'!K66&gt;0,'prev. run'!K66&lt;0),'prev. run'!K66,""),IF(OR('base case'!K66&gt;0,'base case'!K66&lt;0),'base case'!K66,""))</f>
        <v/>
      </c>
      <c r="L66" s="700" t="str">
        <f>IF($E$1=1,IF(OR('prev. run'!L66&gt;0,'prev. run'!L66&lt;0),'prev. run'!L66,""),IF(OR('base case'!L66&gt;0,'base case'!L66&lt;0),'base case'!L66,""))</f>
        <v/>
      </c>
      <c r="M66" s="700" t="str">
        <f>IF($E$1=1,IF(OR('prev. run'!M66&gt;0,'prev. run'!M66&lt;0),'prev. run'!M66,""),IF(OR('base case'!M66&gt;0,'base case'!M66&lt;0),'base case'!M66,""))</f>
        <v/>
      </c>
      <c r="N66" s="700" t="str">
        <f>IF($E$1=1,IF(OR('prev. run'!N66&gt;0,'prev. run'!N66&lt;0),'prev. run'!N66,""),IF(OR('base case'!N66&gt;0,'base case'!N66&lt;0),'base case'!N66,""))</f>
        <v/>
      </c>
      <c r="O66" s="700" t="str">
        <f>IF($E$1=1,IF(OR('prev. run'!O66&gt;0,'prev. run'!O66&lt;0),'prev. run'!O66,""),IF(OR('base case'!O66&gt;0,'base case'!O66&lt;0),'base case'!O66,""))</f>
        <v/>
      </c>
    </row>
    <row r="67" spans="1:15">
      <c r="B67" s="700" t="str">
        <f>IF($E$1=1,IF(OR('prev. run'!B67&gt;0,'prev. run'!B67&lt;0),'prev. run'!B67,""),IF(OR('base case'!B67&gt;0,'base case'!B67&lt;0),'base case'!B67,""))</f>
        <v/>
      </c>
      <c r="C67" s="700" t="str">
        <f>IF($E$1=1,IF(OR('prev. run'!C67&gt;0,'prev. run'!C67&lt;0),'prev. run'!C67,""),IF(OR('base case'!C67&gt;0,'base case'!C67&lt;0),'base case'!C67,""))</f>
        <v/>
      </c>
      <c r="D67" s="700" t="str">
        <f>IF($E$1=1,IF(OR('prev. run'!D67&gt;0,'prev. run'!D67&lt;0),'prev. run'!D67,""),IF(OR('base case'!D67&gt;0,'base case'!D67&lt;0),'base case'!D67,""))</f>
        <v/>
      </c>
      <c r="E67" s="700" t="str">
        <f>IF($E$1=1,IF(OR('prev. run'!E67&gt;0,'prev. run'!E67&lt;0),'prev. run'!E67,""),IF(OR('base case'!E67&gt;0,'base case'!E67&lt;0),'base case'!E67,""))</f>
        <v/>
      </c>
      <c r="F67" s="700" t="str">
        <f>IF($E$1=1,IF(OR('prev. run'!F67&gt;0,'prev. run'!F67&lt;0),'prev. run'!F67,""),IF(OR('base case'!F67&gt;0,'base case'!F67&lt;0),'base case'!F67,""))</f>
        <v/>
      </c>
      <c r="G67" s="700" t="str">
        <f>IF($E$1=1,IF(OR('prev. run'!G67&gt;0,'prev. run'!G67&lt;0),'prev. run'!G67,""),IF(OR('base case'!G67&gt;0,'base case'!G67&lt;0),'base case'!G67,""))</f>
        <v/>
      </c>
      <c r="H67" s="700" t="str">
        <f>IF($E$1=1,IF(OR('prev. run'!H67&gt;0,'prev. run'!H67&lt;0),'prev. run'!H67,""),IF(OR('base case'!H67&gt;0,'base case'!H67&lt;0),'base case'!H67,""))</f>
        <v/>
      </c>
      <c r="I67" s="700" t="str">
        <f>IF($E$1=1,IF(OR('prev. run'!I67&gt;0,'prev. run'!I67&lt;0),'prev. run'!I67,""),IF(OR('base case'!I67&gt;0,'base case'!I67&lt;0),'base case'!I67,""))</f>
        <v/>
      </c>
      <c r="J67" s="700" t="str">
        <f>IF($E$1=1,IF(OR('prev. run'!J67&gt;0,'prev. run'!J67&lt;0),'prev. run'!J67,""),IF(OR('base case'!J67&gt;0,'base case'!J67&lt;0),'base case'!J67,""))</f>
        <v/>
      </c>
      <c r="K67" s="700" t="str">
        <f>IF($E$1=1,IF(OR('prev. run'!K67&gt;0,'prev. run'!K67&lt;0),'prev. run'!K67,""),IF(OR('base case'!K67&gt;0,'base case'!K67&lt;0),'base case'!K67,""))</f>
        <v/>
      </c>
      <c r="L67" s="700" t="str">
        <f>IF($E$1=1,IF(OR('prev. run'!L67&gt;0,'prev. run'!L67&lt;0),'prev. run'!L67,""),IF(OR('base case'!L67&gt;0,'base case'!L67&lt;0),'base case'!L67,""))</f>
        <v/>
      </c>
      <c r="M67" s="700" t="str">
        <f>IF($E$1=1,IF(OR('prev. run'!M67&gt;0,'prev. run'!M67&lt;0),'prev. run'!M67,""),IF(OR('base case'!M67&gt;0,'base case'!M67&lt;0),'base case'!M67,""))</f>
        <v/>
      </c>
      <c r="N67" s="700" t="str">
        <f>IF($E$1=1,IF(OR('prev. run'!N67&gt;0,'prev. run'!N67&lt;0),'prev. run'!N67,""),IF(OR('base case'!N67&gt;0,'base case'!N67&lt;0),'base case'!N67,""))</f>
        <v/>
      </c>
      <c r="O67" s="700" t="str">
        <f>IF($E$1=1,IF(OR('prev. run'!O67&gt;0,'prev. run'!O67&lt;0),'prev. run'!O67,""),IF(OR('base case'!O67&gt;0,'base case'!O67&lt;0),'base case'!O67,""))</f>
        <v/>
      </c>
    </row>
    <row r="68" spans="1:15">
      <c r="A68" t="str">
        <f>'%-Deviations from prev. results'!A72</f>
        <v>GINI coefficient (exp)</v>
      </c>
      <c r="B68" s="700" t="str">
        <f>IF($E$1=1,IF(OR('prev. run'!B68&gt;0,'prev. run'!B68&lt;0),'prev. run'!B68,""),IF(OR('base case'!B68&gt;0,'base case'!B68&lt;0),'base case'!B68,""))</f>
        <v/>
      </c>
      <c r="C68" s="700" t="str">
        <f>IF($E$1=1,IF(OR('prev. run'!C68&gt;0,'prev. run'!C68&lt;0),'prev. run'!C68,""),IF(OR('base case'!C68&gt;0,'base case'!C68&lt;0),'base case'!C68,""))</f>
        <v/>
      </c>
      <c r="D68" s="700" t="str">
        <f>IF($E$1=1,IF(OR('prev. run'!D68&gt;0,'prev. run'!D68&lt;0),'prev. run'!D68,""),IF(OR('base case'!D68&gt;0,'base case'!D68&lt;0),'base case'!D68,""))</f>
        <v/>
      </c>
      <c r="E68" s="700" t="str">
        <f>IF($E$1=1,IF(OR('prev. run'!E68&gt;0,'prev. run'!E68&lt;0),'prev. run'!E68,""),IF(OR('base case'!E68&gt;0,'base case'!E68&lt;0),'base case'!E68,""))</f>
        <v/>
      </c>
      <c r="F68" s="700" t="str">
        <f>IF($E$1=1,IF(OR('prev. run'!F68&gt;0,'prev. run'!F68&lt;0),'prev. run'!F68,""),IF(OR('base case'!F68&gt;0,'base case'!F68&lt;0),'base case'!F68,""))</f>
        <v/>
      </c>
      <c r="G68" s="700" t="str">
        <f>IF($E$1=1,IF(OR('prev. run'!G68&gt;0,'prev. run'!G68&lt;0),'prev. run'!G68,""),IF(OR('base case'!G68&gt;0,'base case'!G68&lt;0),'base case'!G68,""))</f>
        <v/>
      </c>
      <c r="H68" s="700" t="str">
        <f>IF($E$1=1,IF(OR('prev. run'!H68&gt;0,'prev. run'!H68&lt;0),'prev. run'!H68,""),IF(OR('base case'!H68&gt;0,'base case'!H68&lt;0),'base case'!H68,""))</f>
        <v/>
      </c>
      <c r="I68" s="700" t="str">
        <f>IF($E$1=1,IF(OR('prev. run'!I68&gt;0,'prev. run'!I68&lt;0),'prev. run'!I68,""),IF(OR('base case'!I68&gt;0,'base case'!I68&lt;0),'base case'!I68,""))</f>
        <v/>
      </c>
      <c r="J68" s="700" t="str">
        <f>IF($E$1=1,IF(OR('prev. run'!J68&gt;0,'prev. run'!J68&lt;0),'prev. run'!J68,""),IF(OR('base case'!J68&gt;0,'base case'!J68&lt;0),'base case'!J68,""))</f>
        <v/>
      </c>
      <c r="K68" s="700" t="str">
        <f>IF($E$1=1,IF(OR('prev. run'!K68&gt;0,'prev. run'!K68&lt;0),'prev. run'!K68,""),IF(OR('base case'!K68&gt;0,'base case'!K68&lt;0),'base case'!K68,""))</f>
        <v/>
      </c>
      <c r="L68" s="700" t="str">
        <f>IF($E$1=1,IF(OR('prev. run'!L68&gt;0,'prev. run'!L68&lt;0),'prev. run'!L68,""),IF(OR('base case'!L68&gt;0,'base case'!L68&lt;0),'base case'!L68,""))</f>
        <v/>
      </c>
      <c r="M68" s="700" t="str">
        <f>IF($E$1=1,IF(OR('prev. run'!M68&gt;0,'prev. run'!M68&lt;0),'prev. run'!M68,""),IF(OR('base case'!M68&gt;0,'base case'!M68&lt;0),'base case'!M68,""))</f>
        <v/>
      </c>
      <c r="N68" s="700" t="str">
        <f>IF($E$1=1,IF(OR('prev. run'!N68&gt;0,'prev. run'!N68&lt;0),'prev. run'!N68,""),IF(OR('base case'!N68&gt;0,'base case'!N68&lt;0),'base case'!N68,""))</f>
        <v/>
      </c>
      <c r="O68" s="700" t="str">
        <f>IF($E$1=1,IF(OR('prev. run'!O68&gt;0,'prev. run'!O68&lt;0),'prev. run'!O68,""),IF(OR('base case'!O68&gt;0,'base case'!O68&lt;0),'base case'!O68,""))</f>
        <v/>
      </c>
    </row>
    <row r="69" spans="1:15">
      <c r="B69" s="700"/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  <row r="70" spans="1:15">
      <c r="B70" s="700"/>
      <c r="C70" s="700"/>
      <c r="D70" s="700"/>
      <c r="E70" s="700"/>
      <c r="F70" s="700"/>
      <c r="G70" s="700"/>
      <c r="H70" s="700"/>
      <c r="I70" s="700"/>
      <c r="J70" s="700"/>
      <c r="K70" s="700"/>
      <c r="L70" s="700"/>
      <c r="M70" s="700"/>
      <c r="N70" s="700"/>
      <c r="O70" s="700"/>
    </row>
    <row r="71" spans="1:15">
      <c r="B71" s="700"/>
      <c r="C71" s="700"/>
      <c r="D71" s="700"/>
      <c r="E71" s="700"/>
      <c r="F71" s="700"/>
      <c r="G71" s="700"/>
      <c r="H71" s="700"/>
      <c r="I71" s="700"/>
      <c r="J71" s="700"/>
      <c r="K71" s="700"/>
      <c r="L71" s="700"/>
      <c r="M71" s="700"/>
      <c r="N71" s="700"/>
      <c r="O71" s="700"/>
    </row>
    <row r="72" spans="1:15">
      <c r="B72" s="700"/>
      <c r="C72" s="700"/>
      <c r="D72" s="700"/>
      <c r="E72" s="700"/>
      <c r="F72" s="700"/>
      <c r="G72" s="700"/>
      <c r="H72" s="700"/>
      <c r="I72" s="700"/>
      <c r="J72" s="700"/>
      <c r="K72" s="700"/>
      <c r="L72" s="700"/>
      <c r="M72" s="700"/>
      <c r="N72" s="700"/>
      <c r="O72" s="700"/>
    </row>
    <row r="73" spans="1:15">
      <c r="B73" s="700"/>
      <c r="C73" s="700"/>
      <c r="D73" s="700"/>
      <c r="E73" s="700"/>
      <c r="F73" s="700"/>
      <c r="G73" s="700"/>
      <c r="H73" s="700"/>
      <c r="I73" s="700"/>
      <c r="J73" s="700"/>
      <c r="K73" s="700"/>
      <c r="L73" s="700"/>
      <c r="M73" s="700"/>
      <c r="N73" s="700"/>
      <c r="O73" s="700"/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V68"/>
  <sheetViews>
    <sheetView zoomScale="60" workbookViewId="0">
      <selection activeCell="A68" sqref="A68"/>
    </sheetView>
  </sheetViews>
  <sheetFormatPr defaultRowHeight="12.75"/>
  <cols>
    <col min="1" max="1" width="28.140625" customWidth="1"/>
  </cols>
  <sheetData>
    <row r="1" spans="1:22">
      <c r="B1" s="705"/>
      <c r="C1" s="705"/>
      <c r="D1" s="705"/>
      <c r="E1" s="694"/>
      <c r="F1" s="705"/>
      <c r="G1" s="705"/>
      <c r="H1" s="705"/>
      <c r="I1" s="705"/>
      <c r="J1" s="705"/>
      <c r="K1" s="705"/>
      <c r="L1" s="705"/>
      <c r="M1" s="705"/>
      <c r="N1" s="705"/>
      <c r="O1" s="705"/>
      <c r="P1" s="705"/>
      <c r="Q1" s="705"/>
      <c r="R1" s="705"/>
    </row>
    <row r="2" spans="1:22" s="698" customFormat="1">
      <c r="A2" s="695" t="s">
        <v>185</v>
      </c>
      <c r="B2" s="696">
        <v>1999</v>
      </c>
      <c r="C2" s="696">
        <v>2000</v>
      </c>
      <c r="D2" s="696">
        <v>2001</v>
      </c>
      <c r="E2" s="696">
        <v>2002</v>
      </c>
      <c r="F2" s="696" t="s">
        <v>293</v>
      </c>
      <c r="G2" s="696" t="s">
        <v>293</v>
      </c>
      <c r="H2" s="696" t="s">
        <v>293</v>
      </c>
      <c r="I2" s="696" t="s">
        <v>293</v>
      </c>
      <c r="J2" s="696" t="s">
        <v>293</v>
      </c>
      <c r="K2" s="696" t="s">
        <v>293</v>
      </c>
      <c r="L2" s="696" t="s">
        <v>293</v>
      </c>
      <c r="M2" s="696" t="s">
        <v>293</v>
      </c>
      <c r="N2" s="696" t="s">
        <v>293</v>
      </c>
      <c r="O2" s="696" t="s">
        <v>293</v>
      </c>
      <c r="P2" s="697"/>
      <c r="Q2" s="697"/>
      <c r="R2" s="697"/>
      <c r="S2" s="702"/>
      <c r="T2" s="702"/>
      <c r="U2" s="702"/>
      <c r="V2" s="702"/>
    </row>
    <row r="3" spans="1:22" s="693" customFormat="1">
      <c r="A3" s="699" t="str">
        <f>'%-Deviations from prev. results'!A7</f>
        <v>Export Good (E)</v>
      </c>
      <c r="B3" s="700">
        <v>0.8900000000000009</v>
      </c>
      <c r="C3" s="700">
        <v>0.92730635245062443</v>
      </c>
      <c r="D3" s="700">
        <v>0.98637529064437102</v>
      </c>
      <c r="E3" s="700">
        <v>1.0523802507060682</v>
      </c>
      <c r="F3" s="700">
        <v>0</v>
      </c>
      <c r="G3" s="700">
        <v>0</v>
      </c>
      <c r="H3" s="700">
        <v>0</v>
      </c>
      <c r="I3" s="700">
        <v>0</v>
      </c>
      <c r="J3" s="700">
        <v>0</v>
      </c>
      <c r="K3" s="700">
        <v>0</v>
      </c>
      <c r="L3" s="700">
        <v>0</v>
      </c>
      <c r="M3" s="700">
        <v>0</v>
      </c>
      <c r="N3" s="700">
        <v>0</v>
      </c>
      <c r="O3" s="700">
        <v>0</v>
      </c>
      <c r="P3" s="701"/>
      <c r="Q3" s="701"/>
      <c r="R3" s="701"/>
      <c r="S3" s="704"/>
      <c r="T3" s="704"/>
      <c r="U3" s="704"/>
      <c r="V3" s="704"/>
    </row>
    <row r="4" spans="1:22" s="693" customFormat="1">
      <c r="A4" s="699" t="str">
        <f>'%-Deviations from prev. results'!A8</f>
        <v>Import Good (M)</v>
      </c>
      <c r="B4" s="700">
        <v>1.3330000000000009</v>
      </c>
      <c r="C4" s="700">
        <v>1.6257676229406801</v>
      </c>
      <c r="D4" s="700">
        <v>1.6566503487732451</v>
      </c>
      <c r="E4" s="700">
        <v>1.7098563008472427</v>
      </c>
      <c r="F4" s="700">
        <v>0</v>
      </c>
      <c r="G4" s="700">
        <v>0</v>
      </c>
      <c r="H4" s="700">
        <v>0</v>
      </c>
      <c r="I4" s="700">
        <v>0</v>
      </c>
      <c r="J4" s="700">
        <v>0</v>
      </c>
      <c r="K4" s="700">
        <v>0</v>
      </c>
      <c r="L4" s="700">
        <v>0</v>
      </c>
      <c r="M4" s="700">
        <v>0</v>
      </c>
      <c r="N4" s="700">
        <v>0</v>
      </c>
      <c r="O4" s="700">
        <v>0</v>
      </c>
      <c r="P4" s="701"/>
      <c r="Q4" s="701"/>
      <c r="R4" s="701"/>
      <c r="S4" s="704"/>
      <c r="T4" s="704"/>
      <c r="U4" s="704"/>
      <c r="V4" s="704"/>
    </row>
    <row r="5" spans="1:22" s="693" customFormat="1">
      <c r="A5" s="699" t="str">
        <f>'%-Deviations from prev. results'!A9</f>
        <v>Supply of Domestic Good (Ds)</v>
      </c>
      <c r="B5" s="700">
        <v>5.2693879999999993</v>
      </c>
      <c r="C5" s="700">
        <v>5.5550181048313121</v>
      </c>
      <c r="D5" s="700">
        <v>5.7933712912340063</v>
      </c>
      <c r="E5" s="700">
        <v>6.0744075559383166</v>
      </c>
      <c r="F5" s="700">
        <v>0</v>
      </c>
      <c r="G5" s="700">
        <v>0</v>
      </c>
      <c r="H5" s="700">
        <v>0</v>
      </c>
      <c r="I5" s="700">
        <v>0</v>
      </c>
      <c r="J5" s="700">
        <v>0</v>
      </c>
      <c r="K5" s="700">
        <v>0</v>
      </c>
      <c r="L5" s="700">
        <v>0</v>
      </c>
      <c r="M5" s="700">
        <v>0</v>
      </c>
      <c r="N5" s="700">
        <v>0</v>
      </c>
      <c r="O5" s="700">
        <v>0</v>
      </c>
      <c r="P5" s="701"/>
      <c r="Q5" s="701"/>
      <c r="R5" s="701"/>
      <c r="S5" s="704"/>
      <c r="T5" s="704"/>
      <c r="U5" s="704"/>
      <c r="V5" s="704"/>
    </row>
    <row r="6" spans="1:22" s="693" customFormat="1">
      <c r="A6" s="699" t="str">
        <f>'%-Deviations from prev. results'!A10</f>
        <v>Demand of Domestic Good (Dd)</v>
      </c>
      <c r="B6" s="700">
        <v>5.2693880000000028</v>
      </c>
      <c r="C6" s="700">
        <v>5.5550181048313139</v>
      </c>
      <c r="D6" s="700">
        <v>5.793371291234009</v>
      </c>
      <c r="E6" s="700">
        <v>6.074407555938321</v>
      </c>
      <c r="F6" s="700">
        <v>0</v>
      </c>
      <c r="G6" s="700">
        <v>0</v>
      </c>
      <c r="H6" s="700">
        <v>0</v>
      </c>
      <c r="I6" s="700">
        <v>0</v>
      </c>
      <c r="J6" s="700">
        <v>0</v>
      </c>
      <c r="K6" s="700">
        <v>0</v>
      </c>
      <c r="L6" s="700">
        <v>0</v>
      </c>
      <c r="M6" s="700">
        <v>0</v>
      </c>
      <c r="N6" s="700">
        <v>0</v>
      </c>
      <c r="O6" s="700">
        <v>0</v>
      </c>
      <c r="P6" s="701"/>
      <c r="Q6" s="701"/>
      <c r="R6" s="701"/>
      <c r="S6" s="704"/>
      <c r="T6" s="704"/>
      <c r="U6" s="704"/>
      <c r="V6" s="704"/>
    </row>
    <row r="7" spans="1:22" s="693" customFormat="1">
      <c r="A7" s="699" t="str">
        <f>'%-Deviations from prev. results'!A11</f>
        <v>Supply of Composite Good (Qs)</v>
      </c>
      <c r="B7" s="700">
        <v>10.013084400000004</v>
      </c>
      <c r="C7" s="700">
        <v>11.290619303349679</v>
      </c>
      <c r="D7" s="700">
        <v>11.652397269961511</v>
      </c>
      <c r="E7" s="700">
        <v>12.13041690255535</v>
      </c>
      <c r="F7" s="700">
        <v>0</v>
      </c>
      <c r="G7" s="700">
        <v>0</v>
      </c>
      <c r="H7" s="700">
        <v>0</v>
      </c>
      <c r="I7" s="700">
        <v>0</v>
      </c>
      <c r="J7" s="700">
        <v>0</v>
      </c>
      <c r="K7" s="700">
        <v>0</v>
      </c>
      <c r="L7" s="700">
        <v>0</v>
      </c>
      <c r="M7" s="700">
        <v>0</v>
      </c>
      <c r="N7" s="700">
        <v>0</v>
      </c>
      <c r="O7" s="700">
        <v>0</v>
      </c>
      <c r="P7" s="701"/>
      <c r="Q7" s="701"/>
      <c r="R7" s="701"/>
      <c r="S7" s="704"/>
      <c r="T7" s="704"/>
      <c r="U7" s="704"/>
      <c r="V7" s="704"/>
    </row>
    <row r="8" spans="1:22" s="693" customFormat="1">
      <c r="A8" s="699" t="str">
        <f>'%-Deviations from prev. results'!A12</f>
        <v>Demand of Composite Good (Qd)</v>
      </c>
      <c r="B8" s="700">
        <v>10.013084400000013</v>
      </c>
      <c r="C8" s="700">
        <v>11.290619303349683</v>
      </c>
      <c r="D8" s="700">
        <v>11.652397269961517</v>
      </c>
      <c r="E8" s="700">
        <v>12.130416902555353</v>
      </c>
      <c r="F8" s="700">
        <v>0</v>
      </c>
      <c r="G8" s="700">
        <v>0</v>
      </c>
      <c r="H8" s="700">
        <v>0</v>
      </c>
      <c r="I8" s="700">
        <v>0</v>
      </c>
      <c r="J8" s="700">
        <v>0</v>
      </c>
      <c r="K8" s="700">
        <v>0</v>
      </c>
      <c r="L8" s="700">
        <v>0</v>
      </c>
      <c r="M8" s="700">
        <v>0</v>
      </c>
      <c r="N8" s="700">
        <v>0</v>
      </c>
      <c r="O8" s="700">
        <v>0</v>
      </c>
      <c r="P8" s="701"/>
      <c r="Q8" s="701"/>
      <c r="R8" s="701"/>
      <c r="S8" s="704"/>
      <c r="T8" s="704"/>
      <c r="U8" s="704"/>
      <c r="V8" s="704"/>
    </row>
    <row r="9" spans="1:22" s="693" customFormat="1">
      <c r="A9" s="699" t="str">
        <f>'%-Deviations from prev. results'!A13</f>
        <v>Total Income (Y)</v>
      </c>
      <c r="B9" s="700">
        <v>7.9390504000000011</v>
      </c>
      <c r="C9" s="700">
        <v>10.400581867028183</v>
      </c>
      <c r="D9" s="700">
        <v>13.144519060368511</v>
      </c>
      <c r="E9" s="700">
        <v>15.26091262298227</v>
      </c>
      <c r="F9" s="700">
        <v>0</v>
      </c>
      <c r="G9" s="700">
        <v>0</v>
      </c>
      <c r="H9" s="700">
        <v>0</v>
      </c>
      <c r="I9" s="700">
        <v>0</v>
      </c>
      <c r="J9" s="700">
        <v>0</v>
      </c>
      <c r="K9" s="700">
        <v>0</v>
      </c>
      <c r="L9" s="700">
        <v>0</v>
      </c>
      <c r="M9" s="700">
        <v>0</v>
      </c>
      <c r="N9" s="700">
        <v>0</v>
      </c>
      <c r="O9" s="700">
        <v>0</v>
      </c>
      <c r="P9" s="701"/>
      <c r="Q9" s="701"/>
      <c r="R9" s="701"/>
      <c r="S9" s="704"/>
      <c r="T9" s="704"/>
      <c r="U9" s="704"/>
      <c r="V9" s="704"/>
    </row>
    <row r="10" spans="1:22" s="693" customFormat="1">
      <c r="A10" s="699" t="str">
        <f>'%-Deviations from prev. results'!A14</f>
        <v>Aggregate Savings (S)</v>
      </c>
      <c r="B10" s="700">
        <v>1.6548009399484604</v>
      </c>
      <c r="C10" s="700">
        <v>1.4543145555901262</v>
      </c>
      <c r="D10" s="700">
        <v>1.2532187669955621</v>
      </c>
      <c r="E10" s="700">
        <v>1.8505200604429746</v>
      </c>
      <c r="F10" s="700">
        <v>0</v>
      </c>
      <c r="G10" s="700">
        <v>0</v>
      </c>
      <c r="H10" s="700">
        <v>0</v>
      </c>
      <c r="I10" s="700">
        <v>0</v>
      </c>
      <c r="J10" s="700">
        <v>0</v>
      </c>
      <c r="K10" s="700">
        <v>0</v>
      </c>
      <c r="L10" s="700">
        <v>0</v>
      </c>
      <c r="M10" s="700">
        <v>0</v>
      </c>
      <c r="N10" s="700">
        <v>0</v>
      </c>
      <c r="O10" s="700">
        <v>0</v>
      </c>
      <c r="P10" s="701"/>
      <c r="Q10" s="701"/>
      <c r="R10" s="701"/>
      <c r="S10" s="704"/>
      <c r="T10" s="704"/>
      <c r="U10" s="704"/>
      <c r="V10" s="704"/>
    </row>
    <row r="11" spans="1:22" s="693" customFormat="1">
      <c r="A11" s="699" t="str">
        <f>'%-Deviations from prev. results'!A15</f>
        <v>Consumption (Cn)</v>
      </c>
      <c r="B11" s="700">
        <v>7.5486551730764369</v>
      </c>
      <c r="C11" s="700">
        <v>8.9893590705349169</v>
      </c>
      <c r="D11" s="700">
        <v>9.6341720526781192</v>
      </c>
      <c r="E11" s="700">
        <v>9.7847791649873965</v>
      </c>
      <c r="F11" s="700">
        <v>0</v>
      </c>
      <c r="G11" s="700">
        <v>0</v>
      </c>
      <c r="H11" s="700">
        <v>0</v>
      </c>
      <c r="I11" s="700">
        <v>0</v>
      </c>
      <c r="J11" s="700">
        <v>0</v>
      </c>
      <c r="K11" s="700">
        <v>0</v>
      </c>
      <c r="L11" s="700">
        <v>0</v>
      </c>
      <c r="M11" s="700">
        <v>0</v>
      </c>
      <c r="N11" s="700">
        <v>0</v>
      </c>
      <c r="O11" s="700">
        <v>0</v>
      </c>
      <c r="P11" s="701"/>
      <c r="Q11" s="701"/>
      <c r="R11" s="701"/>
      <c r="S11" s="704"/>
      <c r="T11" s="704"/>
      <c r="U11" s="704"/>
      <c r="V11" s="704"/>
    </row>
    <row r="12" spans="1:22" s="693" customFormat="1">
      <c r="A12" s="699" t="str">
        <f>'%-Deviations from prev. results'!A16</f>
        <v>Import Price (Pm)</v>
      </c>
      <c r="B12" s="700">
        <v>3.5586619654913725</v>
      </c>
      <c r="C12" s="700">
        <v>3.5094371969146398</v>
      </c>
      <c r="D12" s="700">
        <v>4.2271588524354415</v>
      </c>
      <c r="E12" s="700">
        <v>4.8665182419784436</v>
      </c>
      <c r="F12" s="700">
        <v>0</v>
      </c>
      <c r="G12" s="700">
        <v>0</v>
      </c>
      <c r="H12" s="700">
        <v>0</v>
      </c>
      <c r="I12" s="700">
        <v>0</v>
      </c>
      <c r="J12" s="700">
        <v>0</v>
      </c>
      <c r="K12" s="700">
        <v>0</v>
      </c>
      <c r="L12" s="700">
        <v>0</v>
      </c>
      <c r="M12" s="700">
        <v>0</v>
      </c>
      <c r="N12" s="700">
        <v>0</v>
      </c>
      <c r="O12" s="700">
        <v>0</v>
      </c>
      <c r="P12" s="701"/>
      <c r="Q12" s="701"/>
      <c r="R12" s="701"/>
      <c r="S12" s="704"/>
      <c r="T12" s="704"/>
      <c r="U12" s="704"/>
      <c r="V12" s="704"/>
    </row>
    <row r="13" spans="1:22" s="693" customFormat="1">
      <c r="A13" s="699" t="str">
        <f>'%-Deviations from prev. results'!A17</f>
        <v>Export Price (Pe)</v>
      </c>
      <c r="B13" s="700">
        <v>3.1107999999999998</v>
      </c>
      <c r="C13" s="700">
        <v>3.8356682659613921</v>
      </c>
      <c r="D13" s="700">
        <v>4.5935817361253335</v>
      </c>
      <c r="E13" s="700">
        <v>5.3028757256164338</v>
      </c>
      <c r="F13" s="700">
        <v>0</v>
      </c>
      <c r="G13" s="700">
        <v>0</v>
      </c>
      <c r="H13" s="700">
        <v>0</v>
      </c>
      <c r="I13" s="700">
        <v>0</v>
      </c>
      <c r="J13" s="700">
        <v>0</v>
      </c>
      <c r="K13" s="700">
        <v>0</v>
      </c>
      <c r="L13" s="700">
        <v>0</v>
      </c>
      <c r="M13" s="700">
        <v>0</v>
      </c>
      <c r="N13" s="700">
        <v>0</v>
      </c>
      <c r="O13" s="700">
        <v>0</v>
      </c>
      <c r="P13" s="701"/>
      <c r="Q13" s="701"/>
      <c r="R13" s="701"/>
      <c r="S13" s="704"/>
      <c r="T13" s="704"/>
      <c r="U13" s="704"/>
      <c r="V13" s="704"/>
    </row>
    <row r="14" spans="1:22" s="693" customFormat="1">
      <c r="A14" s="699" t="str">
        <f>'%-Deviations from prev. results'!A18</f>
        <v>Sales Price (Pt)</v>
      </c>
      <c r="B14" s="700">
        <v>1.0419451173306802</v>
      </c>
      <c r="C14" s="700">
        <v>1.1790164270204868</v>
      </c>
      <c r="D14" s="700">
        <v>1.3970060246350893</v>
      </c>
      <c r="E14" s="700">
        <v>1.5914010988111833</v>
      </c>
      <c r="F14" s="700">
        <v>0</v>
      </c>
      <c r="G14" s="700">
        <v>0</v>
      </c>
      <c r="H14" s="700">
        <v>0</v>
      </c>
      <c r="I14" s="700">
        <v>0</v>
      </c>
      <c r="J14" s="700">
        <v>0</v>
      </c>
      <c r="K14" s="700">
        <v>0</v>
      </c>
      <c r="L14" s="700">
        <v>0</v>
      </c>
      <c r="M14" s="700">
        <v>0</v>
      </c>
      <c r="N14" s="700">
        <v>0</v>
      </c>
      <c r="O14" s="700">
        <v>0</v>
      </c>
      <c r="P14" s="701"/>
      <c r="Q14" s="701"/>
      <c r="R14" s="701"/>
      <c r="S14" s="704"/>
      <c r="T14" s="704"/>
      <c r="U14" s="704"/>
      <c r="V14" s="704"/>
    </row>
    <row r="15" spans="1:22" s="693" customFormat="1">
      <c r="A15" s="699" t="str">
        <f>'%-Deviations from prev. results'!A19</f>
        <v>Price of Supply (Pq)</v>
      </c>
      <c r="B15" s="700">
        <v>1</v>
      </c>
      <c r="C15" s="700">
        <v>1.1239529347825079</v>
      </c>
      <c r="D15" s="700">
        <v>1.3254112726238889</v>
      </c>
      <c r="E15" s="700">
        <v>1.5041838994408674</v>
      </c>
      <c r="F15" s="700">
        <v>0</v>
      </c>
      <c r="G15" s="700">
        <v>0</v>
      </c>
      <c r="H15" s="700">
        <v>0</v>
      </c>
      <c r="I15" s="700">
        <v>0</v>
      </c>
      <c r="J15" s="700">
        <v>0</v>
      </c>
      <c r="K15" s="700">
        <v>0</v>
      </c>
      <c r="L15" s="700">
        <v>0</v>
      </c>
      <c r="M15" s="700">
        <v>0</v>
      </c>
      <c r="N15" s="700">
        <v>0</v>
      </c>
      <c r="O15" s="700">
        <v>0</v>
      </c>
      <c r="P15" s="701"/>
      <c r="Q15" s="701"/>
      <c r="R15" s="701"/>
      <c r="S15" s="704"/>
      <c r="T15" s="704"/>
      <c r="U15" s="704"/>
      <c r="V15" s="704"/>
    </row>
    <row r="16" spans="1:22" s="693" customFormat="1">
      <c r="A16" s="699" t="str">
        <f>'%-Deviations from prev. results'!A20</f>
        <v>Price of Dom. Good (Pd)</v>
      </c>
      <c r="B16" s="700">
        <v>1</v>
      </c>
      <c r="C16" s="700">
        <v>1.2573488246527318</v>
      </c>
      <c r="D16" s="700">
        <v>1.4570608571762034</v>
      </c>
      <c r="E16" s="700">
        <v>1.633958741557286</v>
      </c>
      <c r="F16" s="700">
        <v>0</v>
      </c>
      <c r="G16" s="700">
        <v>0</v>
      </c>
      <c r="H16" s="700">
        <v>0</v>
      </c>
      <c r="I16" s="700">
        <v>0</v>
      </c>
      <c r="J16" s="700">
        <v>0</v>
      </c>
      <c r="K16" s="700">
        <v>0</v>
      </c>
      <c r="L16" s="700">
        <v>0</v>
      </c>
      <c r="M16" s="700">
        <v>0</v>
      </c>
      <c r="N16" s="700">
        <v>0</v>
      </c>
      <c r="O16" s="700">
        <v>0</v>
      </c>
      <c r="P16" s="701"/>
      <c r="Q16" s="701"/>
      <c r="R16" s="701"/>
      <c r="S16" s="704"/>
      <c r="T16" s="704"/>
      <c r="U16" s="704"/>
      <c r="V16" s="704"/>
    </row>
    <row r="17" spans="1:22" s="693" customFormat="1">
      <c r="A17" s="699" t="str">
        <f>'%-Deviations from prev. results'!A21</f>
        <v>Gross Price of Output</v>
      </c>
      <c r="B17" s="700">
        <v>1.1173482271505177</v>
      </c>
      <c r="C17" s="700">
        <v>0.91920802874125229</v>
      </c>
      <c r="D17" s="700">
        <v>0.93928331173648738</v>
      </c>
      <c r="E17" s="700">
        <v>0.95703252453494225</v>
      </c>
      <c r="F17" s="700">
        <v>0</v>
      </c>
      <c r="G17" s="700">
        <v>0</v>
      </c>
      <c r="H17" s="700">
        <v>0</v>
      </c>
      <c r="I17" s="700">
        <v>0</v>
      </c>
      <c r="J17" s="700">
        <v>0</v>
      </c>
      <c r="K17" s="700">
        <v>0</v>
      </c>
      <c r="L17" s="700">
        <v>0</v>
      </c>
      <c r="M17" s="700">
        <v>0</v>
      </c>
      <c r="N17" s="700">
        <v>0</v>
      </c>
      <c r="O17" s="700">
        <v>0</v>
      </c>
      <c r="P17" s="701"/>
      <c r="Q17" s="701"/>
      <c r="R17" s="701"/>
      <c r="S17" s="704"/>
      <c r="T17" s="704"/>
      <c r="U17" s="704"/>
      <c r="V17" s="704"/>
    </row>
    <row r="18" spans="1:22" s="693" customFormat="1">
      <c r="A18" s="699" t="str">
        <f>'%-Deviations from prev. results'!A22</f>
        <v>Real Exchange Rate (PPP)</v>
      </c>
      <c r="B18" s="700">
        <v>1</v>
      </c>
      <c r="C18" s="700">
        <v>1</v>
      </c>
      <c r="D18" s="700">
        <v>1</v>
      </c>
      <c r="E18" s="700">
        <v>1</v>
      </c>
      <c r="F18" s="700">
        <v>0</v>
      </c>
      <c r="G18" s="700">
        <v>0</v>
      </c>
      <c r="H18" s="700">
        <v>0</v>
      </c>
      <c r="I18" s="700">
        <v>0</v>
      </c>
      <c r="J18" s="700">
        <v>0</v>
      </c>
      <c r="K18" s="700">
        <v>0</v>
      </c>
      <c r="L18" s="700">
        <v>0</v>
      </c>
      <c r="M18" s="700">
        <v>0</v>
      </c>
      <c r="N18" s="700">
        <v>0</v>
      </c>
      <c r="O18" s="700">
        <v>0</v>
      </c>
      <c r="P18" s="701"/>
      <c r="Q18" s="701"/>
      <c r="R18" s="701"/>
      <c r="S18" s="704"/>
      <c r="T18" s="704"/>
      <c r="U18" s="704"/>
      <c r="V18" s="704"/>
    </row>
    <row r="19" spans="1:22" s="693" customFormat="1">
      <c r="A19" s="699" t="str">
        <f>'%-Deviations from prev. results'!A23</f>
        <v>Investment (Z)</v>
      </c>
      <c r="B19" s="700">
        <v>1.588183458490952</v>
      </c>
      <c r="C19" s="700">
        <v>1.2334980290758841</v>
      </c>
      <c r="D19" s="700">
        <v>0.89707490335756923</v>
      </c>
      <c r="E19" s="700">
        <v>1.1628241563762116</v>
      </c>
      <c r="F19" s="700">
        <v>0</v>
      </c>
      <c r="G19" s="700">
        <v>0</v>
      </c>
      <c r="H19" s="700">
        <v>0</v>
      </c>
      <c r="I19" s="700">
        <v>0</v>
      </c>
      <c r="J19" s="700">
        <v>0</v>
      </c>
      <c r="K19" s="700">
        <v>0</v>
      </c>
      <c r="L19" s="700">
        <v>0</v>
      </c>
      <c r="M19" s="700">
        <v>0</v>
      </c>
      <c r="N19" s="700">
        <v>0</v>
      </c>
      <c r="O19" s="700">
        <v>0</v>
      </c>
      <c r="P19" s="701"/>
      <c r="Q19" s="701"/>
      <c r="R19" s="701"/>
      <c r="S19" s="704"/>
      <c r="T19" s="704"/>
      <c r="U19" s="704"/>
      <c r="V19" s="704"/>
    </row>
    <row r="20" spans="1:22" s="693" customFormat="1">
      <c r="A20" s="699" t="str">
        <f>'%-Deviations from prev. results'!A24</f>
        <v>Money Supply</v>
      </c>
      <c r="B20" s="700">
        <v>1.7190066603741008</v>
      </c>
      <c r="C20" s="700">
        <v>2.2158342508604205</v>
      </c>
      <c r="D20" s="700">
        <v>2.7465820255197388</v>
      </c>
      <c r="E20" s="700">
        <v>3.2897550972250169</v>
      </c>
      <c r="F20" s="700">
        <v>0</v>
      </c>
      <c r="G20" s="700">
        <v>0</v>
      </c>
      <c r="H20" s="700">
        <v>0</v>
      </c>
      <c r="I20" s="700">
        <v>0</v>
      </c>
      <c r="J20" s="700">
        <v>0</v>
      </c>
      <c r="K20" s="700">
        <v>0</v>
      </c>
      <c r="L20" s="700">
        <v>0</v>
      </c>
      <c r="M20" s="700">
        <v>0</v>
      </c>
      <c r="N20" s="700">
        <v>0</v>
      </c>
      <c r="O20" s="700">
        <v>0</v>
      </c>
      <c r="P20" s="701"/>
      <c r="Q20" s="701"/>
      <c r="R20" s="701"/>
      <c r="S20" s="704"/>
      <c r="T20" s="704"/>
      <c r="U20" s="704"/>
      <c r="V20" s="704"/>
    </row>
    <row r="21" spans="1:22" s="693" customFormat="1">
      <c r="A21" s="699" t="str">
        <f>'%-Deviations from prev. results'!A25</f>
        <v>Money Velocity</v>
      </c>
      <c r="B21" s="700">
        <v>5.2675770308123253</v>
      </c>
      <c r="C21" s="700">
        <v>5.2675770308123253</v>
      </c>
      <c r="D21" s="700">
        <v>5.2675770308123253</v>
      </c>
      <c r="E21" s="700">
        <v>5.2675770308123253</v>
      </c>
      <c r="F21" s="700">
        <v>0</v>
      </c>
      <c r="G21" s="700">
        <v>0</v>
      </c>
      <c r="H21" s="700">
        <v>0</v>
      </c>
      <c r="I21" s="700">
        <v>0</v>
      </c>
      <c r="J21" s="700">
        <v>0</v>
      </c>
      <c r="K21" s="700">
        <v>0</v>
      </c>
      <c r="L21" s="700">
        <v>0</v>
      </c>
      <c r="M21" s="700">
        <v>0</v>
      </c>
      <c r="N21" s="700">
        <v>0</v>
      </c>
      <c r="O21" s="700">
        <v>0</v>
      </c>
      <c r="P21" s="701"/>
      <c r="Q21" s="701"/>
      <c r="R21" s="701"/>
      <c r="S21" s="704"/>
      <c r="T21" s="704"/>
      <c r="U21" s="704"/>
      <c r="V21" s="704"/>
    </row>
    <row r="22" spans="1:22" s="693" customFormat="1">
      <c r="A22" s="699" t="str">
        <f>'%-Deviations from prev. results'!A26</f>
        <v>Government Savings (Sg)</v>
      </c>
      <c r="B22" s="700">
        <v>0.52500093994845687</v>
      </c>
      <c r="C22" s="700">
        <v>0.33016389841976368</v>
      </c>
      <c r="D22" s="700">
        <v>0.15212213307271397</v>
      </c>
      <c r="E22" s="700">
        <v>0.28712680869052593</v>
      </c>
      <c r="F22" s="700">
        <v>0</v>
      </c>
      <c r="G22" s="700">
        <v>0</v>
      </c>
      <c r="H22" s="700">
        <v>0</v>
      </c>
      <c r="I22" s="700">
        <v>0</v>
      </c>
      <c r="J22" s="700">
        <v>0</v>
      </c>
      <c r="K22" s="700">
        <v>0</v>
      </c>
      <c r="L22" s="700">
        <v>0</v>
      </c>
      <c r="M22" s="700">
        <v>0</v>
      </c>
      <c r="N22" s="700">
        <v>0</v>
      </c>
      <c r="O22" s="700">
        <v>0</v>
      </c>
      <c r="P22" s="701"/>
      <c r="Q22" s="701"/>
      <c r="R22" s="701"/>
      <c r="S22" s="704"/>
      <c r="T22" s="704"/>
      <c r="U22" s="704"/>
      <c r="V22" s="704"/>
    </row>
    <row r="23" spans="1:22" s="693" customFormat="1">
      <c r="A23" s="699" t="str">
        <f>'%-Deviations from prev. results'!A27</f>
        <v>Tax Revenue (TAX)</v>
      </c>
      <c r="B23" s="700">
        <v>1.843000939948457</v>
      </c>
      <c r="C23" s="700">
        <v>1.9180892063891153</v>
      </c>
      <c r="D23" s="700">
        <v>2.4265227716718258</v>
      </c>
      <c r="E23" s="700">
        <v>2.958458168902494</v>
      </c>
      <c r="F23" s="700">
        <v>0</v>
      </c>
      <c r="G23" s="700">
        <v>0</v>
      </c>
      <c r="H23" s="700">
        <v>0</v>
      </c>
      <c r="I23" s="700">
        <v>0</v>
      </c>
      <c r="J23" s="700">
        <v>0</v>
      </c>
      <c r="K23" s="700">
        <v>0</v>
      </c>
      <c r="L23" s="700">
        <v>0</v>
      </c>
      <c r="M23" s="700">
        <v>0</v>
      </c>
      <c r="N23" s="700">
        <v>0</v>
      </c>
      <c r="O23" s="700">
        <v>0</v>
      </c>
      <c r="P23" s="701"/>
      <c r="Q23" s="701"/>
      <c r="R23" s="701"/>
      <c r="S23" s="704"/>
      <c r="T23" s="704"/>
      <c r="U23" s="704"/>
      <c r="V23" s="704"/>
    </row>
    <row r="24" spans="1:22" s="693" customFormat="1">
      <c r="A24" s="699" t="str">
        <f>'%-Deviations from prev. results'!A28</f>
        <v>Tax Adjustment</v>
      </c>
      <c r="B24" s="700">
        <v>1</v>
      </c>
      <c r="C24" s="700">
        <v>1</v>
      </c>
      <c r="D24" s="700">
        <v>1</v>
      </c>
      <c r="E24" s="700">
        <v>1</v>
      </c>
      <c r="F24" s="700">
        <v>0</v>
      </c>
      <c r="G24" s="700">
        <v>0</v>
      </c>
      <c r="H24" s="700">
        <v>0</v>
      </c>
      <c r="I24" s="700">
        <v>0</v>
      </c>
      <c r="J24" s="700">
        <v>0</v>
      </c>
      <c r="K24" s="700">
        <v>0</v>
      </c>
      <c r="L24" s="700">
        <v>0</v>
      </c>
      <c r="M24" s="700">
        <v>0</v>
      </c>
      <c r="N24" s="700">
        <v>0</v>
      </c>
      <c r="O24" s="700">
        <v>0</v>
      </c>
      <c r="P24" s="701"/>
      <c r="Q24" s="701"/>
      <c r="R24" s="701"/>
      <c r="S24" s="704"/>
      <c r="T24" s="704"/>
      <c r="U24" s="704"/>
      <c r="V24" s="704"/>
    </row>
    <row r="25" spans="1:22" s="693" customFormat="1">
      <c r="A25" s="699" t="str">
        <f>'%-Deviations from prev. results'!A29</f>
        <v xml:space="preserve">   Dom Tax Adjustment</v>
      </c>
      <c r="B25" s="700">
        <v>1</v>
      </c>
      <c r="C25" s="700">
        <v>1</v>
      </c>
      <c r="D25" s="700">
        <v>1</v>
      </c>
      <c r="E25" s="700">
        <v>1</v>
      </c>
      <c r="F25" s="700">
        <v>0</v>
      </c>
      <c r="G25" s="700">
        <v>0</v>
      </c>
      <c r="H25" s="700">
        <v>0</v>
      </c>
      <c r="I25" s="700">
        <v>0</v>
      </c>
      <c r="J25" s="700">
        <v>0</v>
      </c>
      <c r="K25" s="700">
        <v>0</v>
      </c>
      <c r="L25" s="700">
        <v>0</v>
      </c>
      <c r="M25" s="700">
        <v>0</v>
      </c>
      <c r="N25" s="700">
        <v>0</v>
      </c>
      <c r="O25" s="700">
        <v>0</v>
      </c>
      <c r="P25" s="701"/>
      <c r="Q25" s="701"/>
      <c r="R25" s="701"/>
      <c r="S25" s="704"/>
      <c r="T25" s="704"/>
      <c r="U25" s="704"/>
      <c r="V25" s="704"/>
    </row>
    <row r="26" spans="1:22" s="693" customFormat="1">
      <c r="A26" s="699" t="str">
        <f>'%-Deviations from prev. results'!A30</f>
        <v xml:space="preserve">   Adjusted import tariffs</v>
      </c>
      <c r="B26" s="700">
        <v>0.14397002876796092</v>
      </c>
      <c r="C26" s="700">
        <v>9.793765891326868E-2</v>
      </c>
      <c r="D26" s="700">
        <v>0.10427786296477044</v>
      </c>
      <c r="E26" s="700">
        <v>0.10125565684367988</v>
      </c>
      <c r="F26" s="700">
        <v>0</v>
      </c>
      <c r="G26" s="700">
        <v>0</v>
      </c>
      <c r="H26" s="700">
        <v>0</v>
      </c>
      <c r="I26" s="700">
        <v>0</v>
      </c>
      <c r="J26" s="700">
        <v>0</v>
      </c>
      <c r="K26" s="700">
        <v>0</v>
      </c>
      <c r="L26" s="700">
        <v>0</v>
      </c>
      <c r="M26" s="700">
        <v>0</v>
      </c>
      <c r="N26" s="700">
        <v>0</v>
      </c>
      <c r="O26" s="700">
        <v>0</v>
      </c>
      <c r="P26" s="701"/>
      <c r="Q26" s="701"/>
      <c r="R26" s="701"/>
      <c r="S26" s="704"/>
      <c r="T26" s="704"/>
      <c r="U26" s="704"/>
      <c r="V26" s="704"/>
    </row>
    <row r="27" spans="1:22" s="693" customFormat="1">
      <c r="A27" s="699" t="str">
        <f>'%-Deviations from prev. results'!A31</f>
        <v xml:space="preserve">   Adjusted export duties</v>
      </c>
      <c r="B27" s="700">
        <v>0</v>
      </c>
      <c r="C27" s="700">
        <v>0</v>
      </c>
      <c r="D27" s="700">
        <v>0</v>
      </c>
      <c r="E27" s="700">
        <v>0</v>
      </c>
      <c r="F27" s="700">
        <v>0</v>
      </c>
      <c r="G27" s="700">
        <v>0</v>
      </c>
      <c r="H27" s="700">
        <v>0</v>
      </c>
      <c r="I27" s="700">
        <v>0</v>
      </c>
      <c r="J27" s="700">
        <v>0</v>
      </c>
      <c r="K27" s="700">
        <v>0</v>
      </c>
      <c r="L27" s="700">
        <v>0</v>
      </c>
      <c r="M27" s="700">
        <v>0</v>
      </c>
      <c r="N27" s="700">
        <v>0</v>
      </c>
      <c r="O27" s="700">
        <v>0</v>
      </c>
      <c r="P27" s="701"/>
      <c r="Q27" s="701"/>
      <c r="R27" s="701"/>
      <c r="S27" s="704"/>
      <c r="T27" s="704"/>
      <c r="U27" s="704"/>
      <c r="V27" s="704"/>
    </row>
    <row r="28" spans="1:22" s="693" customFormat="1">
      <c r="A28" s="699" t="str">
        <f>'%-Deviations from prev. results'!A32</f>
        <v xml:space="preserve">   Adjusted indirect taxes</v>
      </c>
      <c r="B28" s="700">
        <v>5.0733618104727055E-2</v>
      </c>
      <c r="C28" s="700">
        <v>6.4051158027854327E-2</v>
      </c>
      <c r="D28" s="700">
        <v>6.7812505089949099E-2</v>
      </c>
      <c r="E28" s="700">
        <v>7.0862452426071948E-2</v>
      </c>
      <c r="F28" s="700">
        <v>0</v>
      </c>
      <c r="G28" s="700">
        <v>0</v>
      </c>
      <c r="H28" s="700">
        <v>0</v>
      </c>
      <c r="I28" s="700">
        <v>0</v>
      </c>
      <c r="J28" s="700">
        <v>0</v>
      </c>
      <c r="K28" s="700">
        <v>0</v>
      </c>
      <c r="L28" s="700">
        <v>0</v>
      </c>
      <c r="M28" s="700">
        <v>0</v>
      </c>
      <c r="N28" s="700">
        <v>0</v>
      </c>
      <c r="O28" s="700">
        <v>0</v>
      </c>
      <c r="P28" s="701"/>
      <c r="Q28" s="701"/>
      <c r="R28" s="701"/>
      <c r="S28" s="704"/>
      <c r="T28" s="704"/>
      <c r="U28" s="704"/>
      <c r="V28" s="704"/>
    </row>
    <row r="29" spans="1:22" s="693" customFormat="1">
      <c r="A29" s="699" t="str">
        <f>'%-Deviations from prev. results'!A33</f>
        <v xml:space="preserve">   Adjusted direct taxes</v>
      </c>
      <c r="B29" s="700">
        <v>0.10404266988908396</v>
      </c>
      <c r="C29" s="700">
        <v>7.5711786178834867E-2</v>
      </c>
      <c r="D29" s="700">
        <v>7.0826510319833544E-2</v>
      </c>
      <c r="E29" s="700">
        <v>7.4398771084549786E-2</v>
      </c>
      <c r="F29" s="700">
        <v>0</v>
      </c>
      <c r="G29" s="700">
        <v>0</v>
      </c>
      <c r="H29" s="700">
        <v>0</v>
      </c>
      <c r="I29" s="700">
        <v>0</v>
      </c>
      <c r="J29" s="700">
        <v>0</v>
      </c>
      <c r="K29" s="700">
        <v>0</v>
      </c>
      <c r="L29" s="700">
        <v>0</v>
      </c>
      <c r="M29" s="700">
        <v>0</v>
      </c>
      <c r="N29" s="700">
        <v>0</v>
      </c>
      <c r="O29" s="700">
        <v>0</v>
      </c>
      <c r="P29" s="701"/>
      <c r="Q29" s="701"/>
      <c r="R29" s="701"/>
      <c r="S29" s="704"/>
      <c r="T29" s="704"/>
      <c r="U29" s="704"/>
      <c r="V29" s="704"/>
    </row>
    <row r="30" spans="1:22" s="693" customFormat="1">
      <c r="A30" s="699" t="str">
        <f>'%-Deviations from prev. results'!A34</f>
        <v>Govt. Consumption</v>
      </c>
      <c r="B30" s="700">
        <v>0.87624576843258351</v>
      </c>
      <c r="C30" s="700">
        <v>1.0677622037388816</v>
      </c>
      <c r="D30" s="700">
        <v>1.1211503139258254</v>
      </c>
      <c r="E30" s="700">
        <v>1.1828135811917455</v>
      </c>
      <c r="F30" s="700">
        <v>0</v>
      </c>
      <c r="G30" s="700">
        <v>0</v>
      </c>
      <c r="H30" s="700">
        <v>0</v>
      </c>
      <c r="I30" s="700">
        <v>0</v>
      </c>
      <c r="J30" s="700">
        <v>0</v>
      </c>
      <c r="K30" s="700">
        <v>0</v>
      </c>
      <c r="L30" s="700">
        <v>0</v>
      </c>
      <c r="M30" s="700">
        <v>0</v>
      </c>
      <c r="N30" s="700">
        <v>0</v>
      </c>
      <c r="O30" s="700">
        <v>0</v>
      </c>
      <c r="P30" s="701"/>
      <c r="Q30" s="701"/>
      <c r="R30" s="701"/>
      <c r="S30" s="704"/>
      <c r="T30" s="704"/>
      <c r="U30" s="704"/>
      <c r="V30" s="704"/>
    </row>
    <row r="31" spans="1:22" s="693" customFormat="1">
      <c r="A31" s="699" t="str">
        <f>'%-Deviations from prev. results'!A35</f>
        <v xml:space="preserve">Govt. Transfers </v>
      </c>
      <c r="B31" s="700">
        <v>0.33700000000000002</v>
      </c>
      <c r="C31" s="700">
        <v>0.49240569722122512</v>
      </c>
      <c r="D31" s="700">
        <v>0.4505643098132876</v>
      </c>
      <c r="E31" s="700">
        <v>0.43798464357118105</v>
      </c>
      <c r="F31" s="700">
        <v>0</v>
      </c>
      <c r="G31" s="700">
        <v>0</v>
      </c>
      <c r="H31" s="700">
        <v>0</v>
      </c>
      <c r="I31" s="700">
        <v>0</v>
      </c>
      <c r="J31" s="700">
        <v>0</v>
      </c>
      <c r="K31" s="700">
        <v>0</v>
      </c>
      <c r="L31" s="700">
        <v>0</v>
      </c>
      <c r="M31" s="700">
        <v>0</v>
      </c>
      <c r="N31" s="700">
        <v>0</v>
      </c>
      <c r="O31" s="700">
        <v>0</v>
      </c>
      <c r="P31" s="701"/>
      <c r="Q31" s="701"/>
      <c r="R31" s="701"/>
      <c r="S31" s="704"/>
      <c r="T31" s="704"/>
      <c r="U31" s="704"/>
      <c r="V31" s="704"/>
    </row>
    <row r="32" spans="1:22" s="693" customFormat="1">
      <c r="A32" s="699" t="str">
        <f>'%-Deviations from prev. results'!A36</f>
        <v>Export subsidies  rate</v>
      </c>
      <c r="B32" s="700">
        <v>0</v>
      </c>
      <c r="C32" s="700">
        <v>0</v>
      </c>
      <c r="D32" s="700">
        <v>-9.1827665386308046E-15</v>
      </c>
      <c r="E32" s="700">
        <v>0</v>
      </c>
      <c r="F32" s="700">
        <v>0</v>
      </c>
      <c r="G32" s="700">
        <v>0</v>
      </c>
      <c r="H32" s="700">
        <v>0</v>
      </c>
      <c r="I32" s="700">
        <v>0</v>
      </c>
      <c r="J32" s="700">
        <v>0</v>
      </c>
      <c r="K32" s="700">
        <v>0</v>
      </c>
      <c r="L32" s="700">
        <v>0</v>
      </c>
      <c r="M32" s="700">
        <v>0</v>
      </c>
      <c r="N32" s="700">
        <v>0</v>
      </c>
      <c r="O32" s="700">
        <v>0</v>
      </c>
      <c r="P32" s="701"/>
      <c r="Q32" s="701"/>
      <c r="R32" s="701"/>
      <c r="S32" s="704"/>
      <c r="T32" s="704"/>
      <c r="U32" s="704"/>
      <c r="V32" s="704"/>
    </row>
    <row r="33" spans="1:22" s="693" customFormat="1">
      <c r="A33" s="699" t="str">
        <f>'%-Deviations from prev. results'!A37</f>
        <v>Other Subsidies</v>
      </c>
      <c r="B33" s="700">
        <v>8.788500774047206E-3</v>
      </c>
      <c r="C33" s="700">
        <v>1.5060234989473785E-2</v>
      </c>
      <c r="D33" s="700">
        <v>1.3795496827666382E-2</v>
      </c>
      <c r="E33" s="700">
        <v>1.287938685566271E-2</v>
      </c>
      <c r="F33" s="700">
        <v>0</v>
      </c>
      <c r="G33" s="700">
        <v>0</v>
      </c>
      <c r="H33" s="700">
        <v>0</v>
      </c>
      <c r="I33" s="700">
        <v>0</v>
      </c>
      <c r="J33" s="700">
        <v>0</v>
      </c>
      <c r="K33" s="700">
        <v>0</v>
      </c>
      <c r="L33" s="700">
        <v>0</v>
      </c>
      <c r="M33" s="700">
        <v>0</v>
      </c>
      <c r="N33" s="700">
        <v>0</v>
      </c>
      <c r="O33" s="700">
        <v>0</v>
      </c>
      <c r="P33" s="701"/>
      <c r="Q33" s="701"/>
      <c r="R33" s="701"/>
      <c r="S33" s="704"/>
      <c r="T33" s="704"/>
      <c r="U33" s="704"/>
      <c r="V33" s="704"/>
    </row>
    <row r="34" spans="1:22" s="693" customFormat="1">
      <c r="A34" s="699" t="str">
        <f>'%-Deviations from prev. results'!A38</f>
        <v>Foreign Exchange Rate Index(Er)</v>
      </c>
      <c r="B34" s="700">
        <v>3.1107999999999998</v>
      </c>
      <c r="C34" s="700">
        <v>3.1963902216344935</v>
      </c>
      <c r="D34" s="700">
        <v>3.82798478010448</v>
      </c>
      <c r="E34" s="700">
        <v>4.4190631046803617</v>
      </c>
      <c r="F34" s="700">
        <v>0</v>
      </c>
      <c r="G34" s="700">
        <v>0</v>
      </c>
      <c r="H34" s="700">
        <v>0</v>
      </c>
      <c r="I34" s="700">
        <v>0</v>
      </c>
      <c r="J34" s="700">
        <v>0</v>
      </c>
      <c r="K34" s="700">
        <v>0</v>
      </c>
      <c r="L34" s="700">
        <v>0</v>
      </c>
      <c r="M34" s="700">
        <v>0</v>
      </c>
      <c r="N34" s="700">
        <v>0</v>
      </c>
      <c r="O34" s="700">
        <v>0</v>
      </c>
      <c r="P34" s="701"/>
      <c r="Q34" s="701"/>
      <c r="R34" s="701"/>
      <c r="S34" s="704"/>
      <c r="T34" s="704"/>
      <c r="U34" s="704"/>
      <c r="V34" s="704"/>
    </row>
    <row r="35" spans="1:22" s="693" customFormat="1">
      <c r="A35" s="699" t="str">
        <f>'%-Deviations from prev. results'!A39</f>
        <v>Deflator (Px)</v>
      </c>
      <c r="B35" s="700">
        <v>1</v>
      </c>
      <c r="C35" s="700">
        <v>1.2490000000000001</v>
      </c>
      <c r="D35" s="700">
        <v>1.4638280000000001</v>
      </c>
      <c r="E35" s="700">
        <v>1.6585171240000001</v>
      </c>
      <c r="F35" s="700">
        <v>0</v>
      </c>
      <c r="G35" s="700">
        <v>0</v>
      </c>
      <c r="H35" s="700">
        <v>0</v>
      </c>
      <c r="I35" s="700">
        <v>0</v>
      </c>
      <c r="J35" s="700">
        <v>0</v>
      </c>
      <c r="K35" s="700">
        <v>0</v>
      </c>
      <c r="L35" s="700">
        <v>0</v>
      </c>
      <c r="M35" s="700">
        <v>0</v>
      </c>
      <c r="N35" s="700">
        <v>0</v>
      </c>
      <c r="O35" s="700">
        <v>0</v>
      </c>
      <c r="P35" s="701"/>
      <c r="Q35" s="701"/>
      <c r="R35" s="701"/>
      <c r="S35" s="704"/>
      <c r="T35" s="704"/>
      <c r="U35" s="704"/>
      <c r="V35" s="704"/>
    </row>
    <row r="36" spans="1:22">
      <c r="A36" s="699"/>
    </row>
    <row r="37" spans="1:22">
      <c r="A37" s="699" t="str">
        <f>'%-Deviations from prev. results'!A41</f>
        <v>Final (non-normalized) real household income</v>
      </c>
    </row>
    <row r="38" spans="1:22">
      <c r="A38" s="699" t="str">
        <f>'%-Deviations from prev. results'!A42</f>
        <v>Decile 1</v>
      </c>
      <c r="B38">
        <v>481.83116640000003</v>
      </c>
      <c r="C38">
        <v>570.05040440450057</v>
      </c>
      <c r="D38">
        <v>585.21901691236383</v>
      </c>
      <c r="E38">
        <v>609.4855108542248</v>
      </c>
      <c r="F38" t="e">
        <v>#VALUE!</v>
      </c>
      <c r="G38" t="e">
        <v>#VALUE!</v>
      </c>
      <c r="H38" t="e">
        <v>#VALUE!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22">
      <c r="A39" s="699" t="str">
        <f>'%-Deviations from prev. results'!A43</f>
        <v>Decile 2</v>
      </c>
      <c r="B39">
        <v>6790.3526800000009</v>
      </c>
      <c r="C39">
        <v>8024.6516274918131</v>
      </c>
      <c r="D39">
        <v>8253.0824870374163</v>
      </c>
      <c r="E39">
        <v>8608.2749361514925</v>
      </c>
      <c r="F39" t="e">
        <v>#VALUE!</v>
      </c>
      <c r="G39" t="e">
        <v>#VALUE!</v>
      </c>
      <c r="H39" t="e">
        <v>#VALUE!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22">
      <c r="A40" s="699" t="str">
        <f>'%-Deviations from prev. results'!A44</f>
        <v>Decile 3</v>
      </c>
      <c r="B40">
        <v>20006.210999999996</v>
      </c>
      <c r="C40">
        <v>23625.952191266355</v>
      </c>
      <c r="D40">
        <v>24315.202298921617</v>
      </c>
      <c r="E40">
        <v>25374.240046725743</v>
      </c>
      <c r="F40" t="e">
        <v>#VALUE!</v>
      </c>
      <c r="G40" t="e">
        <v>#VALUE!</v>
      </c>
      <c r="H40" t="e">
        <v>#VALUE!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22">
      <c r="A41" s="699" t="str">
        <f>'%-Deviations from prev. results'!A45</f>
        <v>Decile 4</v>
      </c>
      <c r="B41">
        <v>40196.773000000001</v>
      </c>
      <c r="C41">
        <v>47377.815067010699</v>
      </c>
      <c r="D41">
        <v>48750.633435342184</v>
      </c>
      <c r="E41">
        <v>50837.315243913828</v>
      </c>
      <c r="F41" t="e">
        <v>#VALUE!</v>
      </c>
      <c r="G41" t="e">
        <v>#VALUE!</v>
      </c>
      <c r="H41" t="e">
        <v>#VALUE!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22">
      <c r="A42" s="699" t="str">
        <f>'%-Deviations from prev. results'!A46</f>
        <v>Decile 5</v>
      </c>
      <c r="B42">
        <v>68715.895000000004</v>
      </c>
      <c r="C42">
        <v>80886.80634295792</v>
      </c>
      <c r="D42">
        <v>83160.518946524811</v>
      </c>
      <c r="E42">
        <v>86616.118545359073</v>
      </c>
      <c r="F42" t="e">
        <v>#VALUE!</v>
      </c>
      <c r="G42" t="e">
        <v>#VALUE!</v>
      </c>
      <c r="H42" t="e">
        <v>#VALUE!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22">
      <c r="A43" s="699" t="str">
        <f>'%-Deviations from prev. results'!A47</f>
        <v>Decile 6</v>
      </c>
      <c r="B43">
        <v>106396.47699999998</v>
      </c>
      <c r="C43">
        <v>124755.19788157253</v>
      </c>
      <c r="D43">
        <v>128085.69214487552</v>
      </c>
      <c r="E43">
        <v>133082.75202998176</v>
      </c>
      <c r="F43" t="e">
        <v>#VALUE!</v>
      </c>
      <c r="G43" t="e">
        <v>#VALUE!</v>
      </c>
      <c r="H43" t="e">
        <v>#VALUE!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22">
      <c r="A44" s="699" t="str">
        <f>'%-Deviations from prev. results'!A48</f>
        <v>Decile 7</v>
      </c>
      <c r="B44">
        <v>149092.68400000001</v>
      </c>
      <c r="C44">
        <v>174630.88952536345</v>
      </c>
      <c r="D44">
        <v>179235.16064099828</v>
      </c>
      <c r="E44">
        <v>186113.04521117359</v>
      </c>
      <c r="F44" t="e">
        <v>#VALUE!</v>
      </c>
      <c r="G44" t="e">
        <v>#VALUE!</v>
      </c>
      <c r="H44" t="e">
        <v>#VALUE!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22">
      <c r="A45" s="699" t="str">
        <f>'%-Deviations from prev. results'!A49</f>
        <v>Decile 8</v>
      </c>
      <c r="B45">
        <v>215545.726</v>
      </c>
      <c r="C45">
        <v>252761.70925996767</v>
      </c>
      <c r="D45">
        <v>259377.29306756449</v>
      </c>
      <c r="E45">
        <v>269365.24697304831</v>
      </c>
      <c r="F45" t="e">
        <v>#VALUE!</v>
      </c>
      <c r="G45" t="e">
        <v>#VALUE!</v>
      </c>
      <c r="H45" t="e">
        <v>#VALUE!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22">
      <c r="A46" s="699" t="str">
        <f>'%-Deviations from prev. results'!A50</f>
        <v>Decile 9</v>
      </c>
      <c r="B46">
        <v>345239.08299999998</v>
      </c>
      <c r="C46">
        <v>404486.79956109723</v>
      </c>
      <c r="D46">
        <v>415084.69556344306</v>
      </c>
      <c r="E46">
        <v>430975.59469820553</v>
      </c>
      <c r="F46" t="e">
        <v>#VALUE!</v>
      </c>
      <c r="G46" t="e">
        <v>#VALUE!</v>
      </c>
      <c r="H46" t="e">
        <v>#VALUE!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47" spans="1:22">
      <c r="A47" s="699" t="str">
        <f>'%-Deviations from prev. results'!A51</f>
        <v>Decile 10</v>
      </c>
      <c r="B47">
        <v>1488271.4</v>
      </c>
      <c r="C47">
        <v>1742466.8441397434</v>
      </c>
      <c r="D47">
        <v>1800267.4605243327</v>
      </c>
      <c r="E47">
        <v>1881606.7173787127</v>
      </c>
      <c r="F47" t="e">
        <v>#VALUE!</v>
      </c>
      <c r="G47" t="e">
        <v>#VALUE!</v>
      </c>
      <c r="H47" t="e">
        <v>#VALUE!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</row>
    <row r="48" spans="1:22">
      <c r="A48" s="699"/>
    </row>
    <row r="49" spans="1:15">
      <c r="A49" s="699" t="str">
        <f>'%-Deviations from prev. results'!A53</f>
        <v>Total</v>
      </c>
      <c r="B49">
        <v>2440736.4328464</v>
      </c>
      <c r="C49">
        <v>2859586.7160008755</v>
      </c>
      <c r="D49">
        <v>2947114.9581259526</v>
      </c>
      <c r="E49">
        <v>3073188.7905741264</v>
      </c>
      <c r="F49" t="e">
        <v>#VALUE!</v>
      </c>
      <c r="G49" t="e">
        <v>#VALUE!</v>
      </c>
      <c r="H49" t="e">
        <v>#VALUE!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</row>
    <row r="50" spans="1:15">
      <c r="A50" s="699"/>
    </row>
    <row r="51" spans="1:15">
      <c r="A51" s="699" t="str">
        <f>'%-Deviations from prev. results'!A55</f>
        <v>GINI coefficient (inc.)</v>
      </c>
      <c r="B51">
        <v>0.35033100853496818</v>
      </c>
      <c r="C51">
        <v>0.35011375013333107</v>
      </c>
      <c r="D51">
        <v>0.35045546182045711</v>
      </c>
      <c r="E51">
        <v>0.35073984470598923</v>
      </c>
      <c r="F51" t="e">
        <v>#VALUE!</v>
      </c>
      <c r="G51" t="e">
        <v>#VALUE!</v>
      </c>
      <c r="H51" t="e">
        <v>#VALUE!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4" spans="1:15">
      <c r="A54" t="str">
        <f>'%-Deviations from prev. results'!A58</f>
        <v>Final (non-normalized) real household expenditure</v>
      </c>
    </row>
    <row r="55" spans="1:15">
      <c r="A55" t="str">
        <f>'%-Deviations from prev. results'!A59</f>
        <v>Decile 1</v>
      </c>
    </row>
    <row r="56" spans="1:15">
      <c r="A56" t="str">
        <f>'%-Deviations from prev. results'!A60</f>
        <v>Decile 2</v>
      </c>
    </row>
    <row r="57" spans="1:15">
      <c r="A57" t="str">
        <f>'%-Deviations from prev. results'!A61</f>
        <v>Decile 3</v>
      </c>
    </row>
    <row r="58" spans="1:15">
      <c r="A58" t="str">
        <f>'%-Deviations from prev. results'!A62</f>
        <v>Decile 4</v>
      </c>
    </row>
    <row r="59" spans="1:15">
      <c r="A59" t="str">
        <f>'%-Deviations from prev. results'!A63</f>
        <v>Decile 5</v>
      </c>
    </row>
    <row r="60" spans="1:15">
      <c r="A60" t="str">
        <f>'%-Deviations from prev. results'!A64</f>
        <v>Decile 6</v>
      </c>
    </row>
    <row r="61" spans="1:15">
      <c r="A61" t="str">
        <f>'%-Deviations from prev. results'!A65</f>
        <v>Decile 7</v>
      </c>
    </row>
    <row r="62" spans="1:15">
      <c r="A62" t="str">
        <f>'%-Deviations from prev. results'!A66</f>
        <v>Decile 8</v>
      </c>
    </row>
    <row r="63" spans="1:15">
      <c r="A63" t="str">
        <f>'%-Deviations from prev. results'!A67</f>
        <v>Decile 9</v>
      </c>
    </row>
    <row r="64" spans="1:15">
      <c r="A64" t="str">
        <f>'%-Deviations from prev. results'!A68</f>
        <v>Decile 10</v>
      </c>
    </row>
    <row r="66" spans="1:1">
      <c r="A66" t="str">
        <f>'%-Deviations from prev. results'!A70</f>
        <v>Total</v>
      </c>
    </row>
    <row r="68" spans="1:1">
      <c r="A68" t="str">
        <f>'%-Deviations from prev. results'!A72</f>
        <v>GINI coefficient (exp)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2"/>
  <dimension ref="A1:V68"/>
  <sheetViews>
    <sheetView zoomScale="60" workbookViewId="0">
      <selection activeCell="A68" sqref="A68"/>
    </sheetView>
  </sheetViews>
  <sheetFormatPr defaultRowHeight="12.75"/>
  <cols>
    <col min="1" max="1" width="28.140625" customWidth="1"/>
  </cols>
  <sheetData>
    <row r="1" spans="1:22">
      <c r="B1" s="705"/>
      <c r="C1" s="705"/>
      <c r="D1" s="705"/>
      <c r="E1" s="694"/>
      <c r="F1" s="705"/>
      <c r="G1" s="705"/>
      <c r="H1" s="705"/>
      <c r="I1" s="705"/>
      <c r="J1" s="705"/>
      <c r="K1" s="705"/>
      <c r="L1" s="705"/>
      <c r="M1" s="705"/>
      <c r="N1" s="705"/>
      <c r="O1" s="705"/>
      <c r="P1" s="705"/>
      <c r="Q1" s="705"/>
      <c r="R1" s="705"/>
    </row>
    <row r="2" spans="1:22" s="698" customFormat="1">
      <c r="A2" s="695" t="s">
        <v>186</v>
      </c>
      <c r="B2" s="696">
        <v>1999</v>
      </c>
      <c r="C2" s="696">
        <v>2000</v>
      </c>
      <c r="D2" s="696">
        <v>2001</v>
      </c>
      <c r="E2" s="696">
        <v>2002</v>
      </c>
      <c r="F2" s="696" t="s">
        <v>293</v>
      </c>
      <c r="G2" s="696" t="s">
        <v>293</v>
      </c>
      <c r="H2" s="696" t="s">
        <v>293</v>
      </c>
      <c r="I2" s="696" t="s">
        <v>293</v>
      </c>
      <c r="J2" s="696" t="s">
        <v>293</v>
      </c>
      <c r="K2" s="696" t="s">
        <v>293</v>
      </c>
      <c r="L2" s="696" t="s">
        <v>293</v>
      </c>
      <c r="M2" s="696" t="s">
        <v>293</v>
      </c>
      <c r="N2" s="696" t="s">
        <v>293</v>
      </c>
      <c r="O2" s="696" t="s">
        <v>293</v>
      </c>
      <c r="P2" s="697"/>
      <c r="Q2" s="697"/>
      <c r="R2" s="697"/>
      <c r="S2" s="702"/>
      <c r="T2" s="702"/>
      <c r="U2" s="702"/>
      <c r="V2" s="702"/>
    </row>
    <row r="3" spans="1:22" s="693" customFormat="1">
      <c r="A3" s="699" t="str">
        <f>'%-Deviations from prev. results'!A7</f>
        <v>Export Good (E)</v>
      </c>
      <c r="B3" s="700">
        <v>0.8900000000000009</v>
      </c>
      <c r="C3" s="700">
        <v>0.92730635245062443</v>
      </c>
      <c r="D3" s="700">
        <v>0.98637529064437102</v>
      </c>
      <c r="E3" s="700">
        <v>1.0523802507060682</v>
      </c>
      <c r="F3" s="700">
        <v>0</v>
      </c>
      <c r="G3" s="700">
        <v>0</v>
      </c>
      <c r="H3" s="700">
        <v>0</v>
      </c>
      <c r="I3" s="700">
        <v>0</v>
      </c>
      <c r="J3" s="700">
        <v>0</v>
      </c>
      <c r="K3" s="700">
        <v>0</v>
      </c>
      <c r="L3" s="700">
        <v>0</v>
      </c>
      <c r="M3" s="700">
        <v>0</v>
      </c>
      <c r="N3" s="700">
        <v>0</v>
      </c>
      <c r="O3" s="700">
        <v>0</v>
      </c>
      <c r="P3" s="701"/>
      <c r="Q3" s="701"/>
      <c r="R3" s="701"/>
      <c r="S3" s="704"/>
      <c r="T3" s="704"/>
      <c r="U3" s="704"/>
      <c r="V3" s="704"/>
    </row>
    <row r="4" spans="1:22" s="693" customFormat="1">
      <c r="A4" s="699" t="str">
        <f>'%-Deviations from prev. results'!A8</f>
        <v>Import Good (M)</v>
      </c>
      <c r="B4" s="700">
        <v>1.3330000000000009</v>
      </c>
      <c r="C4" s="700">
        <v>1.6257676229406801</v>
      </c>
      <c r="D4" s="700">
        <v>1.6566503487732451</v>
      </c>
      <c r="E4" s="700">
        <v>1.7098563008472427</v>
      </c>
      <c r="F4" s="700">
        <v>0</v>
      </c>
      <c r="G4" s="700">
        <v>0</v>
      </c>
      <c r="H4" s="700">
        <v>0</v>
      </c>
      <c r="I4" s="700">
        <v>0</v>
      </c>
      <c r="J4" s="700">
        <v>0</v>
      </c>
      <c r="K4" s="700">
        <v>0</v>
      </c>
      <c r="L4" s="700">
        <v>0</v>
      </c>
      <c r="M4" s="700">
        <v>0</v>
      </c>
      <c r="N4" s="700">
        <v>0</v>
      </c>
      <c r="O4" s="700">
        <v>0</v>
      </c>
      <c r="P4" s="701"/>
      <c r="Q4" s="701"/>
      <c r="R4" s="701"/>
      <c r="S4" s="704"/>
      <c r="T4" s="704"/>
      <c r="U4" s="704"/>
      <c r="V4" s="704"/>
    </row>
    <row r="5" spans="1:22" s="693" customFormat="1">
      <c r="A5" s="699" t="str">
        <f>'%-Deviations from prev. results'!A9</f>
        <v>Supply of Domestic Good (Ds)</v>
      </c>
      <c r="B5" s="700">
        <v>5.2693879999999993</v>
      </c>
      <c r="C5" s="700">
        <v>5.5550181048313121</v>
      </c>
      <c r="D5" s="700">
        <v>5.7933712912340063</v>
      </c>
      <c r="E5" s="700">
        <v>6.0744075559383166</v>
      </c>
      <c r="F5" s="700">
        <v>0</v>
      </c>
      <c r="G5" s="700">
        <v>0</v>
      </c>
      <c r="H5" s="700">
        <v>0</v>
      </c>
      <c r="I5" s="700">
        <v>0</v>
      </c>
      <c r="J5" s="700">
        <v>0</v>
      </c>
      <c r="K5" s="700">
        <v>0</v>
      </c>
      <c r="L5" s="700">
        <v>0</v>
      </c>
      <c r="M5" s="700">
        <v>0</v>
      </c>
      <c r="N5" s="700">
        <v>0</v>
      </c>
      <c r="O5" s="700">
        <v>0</v>
      </c>
      <c r="P5" s="701"/>
      <c r="Q5" s="701"/>
      <c r="R5" s="701"/>
      <c r="S5" s="704"/>
      <c r="T5" s="704"/>
      <c r="U5" s="704"/>
      <c r="V5" s="704"/>
    </row>
    <row r="6" spans="1:22" s="693" customFormat="1">
      <c r="A6" s="699" t="str">
        <f>'%-Deviations from prev. results'!A10</f>
        <v>Demand of Domestic Good (Dd)</v>
      </c>
      <c r="B6" s="700">
        <v>5.2693880000000028</v>
      </c>
      <c r="C6" s="700">
        <v>5.5550181048313139</v>
      </c>
      <c r="D6" s="700">
        <v>5.793371291234009</v>
      </c>
      <c r="E6" s="700">
        <v>6.074407555938321</v>
      </c>
      <c r="F6" s="700">
        <v>0</v>
      </c>
      <c r="G6" s="700">
        <v>0</v>
      </c>
      <c r="H6" s="700">
        <v>0</v>
      </c>
      <c r="I6" s="700">
        <v>0</v>
      </c>
      <c r="J6" s="700">
        <v>0</v>
      </c>
      <c r="K6" s="700">
        <v>0</v>
      </c>
      <c r="L6" s="700">
        <v>0</v>
      </c>
      <c r="M6" s="700">
        <v>0</v>
      </c>
      <c r="N6" s="700">
        <v>0</v>
      </c>
      <c r="O6" s="700">
        <v>0</v>
      </c>
      <c r="P6" s="701"/>
      <c r="Q6" s="701"/>
      <c r="R6" s="701"/>
      <c r="S6" s="704"/>
      <c r="T6" s="704"/>
      <c r="U6" s="704"/>
      <c r="V6" s="704"/>
    </row>
    <row r="7" spans="1:22" s="693" customFormat="1">
      <c r="A7" s="699" t="str">
        <f>'%-Deviations from prev. results'!A11</f>
        <v>Supply of Composite Good (Qs)</v>
      </c>
      <c r="B7" s="700">
        <v>10.013084400000004</v>
      </c>
      <c r="C7" s="700">
        <v>11.290619303349679</v>
      </c>
      <c r="D7" s="700">
        <v>11.652397269961511</v>
      </c>
      <c r="E7" s="700">
        <v>12.13041690255535</v>
      </c>
      <c r="F7" s="700">
        <v>0</v>
      </c>
      <c r="G7" s="700">
        <v>0</v>
      </c>
      <c r="H7" s="700">
        <v>0</v>
      </c>
      <c r="I7" s="700">
        <v>0</v>
      </c>
      <c r="J7" s="700">
        <v>0</v>
      </c>
      <c r="K7" s="700">
        <v>0</v>
      </c>
      <c r="L7" s="700">
        <v>0</v>
      </c>
      <c r="M7" s="700">
        <v>0</v>
      </c>
      <c r="N7" s="700">
        <v>0</v>
      </c>
      <c r="O7" s="700">
        <v>0</v>
      </c>
      <c r="P7" s="701"/>
      <c r="Q7" s="701"/>
      <c r="R7" s="701"/>
      <c r="S7" s="704"/>
      <c r="T7" s="704"/>
      <c r="U7" s="704"/>
      <c r="V7" s="704"/>
    </row>
    <row r="8" spans="1:22" s="693" customFormat="1">
      <c r="A8" s="699" t="str">
        <f>'%-Deviations from prev. results'!A12</f>
        <v>Demand of Composite Good (Qd)</v>
      </c>
      <c r="B8" s="700">
        <v>10.013084400000013</v>
      </c>
      <c r="C8" s="700">
        <v>11.290619303349683</v>
      </c>
      <c r="D8" s="700">
        <v>11.652397269961517</v>
      </c>
      <c r="E8" s="700">
        <v>12.130416902555353</v>
      </c>
      <c r="F8" s="700">
        <v>0</v>
      </c>
      <c r="G8" s="700">
        <v>0</v>
      </c>
      <c r="H8" s="700">
        <v>0</v>
      </c>
      <c r="I8" s="700">
        <v>0</v>
      </c>
      <c r="J8" s="700">
        <v>0</v>
      </c>
      <c r="K8" s="700">
        <v>0</v>
      </c>
      <c r="L8" s="700">
        <v>0</v>
      </c>
      <c r="M8" s="700">
        <v>0</v>
      </c>
      <c r="N8" s="700">
        <v>0</v>
      </c>
      <c r="O8" s="700">
        <v>0</v>
      </c>
      <c r="P8" s="701"/>
      <c r="Q8" s="701"/>
      <c r="R8" s="701"/>
      <c r="S8" s="704"/>
      <c r="T8" s="704"/>
      <c r="U8" s="704"/>
      <c r="V8" s="704"/>
    </row>
    <row r="9" spans="1:22" s="693" customFormat="1">
      <c r="A9" s="699" t="str">
        <f>'%-Deviations from prev. results'!A13</f>
        <v>Total Income (Y)</v>
      </c>
      <c r="B9" s="700">
        <v>7.9390504000000011</v>
      </c>
      <c r="C9" s="700">
        <v>10.400581867028183</v>
      </c>
      <c r="D9" s="700">
        <v>13.144519060368511</v>
      </c>
      <c r="E9" s="700">
        <v>15.26091262298227</v>
      </c>
      <c r="F9" s="700">
        <v>0</v>
      </c>
      <c r="G9" s="700">
        <v>0</v>
      </c>
      <c r="H9" s="700">
        <v>0</v>
      </c>
      <c r="I9" s="700">
        <v>0</v>
      </c>
      <c r="J9" s="700">
        <v>0</v>
      </c>
      <c r="K9" s="700">
        <v>0</v>
      </c>
      <c r="L9" s="700">
        <v>0</v>
      </c>
      <c r="M9" s="700">
        <v>0</v>
      </c>
      <c r="N9" s="700">
        <v>0</v>
      </c>
      <c r="O9" s="700">
        <v>0</v>
      </c>
      <c r="P9" s="701"/>
      <c r="Q9" s="701"/>
      <c r="R9" s="701"/>
      <c r="S9" s="704"/>
      <c r="T9" s="704"/>
      <c r="U9" s="704"/>
      <c r="V9" s="704"/>
    </row>
    <row r="10" spans="1:22" s="693" customFormat="1">
      <c r="A10" s="699" t="str">
        <f>'%-Deviations from prev. results'!A14</f>
        <v>Aggregate Savings (S)</v>
      </c>
      <c r="B10" s="700">
        <v>1.6548009399484604</v>
      </c>
      <c r="C10" s="700">
        <v>1.4543145555901262</v>
      </c>
      <c r="D10" s="700">
        <v>1.2532187669955621</v>
      </c>
      <c r="E10" s="700">
        <v>1.8505200604429746</v>
      </c>
      <c r="F10" s="700">
        <v>0</v>
      </c>
      <c r="G10" s="700">
        <v>0</v>
      </c>
      <c r="H10" s="700">
        <v>0</v>
      </c>
      <c r="I10" s="700">
        <v>0</v>
      </c>
      <c r="J10" s="700">
        <v>0</v>
      </c>
      <c r="K10" s="700">
        <v>0</v>
      </c>
      <c r="L10" s="700">
        <v>0</v>
      </c>
      <c r="M10" s="700">
        <v>0</v>
      </c>
      <c r="N10" s="700">
        <v>0</v>
      </c>
      <c r="O10" s="700">
        <v>0</v>
      </c>
      <c r="P10" s="701"/>
      <c r="Q10" s="701"/>
      <c r="R10" s="701"/>
      <c r="S10" s="704"/>
      <c r="T10" s="704"/>
      <c r="U10" s="704"/>
      <c r="V10" s="704"/>
    </row>
    <row r="11" spans="1:22" s="693" customFormat="1">
      <c r="A11" s="699" t="str">
        <f>'%-Deviations from prev. results'!A15</f>
        <v>Consumption (Cn)</v>
      </c>
      <c r="B11" s="700">
        <v>7.5486551730764369</v>
      </c>
      <c r="C11" s="700">
        <v>8.9893590705349169</v>
      </c>
      <c r="D11" s="700">
        <v>9.6341720526781192</v>
      </c>
      <c r="E11" s="700">
        <v>9.7847791649873965</v>
      </c>
      <c r="F11" s="700">
        <v>0</v>
      </c>
      <c r="G11" s="700">
        <v>0</v>
      </c>
      <c r="H11" s="700">
        <v>0</v>
      </c>
      <c r="I11" s="700">
        <v>0</v>
      </c>
      <c r="J11" s="700">
        <v>0</v>
      </c>
      <c r="K11" s="700">
        <v>0</v>
      </c>
      <c r="L11" s="700">
        <v>0</v>
      </c>
      <c r="M11" s="700">
        <v>0</v>
      </c>
      <c r="N11" s="700">
        <v>0</v>
      </c>
      <c r="O11" s="700">
        <v>0</v>
      </c>
      <c r="P11" s="701"/>
      <c r="Q11" s="701"/>
      <c r="R11" s="701"/>
      <c r="S11" s="704"/>
      <c r="T11" s="704"/>
      <c r="U11" s="704"/>
      <c r="V11" s="704"/>
    </row>
    <row r="12" spans="1:22" s="693" customFormat="1">
      <c r="A12" s="699" t="str">
        <f>'%-Deviations from prev. results'!A16</f>
        <v>Import Price (Pm)</v>
      </c>
      <c r="B12" s="700">
        <v>3.5586619654913725</v>
      </c>
      <c r="C12" s="700">
        <v>3.5094371969146398</v>
      </c>
      <c r="D12" s="700">
        <v>4.2271588524354415</v>
      </c>
      <c r="E12" s="700">
        <v>4.8665182419784436</v>
      </c>
      <c r="F12" s="700">
        <v>0</v>
      </c>
      <c r="G12" s="700">
        <v>0</v>
      </c>
      <c r="H12" s="700">
        <v>0</v>
      </c>
      <c r="I12" s="700">
        <v>0</v>
      </c>
      <c r="J12" s="700">
        <v>0</v>
      </c>
      <c r="K12" s="700">
        <v>0</v>
      </c>
      <c r="L12" s="700">
        <v>0</v>
      </c>
      <c r="M12" s="700">
        <v>0</v>
      </c>
      <c r="N12" s="700">
        <v>0</v>
      </c>
      <c r="O12" s="700">
        <v>0</v>
      </c>
      <c r="P12" s="701"/>
      <c r="Q12" s="701"/>
      <c r="R12" s="701"/>
      <c r="S12" s="704"/>
      <c r="T12" s="704"/>
      <c r="U12" s="704"/>
      <c r="V12" s="704"/>
    </row>
    <row r="13" spans="1:22" s="693" customFormat="1">
      <c r="A13" s="699" t="str">
        <f>'%-Deviations from prev. results'!A17</f>
        <v>Export Price (Pe)</v>
      </c>
      <c r="B13" s="700">
        <v>3.1107999999999998</v>
      </c>
      <c r="C13" s="700">
        <v>3.8356682659613921</v>
      </c>
      <c r="D13" s="700">
        <v>4.5935817361253335</v>
      </c>
      <c r="E13" s="700">
        <v>5.3028757256164338</v>
      </c>
      <c r="F13" s="700">
        <v>0</v>
      </c>
      <c r="G13" s="700">
        <v>0</v>
      </c>
      <c r="H13" s="700">
        <v>0</v>
      </c>
      <c r="I13" s="700">
        <v>0</v>
      </c>
      <c r="J13" s="700">
        <v>0</v>
      </c>
      <c r="K13" s="700">
        <v>0</v>
      </c>
      <c r="L13" s="700">
        <v>0</v>
      </c>
      <c r="M13" s="700">
        <v>0</v>
      </c>
      <c r="N13" s="700">
        <v>0</v>
      </c>
      <c r="O13" s="700">
        <v>0</v>
      </c>
      <c r="P13" s="701"/>
      <c r="Q13" s="701"/>
      <c r="R13" s="701"/>
      <c r="S13" s="704"/>
      <c r="T13" s="704"/>
      <c r="U13" s="704"/>
      <c r="V13" s="704"/>
    </row>
    <row r="14" spans="1:22" s="693" customFormat="1">
      <c r="A14" s="699" t="str">
        <f>'%-Deviations from prev. results'!A18</f>
        <v>Sales Price (Pt)</v>
      </c>
      <c r="B14" s="700">
        <v>1.0419451173306802</v>
      </c>
      <c r="C14" s="700">
        <v>1.1790164270204868</v>
      </c>
      <c r="D14" s="700">
        <v>1.3970060246350893</v>
      </c>
      <c r="E14" s="700">
        <v>1.5914010988111833</v>
      </c>
      <c r="F14" s="700">
        <v>0</v>
      </c>
      <c r="G14" s="700">
        <v>0</v>
      </c>
      <c r="H14" s="700">
        <v>0</v>
      </c>
      <c r="I14" s="700">
        <v>0</v>
      </c>
      <c r="J14" s="700">
        <v>0</v>
      </c>
      <c r="K14" s="700">
        <v>0</v>
      </c>
      <c r="L14" s="700">
        <v>0</v>
      </c>
      <c r="M14" s="700">
        <v>0</v>
      </c>
      <c r="N14" s="700">
        <v>0</v>
      </c>
      <c r="O14" s="700">
        <v>0</v>
      </c>
      <c r="P14" s="701"/>
      <c r="Q14" s="701"/>
      <c r="R14" s="701"/>
      <c r="S14" s="704"/>
      <c r="T14" s="704"/>
      <c r="U14" s="704"/>
      <c r="V14" s="704"/>
    </row>
    <row r="15" spans="1:22" s="693" customFormat="1">
      <c r="A15" s="699" t="str">
        <f>'%-Deviations from prev. results'!A19</f>
        <v>Price of Supply (Pq)</v>
      </c>
      <c r="B15" s="700">
        <v>1</v>
      </c>
      <c r="C15" s="700">
        <v>1.1239529347825079</v>
      </c>
      <c r="D15" s="700">
        <v>1.3254112726238889</v>
      </c>
      <c r="E15" s="700">
        <v>1.5041838994408674</v>
      </c>
      <c r="F15" s="700">
        <v>0</v>
      </c>
      <c r="G15" s="700">
        <v>0</v>
      </c>
      <c r="H15" s="700">
        <v>0</v>
      </c>
      <c r="I15" s="700">
        <v>0</v>
      </c>
      <c r="J15" s="700">
        <v>0</v>
      </c>
      <c r="K15" s="700">
        <v>0</v>
      </c>
      <c r="L15" s="700">
        <v>0</v>
      </c>
      <c r="M15" s="700">
        <v>0</v>
      </c>
      <c r="N15" s="700">
        <v>0</v>
      </c>
      <c r="O15" s="700">
        <v>0</v>
      </c>
      <c r="P15" s="701"/>
      <c r="Q15" s="701"/>
      <c r="R15" s="701"/>
      <c r="S15" s="704"/>
      <c r="T15" s="704"/>
      <c r="U15" s="704"/>
      <c r="V15" s="704"/>
    </row>
    <row r="16" spans="1:22" s="693" customFormat="1">
      <c r="A16" s="699" t="str">
        <f>'%-Deviations from prev. results'!A20</f>
        <v>Price of Dom. Good (Pd)</v>
      </c>
      <c r="B16" s="700">
        <v>1</v>
      </c>
      <c r="C16" s="700">
        <v>1.2573488246527318</v>
      </c>
      <c r="D16" s="700">
        <v>1.4570608571762034</v>
      </c>
      <c r="E16" s="700">
        <v>1.633958741557286</v>
      </c>
      <c r="F16" s="700">
        <v>0</v>
      </c>
      <c r="G16" s="700">
        <v>0</v>
      </c>
      <c r="H16" s="700">
        <v>0</v>
      </c>
      <c r="I16" s="700">
        <v>0</v>
      </c>
      <c r="J16" s="700">
        <v>0</v>
      </c>
      <c r="K16" s="700">
        <v>0</v>
      </c>
      <c r="L16" s="700">
        <v>0</v>
      </c>
      <c r="M16" s="700">
        <v>0</v>
      </c>
      <c r="N16" s="700">
        <v>0</v>
      </c>
      <c r="O16" s="700">
        <v>0</v>
      </c>
      <c r="P16" s="701"/>
      <c r="Q16" s="701"/>
      <c r="R16" s="701"/>
      <c r="S16" s="704"/>
      <c r="T16" s="704"/>
      <c r="U16" s="704"/>
      <c r="V16" s="704"/>
    </row>
    <row r="17" spans="1:22" s="693" customFormat="1">
      <c r="A17" s="699" t="str">
        <f>'%-Deviations from prev. results'!A21</f>
        <v>Gross Price of Output</v>
      </c>
      <c r="B17" s="700">
        <v>1.1173482271505177</v>
      </c>
      <c r="C17" s="700">
        <v>0.91920802874125229</v>
      </c>
      <c r="D17" s="700">
        <v>0.93928331173648738</v>
      </c>
      <c r="E17" s="700">
        <v>0.95703252453494225</v>
      </c>
      <c r="F17" s="700">
        <v>0</v>
      </c>
      <c r="G17" s="700">
        <v>0</v>
      </c>
      <c r="H17" s="700">
        <v>0</v>
      </c>
      <c r="I17" s="700">
        <v>0</v>
      </c>
      <c r="J17" s="700">
        <v>0</v>
      </c>
      <c r="K17" s="700">
        <v>0</v>
      </c>
      <c r="L17" s="700">
        <v>0</v>
      </c>
      <c r="M17" s="700">
        <v>0</v>
      </c>
      <c r="N17" s="700">
        <v>0</v>
      </c>
      <c r="O17" s="700">
        <v>0</v>
      </c>
      <c r="P17" s="701"/>
      <c r="Q17" s="701"/>
      <c r="R17" s="701"/>
      <c r="S17" s="704"/>
      <c r="T17" s="704"/>
      <c r="U17" s="704"/>
      <c r="V17" s="704"/>
    </row>
    <row r="18" spans="1:22" s="693" customFormat="1">
      <c r="A18" s="699" t="str">
        <f>'%-Deviations from prev. results'!A22</f>
        <v>Real Exchange Rate (PPP)</v>
      </c>
      <c r="B18" s="700">
        <v>1</v>
      </c>
      <c r="C18" s="700">
        <v>1</v>
      </c>
      <c r="D18" s="700">
        <v>1</v>
      </c>
      <c r="E18" s="700">
        <v>1</v>
      </c>
      <c r="F18" s="700">
        <v>0</v>
      </c>
      <c r="G18" s="700">
        <v>0</v>
      </c>
      <c r="H18" s="700">
        <v>0</v>
      </c>
      <c r="I18" s="700">
        <v>0</v>
      </c>
      <c r="J18" s="700">
        <v>0</v>
      </c>
      <c r="K18" s="700">
        <v>0</v>
      </c>
      <c r="L18" s="700">
        <v>0</v>
      </c>
      <c r="M18" s="700">
        <v>0</v>
      </c>
      <c r="N18" s="700">
        <v>0</v>
      </c>
      <c r="O18" s="700">
        <v>0</v>
      </c>
      <c r="P18" s="701"/>
      <c r="Q18" s="701"/>
      <c r="R18" s="701"/>
      <c r="S18" s="704"/>
      <c r="T18" s="704"/>
      <c r="U18" s="704"/>
      <c r="V18" s="704"/>
    </row>
    <row r="19" spans="1:22" s="693" customFormat="1">
      <c r="A19" s="699" t="str">
        <f>'%-Deviations from prev. results'!A23</f>
        <v>Investment (Z)</v>
      </c>
      <c r="B19" s="700">
        <v>1.588183458490952</v>
      </c>
      <c r="C19" s="700">
        <v>1.2334980290758841</v>
      </c>
      <c r="D19" s="700">
        <v>0.89707490335756923</v>
      </c>
      <c r="E19" s="700">
        <v>1.1628241563762116</v>
      </c>
      <c r="F19" s="700">
        <v>0</v>
      </c>
      <c r="G19" s="700">
        <v>0</v>
      </c>
      <c r="H19" s="700">
        <v>0</v>
      </c>
      <c r="I19" s="700">
        <v>0</v>
      </c>
      <c r="J19" s="700">
        <v>0</v>
      </c>
      <c r="K19" s="700">
        <v>0</v>
      </c>
      <c r="L19" s="700">
        <v>0</v>
      </c>
      <c r="M19" s="700">
        <v>0</v>
      </c>
      <c r="N19" s="700">
        <v>0</v>
      </c>
      <c r="O19" s="700">
        <v>0</v>
      </c>
      <c r="P19" s="701"/>
      <c r="Q19" s="701"/>
      <c r="R19" s="701"/>
      <c r="S19" s="704"/>
      <c r="T19" s="704"/>
      <c r="U19" s="704"/>
      <c r="V19" s="704"/>
    </row>
    <row r="20" spans="1:22" s="693" customFormat="1">
      <c r="A20" s="699" t="str">
        <f>'%-Deviations from prev. results'!A24</f>
        <v>Money Supply</v>
      </c>
      <c r="B20" s="700">
        <v>1.7190066603741008</v>
      </c>
      <c r="C20" s="700">
        <v>2.2158342508604205</v>
      </c>
      <c r="D20" s="700">
        <v>2.7465820255197388</v>
      </c>
      <c r="E20" s="700">
        <v>3.2897550972250169</v>
      </c>
      <c r="F20" s="700">
        <v>0</v>
      </c>
      <c r="G20" s="700">
        <v>0</v>
      </c>
      <c r="H20" s="700">
        <v>0</v>
      </c>
      <c r="I20" s="700">
        <v>0</v>
      </c>
      <c r="J20" s="700">
        <v>0</v>
      </c>
      <c r="K20" s="700">
        <v>0</v>
      </c>
      <c r="L20" s="700">
        <v>0</v>
      </c>
      <c r="M20" s="700">
        <v>0</v>
      </c>
      <c r="N20" s="700">
        <v>0</v>
      </c>
      <c r="O20" s="700">
        <v>0</v>
      </c>
      <c r="P20" s="701"/>
      <c r="Q20" s="701"/>
      <c r="R20" s="701"/>
      <c r="S20" s="704"/>
      <c r="T20" s="704"/>
      <c r="U20" s="704"/>
      <c r="V20" s="704"/>
    </row>
    <row r="21" spans="1:22" s="693" customFormat="1">
      <c r="A21" s="699" t="str">
        <f>'%-Deviations from prev. results'!A25</f>
        <v>Money Velocity</v>
      </c>
      <c r="B21" s="700">
        <v>5.2675770308123253</v>
      </c>
      <c r="C21" s="700">
        <v>5.2675770308123253</v>
      </c>
      <c r="D21" s="700">
        <v>5.2675770308123253</v>
      </c>
      <c r="E21" s="700">
        <v>5.2675770308123253</v>
      </c>
      <c r="F21" s="700">
        <v>0</v>
      </c>
      <c r="G21" s="700">
        <v>0</v>
      </c>
      <c r="H21" s="700">
        <v>0</v>
      </c>
      <c r="I21" s="700">
        <v>0</v>
      </c>
      <c r="J21" s="700">
        <v>0</v>
      </c>
      <c r="K21" s="700">
        <v>0</v>
      </c>
      <c r="L21" s="700">
        <v>0</v>
      </c>
      <c r="M21" s="700">
        <v>0</v>
      </c>
      <c r="N21" s="700">
        <v>0</v>
      </c>
      <c r="O21" s="700">
        <v>0</v>
      </c>
      <c r="P21" s="701"/>
      <c r="Q21" s="701"/>
      <c r="R21" s="701"/>
      <c r="S21" s="704"/>
      <c r="T21" s="704"/>
      <c r="U21" s="704"/>
      <c r="V21" s="704"/>
    </row>
    <row r="22" spans="1:22" s="693" customFormat="1">
      <c r="A22" s="699" t="str">
        <f>'%-Deviations from prev. results'!A26</f>
        <v>Government Savings (Sg)</v>
      </c>
      <c r="B22" s="700">
        <v>0.52500093994845687</v>
      </c>
      <c r="C22" s="700">
        <v>0.33016389841976368</v>
      </c>
      <c r="D22" s="700">
        <v>0.15212213307271397</v>
      </c>
      <c r="E22" s="700">
        <v>0.28712680869052593</v>
      </c>
      <c r="F22" s="700">
        <v>0</v>
      </c>
      <c r="G22" s="700">
        <v>0</v>
      </c>
      <c r="H22" s="700">
        <v>0</v>
      </c>
      <c r="I22" s="700">
        <v>0</v>
      </c>
      <c r="J22" s="700">
        <v>0</v>
      </c>
      <c r="K22" s="700">
        <v>0</v>
      </c>
      <c r="L22" s="700">
        <v>0</v>
      </c>
      <c r="M22" s="700">
        <v>0</v>
      </c>
      <c r="N22" s="700">
        <v>0</v>
      </c>
      <c r="O22" s="700">
        <v>0</v>
      </c>
      <c r="P22" s="701"/>
      <c r="Q22" s="701"/>
      <c r="R22" s="701"/>
      <c r="S22" s="704"/>
      <c r="T22" s="704"/>
      <c r="U22" s="704"/>
      <c r="V22" s="704"/>
    </row>
    <row r="23" spans="1:22" s="693" customFormat="1">
      <c r="A23" s="699" t="str">
        <f>'%-Deviations from prev. results'!A27</f>
        <v>Tax Revenue (TAX)</v>
      </c>
      <c r="B23" s="700">
        <v>1.843000939948457</v>
      </c>
      <c r="C23" s="700">
        <v>1.9180892063891153</v>
      </c>
      <c r="D23" s="700">
        <v>2.4265227716718258</v>
      </c>
      <c r="E23" s="700">
        <v>2.958458168902494</v>
      </c>
      <c r="F23" s="700">
        <v>0</v>
      </c>
      <c r="G23" s="700">
        <v>0</v>
      </c>
      <c r="H23" s="700">
        <v>0</v>
      </c>
      <c r="I23" s="700">
        <v>0</v>
      </c>
      <c r="J23" s="700">
        <v>0</v>
      </c>
      <c r="K23" s="700">
        <v>0</v>
      </c>
      <c r="L23" s="700">
        <v>0</v>
      </c>
      <c r="M23" s="700">
        <v>0</v>
      </c>
      <c r="N23" s="700">
        <v>0</v>
      </c>
      <c r="O23" s="700">
        <v>0</v>
      </c>
      <c r="P23" s="701"/>
      <c r="Q23" s="701"/>
      <c r="R23" s="701"/>
      <c r="S23" s="704"/>
      <c r="T23" s="704"/>
      <c r="U23" s="704"/>
      <c r="V23" s="704"/>
    </row>
    <row r="24" spans="1:22" s="693" customFormat="1">
      <c r="A24" s="699" t="str">
        <f>'%-Deviations from prev. results'!A28</f>
        <v>Tax Adjustment</v>
      </c>
      <c r="B24" s="700">
        <v>1</v>
      </c>
      <c r="C24" s="700">
        <v>1</v>
      </c>
      <c r="D24" s="700">
        <v>1</v>
      </c>
      <c r="E24" s="700">
        <v>1</v>
      </c>
      <c r="F24" s="700">
        <v>0</v>
      </c>
      <c r="G24" s="700">
        <v>0</v>
      </c>
      <c r="H24" s="700">
        <v>0</v>
      </c>
      <c r="I24" s="700">
        <v>0</v>
      </c>
      <c r="J24" s="700">
        <v>0</v>
      </c>
      <c r="K24" s="700">
        <v>0</v>
      </c>
      <c r="L24" s="700">
        <v>0</v>
      </c>
      <c r="M24" s="700">
        <v>0</v>
      </c>
      <c r="N24" s="700">
        <v>0</v>
      </c>
      <c r="O24" s="700">
        <v>0</v>
      </c>
      <c r="P24" s="701"/>
      <c r="Q24" s="701"/>
      <c r="R24" s="701"/>
      <c r="S24" s="704"/>
      <c r="T24" s="704"/>
      <c r="U24" s="704"/>
      <c r="V24" s="704"/>
    </row>
    <row r="25" spans="1:22" s="693" customFormat="1">
      <c r="A25" s="699" t="str">
        <f>'%-Deviations from prev. results'!A29</f>
        <v xml:space="preserve">   Dom Tax Adjustment</v>
      </c>
      <c r="B25" s="700">
        <v>1</v>
      </c>
      <c r="C25" s="700">
        <v>1</v>
      </c>
      <c r="D25" s="700">
        <v>1</v>
      </c>
      <c r="E25" s="700">
        <v>1</v>
      </c>
      <c r="F25" s="700">
        <v>0</v>
      </c>
      <c r="G25" s="700">
        <v>0</v>
      </c>
      <c r="H25" s="700">
        <v>0</v>
      </c>
      <c r="I25" s="700">
        <v>0</v>
      </c>
      <c r="J25" s="700">
        <v>0</v>
      </c>
      <c r="K25" s="700">
        <v>0</v>
      </c>
      <c r="L25" s="700">
        <v>0</v>
      </c>
      <c r="M25" s="700">
        <v>0</v>
      </c>
      <c r="N25" s="700">
        <v>0</v>
      </c>
      <c r="O25" s="700">
        <v>0</v>
      </c>
      <c r="P25" s="701"/>
      <c r="Q25" s="701"/>
      <c r="R25" s="701"/>
      <c r="S25" s="704"/>
      <c r="T25" s="704"/>
      <c r="U25" s="704"/>
      <c r="V25" s="704"/>
    </row>
    <row r="26" spans="1:22" s="693" customFormat="1">
      <c r="A26" s="699" t="str">
        <f>'%-Deviations from prev. results'!A30</f>
        <v xml:space="preserve">   Adjusted import tariffs</v>
      </c>
      <c r="B26" s="700">
        <v>0.14397002876796092</v>
      </c>
      <c r="C26" s="700">
        <v>9.793765891326868E-2</v>
      </c>
      <c r="D26" s="700">
        <v>0.10427786296477044</v>
      </c>
      <c r="E26" s="700">
        <v>0.10125565684367988</v>
      </c>
      <c r="F26" s="700">
        <v>0</v>
      </c>
      <c r="G26" s="700">
        <v>0</v>
      </c>
      <c r="H26" s="700">
        <v>0</v>
      </c>
      <c r="I26" s="700">
        <v>0</v>
      </c>
      <c r="J26" s="700">
        <v>0</v>
      </c>
      <c r="K26" s="700">
        <v>0</v>
      </c>
      <c r="L26" s="700">
        <v>0</v>
      </c>
      <c r="M26" s="700">
        <v>0</v>
      </c>
      <c r="N26" s="700">
        <v>0</v>
      </c>
      <c r="O26" s="700">
        <v>0</v>
      </c>
      <c r="P26" s="701"/>
      <c r="Q26" s="701"/>
      <c r="R26" s="701"/>
      <c r="S26" s="704"/>
      <c r="T26" s="704"/>
      <c r="U26" s="704"/>
      <c r="V26" s="704"/>
    </row>
    <row r="27" spans="1:22" s="693" customFormat="1">
      <c r="A27" s="699" t="str">
        <f>'%-Deviations from prev. results'!A31</f>
        <v xml:space="preserve">   Adjusted export duties</v>
      </c>
      <c r="B27" s="700">
        <v>0</v>
      </c>
      <c r="C27" s="700">
        <v>0</v>
      </c>
      <c r="D27" s="700">
        <v>0</v>
      </c>
      <c r="E27" s="700">
        <v>0</v>
      </c>
      <c r="F27" s="700">
        <v>0</v>
      </c>
      <c r="G27" s="700">
        <v>0</v>
      </c>
      <c r="H27" s="700">
        <v>0</v>
      </c>
      <c r="I27" s="700">
        <v>0</v>
      </c>
      <c r="J27" s="700">
        <v>0</v>
      </c>
      <c r="K27" s="700">
        <v>0</v>
      </c>
      <c r="L27" s="700">
        <v>0</v>
      </c>
      <c r="M27" s="700">
        <v>0</v>
      </c>
      <c r="N27" s="700">
        <v>0</v>
      </c>
      <c r="O27" s="700">
        <v>0</v>
      </c>
      <c r="P27" s="701"/>
      <c r="Q27" s="701"/>
      <c r="R27" s="701"/>
      <c r="S27" s="704"/>
      <c r="T27" s="704"/>
      <c r="U27" s="704"/>
      <c r="V27" s="704"/>
    </row>
    <row r="28" spans="1:22" s="693" customFormat="1">
      <c r="A28" s="699" t="str">
        <f>'%-Deviations from prev. results'!A32</f>
        <v xml:space="preserve">   Adjusted indirect taxes</v>
      </c>
      <c r="B28" s="700">
        <v>5.0733618104727055E-2</v>
      </c>
      <c r="C28" s="700">
        <v>6.4051158027854327E-2</v>
      </c>
      <c r="D28" s="700">
        <v>6.7812505089949099E-2</v>
      </c>
      <c r="E28" s="700">
        <v>7.0862452426071948E-2</v>
      </c>
      <c r="F28" s="700">
        <v>0</v>
      </c>
      <c r="G28" s="700">
        <v>0</v>
      </c>
      <c r="H28" s="700">
        <v>0</v>
      </c>
      <c r="I28" s="700">
        <v>0</v>
      </c>
      <c r="J28" s="700">
        <v>0</v>
      </c>
      <c r="K28" s="700">
        <v>0</v>
      </c>
      <c r="L28" s="700">
        <v>0</v>
      </c>
      <c r="M28" s="700">
        <v>0</v>
      </c>
      <c r="N28" s="700">
        <v>0</v>
      </c>
      <c r="O28" s="700">
        <v>0</v>
      </c>
      <c r="P28" s="701"/>
      <c r="Q28" s="701"/>
      <c r="R28" s="701"/>
      <c r="S28" s="704"/>
      <c r="T28" s="704"/>
      <c r="U28" s="704"/>
      <c r="V28" s="704"/>
    </row>
    <row r="29" spans="1:22" s="693" customFormat="1">
      <c r="A29" s="699" t="str">
        <f>'%-Deviations from prev. results'!A33</f>
        <v xml:space="preserve">   Adjusted direct taxes</v>
      </c>
      <c r="B29" s="700">
        <v>0.10404266988908396</v>
      </c>
      <c r="C29" s="700">
        <v>7.5711786178834867E-2</v>
      </c>
      <c r="D29" s="700">
        <v>7.0826510319833544E-2</v>
      </c>
      <c r="E29" s="700">
        <v>7.4398771084549786E-2</v>
      </c>
      <c r="F29" s="700">
        <v>0</v>
      </c>
      <c r="G29" s="700">
        <v>0</v>
      </c>
      <c r="H29" s="700">
        <v>0</v>
      </c>
      <c r="I29" s="700">
        <v>0</v>
      </c>
      <c r="J29" s="700">
        <v>0</v>
      </c>
      <c r="K29" s="700">
        <v>0</v>
      </c>
      <c r="L29" s="700">
        <v>0</v>
      </c>
      <c r="M29" s="700">
        <v>0</v>
      </c>
      <c r="N29" s="700">
        <v>0</v>
      </c>
      <c r="O29" s="700">
        <v>0</v>
      </c>
      <c r="P29" s="701"/>
      <c r="Q29" s="701"/>
      <c r="R29" s="701"/>
      <c r="S29" s="704"/>
      <c r="T29" s="704"/>
      <c r="U29" s="704"/>
      <c r="V29" s="704"/>
    </row>
    <row r="30" spans="1:22" s="693" customFormat="1">
      <c r="A30" s="699" t="str">
        <f>'%-Deviations from prev. results'!A34</f>
        <v>Govt. Consumption</v>
      </c>
      <c r="B30" s="700">
        <v>0.87624576843258351</v>
      </c>
      <c r="C30" s="700">
        <v>1.0677622037388816</v>
      </c>
      <c r="D30" s="700">
        <v>1.1211503139258254</v>
      </c>
      <c r="E30" s="700">
        <v>1.1828135811917455</v>
      </c>
      <c r="F30" s="700">
        <v>0</v>
      </c>
      <c r="G30" s="700">
        <v>0</v>
      </c>
      <c r="H30" s="700">
        <v>0</v>
      </c>
      <c r="I30" s="700">
        <v>0</v>
      </c>
      <c r="J30" s="700">
        <v>0</v>
      </c>
      <c r="K30" s="700">
        <v>0</v>
      </c>
      <c r="L30" s="700">
        <v>0</v>
      </c>
      <c r="M30" s="700">
        <v>0</v>
      </c>
      <c r="N30" s="700">
        <v>0</v>
      </c>
      <c r="O30" s="700">
        <v>0</v>
      </c>
      <c r="P30" s="701"/>
      <c r="Q30" s="701"/>
      <c r="R30" s="701"/>
      <c r="S30" s="704"/>
      <c r="T30" s="704"/>
      <c r="U30" s="704"/>
      <c r="V30" s="704"/>
    </row>
    <row r="31" spans="1:22" s="693" customFormat="1">
      <c r="A31" s="699" t="str">
        <f>'%-Deviations from prev. results'!A35</f>
        <v xml:space="preserve">Govt. Transfers </v>
      </c>
      <c r="B31" s="700">
        <v>0.33700000000000002</v>
      </c>
      <c r="C31" s="700">
        <v>0.49240569722122512</v>
      </c>
      <c r="D31" s="700">
        <v>0.4505643098132876</v>
      </c>
      <c r="E31" s="700">
        <v>0.43798464357118105</v>
      </c>
      <c r="F31" s="700">
        <v>0</v>
      </c>
      <c r="G31" s="700">
        <v>0</v>
      </c>
      <c r="H31" s="700">
        <v>0</v>
      </c>
      <c r="I31" s="700">
        <v>0</v>
      </c>
      <c r="J31" s="700">
        <v>0</v>
      </c>
      <c r="K31" s="700">
        <v>0</v>
      </c>
      <c r="L31" s="700">
        <v>0</v>
      </c>
      <c r="M31" s="700">
        <v>0</v>
      </c>
      <c r="N31" s="700">
        <v>0</v>
      </c>
      <c r="O31" s="700">
        <v>0</v>
      </c>
      <c r="P31" s="701"/>
      <c r="Q31" s="701"/>
      <c r="R31" s="701"/>
      <c r="S31" s="704"/>
      <c r="T31" s="704"/>
      <c r="U31" s="704"/>
      <c r="V31" s="704"/>
    </row>
    <row r="32" spans="1:22" s="693" customFormat="1">
      <c r="A32" s="699" t="str">
        <f>'%-Deviations from prev. results'!A36</f>
        <v>Export subsidies  rate</v>
      </c>
      <c r="B32" s="700">
        <v>0</v>
      </c>
      <c r="C32" s="700">
        <v>0</v>
      </c>
      <c r="D32" s="700">
        <v>-9.1827665386308046E-15</v>
      </c>
      <c r="E32" s="700">
        <v>0</v>
      </c>
      <c r="F32" s="700">
        <v>0</v>
      </c>
      <c r="G32" s="700">
        <v>0</v>
      </c>
      <c r="H32" s="700">
        <v>0</v>
      </c>
      <c r="I32" s="700">
        <v>0</v>
      </c>
      <c r="J32" s="700">
        <v>0</v>
      </c>
      <c r="K32" s="700">
        <v>0</v>
      </c>
      <c r="L32" s="700">
        <v>0</v>
      </c>
      <c r="M32" s="700">
        <v>0</v>
      </c>
      <c r="N32" s="700">
        <v>0</v>
      </c>
      <c r="O32" s="700">
        <v>0</v>
      </c>
      <c r="P32" s="701"/>
      <c r="Q32" s="701"/>
      <c r="R32" s="701"/>
      <c r="S32" s="704"/>
      <c r="T32" s="704"/>
      <c r="U32" s="704"/>
      <c r="V32" s="704"/>
    </row>
    <row r="33" spans="1:22" s="693" customFormat="1">
      <c r="A33" s="699" t="str">
        <f>'%-Deviations from prev. results'!A37</f>
        <v>Other Subsidies</v>
      </c>
      <c r="B33" s="700">
        <v>8.788500774047206E-3</v>
      </c>
      <c r="C33" s="700">
        <v>1.5060234989473785E-2</v>
      </c>
      <c r="D33" s="700">
        <v>1.3795496827666382E-2</v>
      </c>
      <c r="E33" s="700">
        <v>1.287938685566271E-2</v>
      </c>
      <c r="F33" s="700">
        <v>0</v>
      </c>
      <c r="G33" s="700">
        <v>0</v>
      </c>
      <c r="H33" s="700">
        <v>0</v>
      </c>
      <c r="I33" s="700">
        <v>0</v>
      </c>
      <c r="J33" s="700">
        <v>0</v>
      </c>
      <c r="K33" s="700">
        <v>0</v>
      </c>
      <c r="L33" s="700">
        <v>0</v>
      </c>
      <c r="M33" s="700">
        <v>0</v>
      </c>
      <c r="N33" s="700">
        <v>0</v>
      </c>
      <c r="O33" s="700">
        <v>0</v>
      </c>
      <c r="P33" s="701"/>
      <c r="Q33" s="701"/>
      <c r="R33" s="701"/>
      <c r="S33" s="704"/>
      <c r="T33" s="704"/>
      <c r="U33" s="704"/>
      <c r="V33" s="704"/>
    </row>
    <row r="34" spans="1:22" s="693" customFormat="1">
      <c r="A34" s="699" t="str">
        <f>'%-Deviations from prev. results'!A38</f>
        <v>Foreign Exchange Rate Index(Er)</v>
      </c>
      <c r="B34" s="700">
        <v>3.1107999999999998</v>
      </c>
      <c r="C34" s="700">
        <v>3.1963902216344935</v>
      </c>
      <c r="D34" s="700">
        <v>3.82798478010448</v>
      </c>
      <c r="E34" s="700">
        <v>4.4190631046803617</v>
      </c>
      <c r="F34" s="700">
        <v>0</v>
      </c>
      <c r="G34" s="700">
        <v>0</v>
      </c>
      <c r="H34" s="700">
        <v>0</v>
      </c>
      <c r="I34" s="700">
        <v>0</v>
      </c>
      <c r="J34" s="700">
        <v>0</v>
      </c>
      <c r="K34" s="700">
        <v>0</v>
      </c>
      <c r="L34" s="700">
        <v>0</v>
      </c>
      <c r="M34" s="700">
        <v>0</v>
      </c>
      <c r="N34" s="700">
        <v>0</v>
      </c>
      <c r="O34" s="700">
        <v>0</v>
      </c>
      <c r="P34" s="701"/>
      <c r="Q34" s="701"/>
      <c r="R34" s="701"/>
      <c r="S34" s="704"/>
      <c r="T34" s="704"/>
      <c r="U34" s="704"/>
      <c r="V34" s="704"/>
    </row>
    <row r="35" spans="1:22" s="693" customFormat="1">
      <c r="A35" s="699" t="str">
        <f>'%-Deviations from prev. results'!A39</f>
        <v>Deflator (Px)</v>
      </c>
      <c r="B35" s="700">
        <v>1</v>
      </c>
      <c r="C35" s="700">
        <v>1.2490000000000001</v>
      </c>
      <c r="D35" s="700">
        <v>1.4638280000000001</v>
      </c>
      <c r="E35" s="700">
        <v>1.6585171240000001</v>
      </c>
      <c r="F35" s="700">
        <v>0</v>
      </c>
      <c r="G35" s="700">
        <v>0</v>
      </c>
      <c r="H35" s="700">
        <v>0</v>
      </c>
      <c r="I35" s="700">
        <v>0</v>
      </c>
      <c r="J35" s="700">
        <v>0</v>
      </c>
      <c r="K35" s="700">
        <v>0</v>
      </c>
      <c r="L35" s="700">
        <v>0</v>
      </c>
      <c r="M35" s="700">
        <v>0</v>
      </c>
      <c r="N35" s="700">
        <v>0</v>
      </c>
      <c r="O35" s="700">
        <v>0</v>
      </c>
      <c r="P35" s="701"/>
      <c r="Q35" s="701"/>
      <c r="R35" s="701"/>
      <c r="S35" s="704"/>
      <c r="T35" s="704"/>
      <c r="U35" s="704"/>
      <c r="V35" s="704"/>
    </row>
    <row r="36" spans="1:22">
      <c r="A36" s="699"/>
    </row>
    <row r="37" spans="1:22">
      <c r="A37" s="699" t="str">
        <f>'%-Deviations from prev. results'!A41</f>
        <v>Final (non-normalized) real household income</v>
      </c>
    </row>
    <row r="38" spans="1:22">
      <c r="A38" s="699" t="str">
        <f>'%-Deviations from prev. results'!A42</f>
        <v>Decile 1</v>
      </c>
      <c r="B38">
        <v>481.83116640000003</v>
      </c>
      <c r="C38">
        <v>567.96605651782932</v>
      </c>
      <c r="D38">
        <v>578.56921790314061</v>
      </c>
      <c r="E38">
        <v>597.13715922349797</v>
      </c>
      <c r="F38">
        <v>-383.38256886791817</v>
      </c>
      <c r="G38" t="e">
        <v>#DIV/0!</v>
      </c>
      <c r="H38" t="e">
        <v>#DIV/0!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</row>
    <row r="39" spans="1:22">
      <c r="A39" s="699" t="str">
        <f>'%-Deviations from prev. results'!A43</f>
        <v>Decile 2</v>
      </c>
      <c r="B39">
        <v>6790.3526800000009</v>
      </c>
      <c r="C39">
        <v>7995.9127171118607</v>
      </c>
      <c r="D39">
        <v>8161.3685592074144</v>
      </c>
      <c r="E39">
        <v>8437.7183930505435</v>
      </c>
      <c r="F39">
        <v>-5301.0547642138617</v>
      </c>
      <c r="G39" t="e">
        <v>#DIV/0!</v>
      </c>
      <c r="H39" t="e">
        <v>#DIV/0!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22">
      <c r="A40" s="699" t="str">
        <f>'%-Deviations from prev. results'!A44</f>
        <v>Decile 3</v>
      </c>
      <c r="B40">
        <v>20006.210999999996</v>
      </c>
      <c r="C40">
        <v>23545.257949125935</v>
      </c>
      <c r="D40">
        <v>24057.479219717734</v>
      </c>
      <c r="E40">
        <v>24894.539778317798</v>
      </c>
      <c r="F40">
        <v>-14911.284914288499</v>
      </c>
      <c r="G40" t="e">
        <v>#DIV/0!</v>
      </c>
      <c r="H40" t="e">
        <v>#DIV/0!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22">
      <c r="A41" s="699" t="str">
        <f>'%-Deviations from prev. results'!A45</f>
        <v>Decile 4</v>
      </c>
      <c r="B41">
        <v>40196.773000000001</v>
      </c>
      <c r="C41">
        <v>47262.17982069587</v>
      </c>
      <c r="D41">
        <v>48378.596712173719</v>
      </c>
      <c r="E41">
        <v>50142.740733937739</v>
      </c>
      <c r="F41">
        <v>-21494.4502914937</v>
      </c>
      <c r="G41" t="e">
        <v>#DIV/0!</v>
      </c>
      <c r="H41" t="e">
        <v>#DIV/0!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</row>
    <row r="42" spans="1:22">
      <c r="A42" s="699" t="str">
        <f>'%-Deviations from prev. results'!A46</f>
        <v>Decile 5</v>
      </c>
      <c r="B42">
        <v>68715.895000000004</v>
      </c>
      <c r="C42">
        <v>80757.016891696956</v>
      </c>
      <c r="D42">
        <v>82737.087061003069</v>
      </c>
      <c r="E42">
        <v>85821.910970269513</v>
      </c>
      <c r="F42">
        <v>-24305.066458785943</v>
      </c>
      <c r="G42" t="e">
        <v>#DIV/0!</v>
      </c>
      <c r="H42" t="e">
        <v>#DIV/0!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22">
      <c r="A43" s="699" t="str">
        <f>'%-Deviations from prev. results'!A47</f>
        <v>Decile 6</v>
      </c>
      <c r="B43">
        <v>106396.47699999998</v>
      </c>
      <c r="C43">
        <v>124832.07881224318</v>
      </c>
      <c r="D43">
        <v>128298.16198570037</v>
      </c>
      <c r="E43">
        <v>133457.51420108046</v>
      </c>
      <c r="F43">
        <v>13517.363842396864</v>
      </c>
      <c r="G43" t="e">
        <v>#DIV/0!</v>
      </c>
      <c r="H43" t="e">
        <v>#DIV/0!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</row>
    <row r="44" spans="1:22">
      <c r="A44" s="699" t="str">
        <f>'%-Deviations from prev. results'!A48</f>
        <v>Decile 7</v>
      </c>
      <c r="B44">
        <v>149092.68400000001</v>
      </c>
      <c r="C44">
        <v>174843.3558079525</v>
      </c>
      <c r="D44">
        <v>179859.4728162431</v>
      </c>
      <c r="E44">
        <v>187241.81981675106</v>
      </c>
      <c r="F44">
        <v>38331.308096917339</v>
      </c>
      <c r="G44" t="e">
        <v>#DIV/0!</v>
      </c>
      <c r="H44" t="e">
        <v>#DIV/0!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</row>
    <row r="45" spans="1:22">
      <c r="A45" s="699" t="str">
        <f>'%-Deviations from prev. results'!A49</f>
        <v>Decile 8</v>
      </c>
      <c r="B45">
        <v>215545.726</v>
      </c>
      <c r="C45">
        <v>252938.99278846546</v>
      </c>
      <c r="D45">
        <v>259874.89023433879</v>
      </c>
      <c r="E45">
        <v>270248.31771838159</v>
      </c>
      <c r="F45">
        <v>31347.318467121095</v>
      </c>
      <c r="G45" t="e">
        <v>#DIV/0!</v>
      </c>
      <c r="H45" t="e">
        <v>#DIV/0!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22">
      <c r="A46" s="699" t="str">
        <f>'%-Deviations from prev. results'!A50</f>
        <v>Decile 9</v>
      </c>
      <c r="B46">
        <v>345239.08299999998</v>
      </c>
      <c r="C46">
        <v>404941.74596075626</v>
      </c>
      <c r="D46">
        <v>416414.89284595876</v>
      </c>
      <c r="E46">
        <v>433375.62568934495</v>
      </c>
      <c r="F46">
        <v>81872.698789454211</v>
      </c>
      <c r="G46" t="e">
        <v>#DIV/0!</v>
      </c>
      <c r="H46" t="e">
        <v>#DIV/0!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</row>
    <row r="47" spans="1:22">
      <c r="A47" s="699" t="str">
        <f>'%-Deviations from prev. results'!A51</f>
        <v>Decile 10</v>
      </c>
      <c r="B47">
        <v>1488271.4</v>
      </c>
      <c r="C47">
        <v>1741986.8446338647</v>
      </c>
      <c r="D47">
        <v>1798385.7128314027</v>
      </c>
      <c r="E47">
        <v>1877862.3381988287</v>
      </c>
      <c r="F47">
        <v>-98761.553342106941</v>
      </c>
      <c r="G47" t="e">
        <v>#DIV/0!</v>
      </c>
      <c r="H47" t="e">
        <v>#DIV/0!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</row>
    <row r="48" spans="1:22">
      <c r="A48" s="699"/>
    </row>
    <row r="49" spans="1:15">
      <c r="A49" s="699" t="str">
        <f>'%-Deviations from prev. results'!A53</f>
        <v>Total</v>
      </c>
      <c r="B49">
        <v>2440736.4328464</v>
      </c>
      <c r="C49">
        <v>2859671.3514384306</v>
      </c>
      <c r="D49">
        <v>2946746.2314836485</v>
      </c>
      <c r="E49">
        <v>3072079.6626591859</v>
      </c>
      <c r="F49">
        <v>-88.103143867352628</v>
      </c>
      <c r="G49" t="e">
        <v>#DIV/0!</v>
      </c>
      <c r="H49" t="e">
        <v>#DIV/0!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</row>
    <row r="50" spans="1:15">
      <c r="A50" s="699"/>
    </row>
    <row r="51" spans="1:15">
      <c r="A51" s="699" t="str">
        <f>'%-Deviations from prev. results'!A55</f>
        <v>GINI coefficient (inc.)</v>
      </c>
      <c r="B51">
        <v>0.35033100853496818</v>
      </c>
      <c r="C51">
        <v>0.3501307588004452</v>
      </c>
      <c r="D51">
        <v>0.35050744275387036</v>
      </c>
      <c r="E51">
        <v>0.35083162316096239</v>
      </c>
      <c r="F51">
        <v>-98.410483825110177</v>
      </c>
      <c r="G51" t="e">
        <v>#DIV/0!</v>
      </c>
      <c r="H51" t="e">
        <v>#DIV/0!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4" spans="1:15">
      <c r="A54" t="str">
        <f>'%-Deviations from prev. results'!A58</f>
        <v>Final (non-normalized) real household expenditure</v>
      </c>
    </row>
    <row r="55" spans="1:15">
      <c r="A55" t="str">
        <f>'%-Deviations from prev. results'!A59</f>
        <v>Decile 1</v>
      </c>
    </row>
    <row r="56" spans="1:15">
      <c r="A56" t="str">
        <f>'%-Deviations from prev. results'!A60</f>
        <v>Decile 2</v>
      </c>
    </row>
    <row r="57" spans="1:15">
      <c r="A57" t="str">
        <f>'%-Deviations from prev. results'!A61</f>
        <v>Decile 3</v>
      </c>
    </row>
    <row r="58" spans="1:15">
      <c r="A58" t="str">
        <f>'%-Deviations from prev. results'!A62</f>
        <v>Decile 4</v>
      </c>
    </row>
    <row r="59" spans="1:15">
      <c r="A59" t="str">
        <f>'%-Deviations from prev. results'!A63</f>
        <v>Decile 5</v>
      </c>
    </row>
    <row r="60" spans="1:15">
      <c r="A60" t="str">
        <f>'%-Deviations from prev. results'!A64</f>
        <v>Decile 6</v>
      </c>
    </row>
    <row r="61" spans="1:15">
      <c r="A61" t="str">
        <f>'%-Deviations from prev. results'!A65</f>
        <v>Decile 7</v>
      </c>
    </row>
    <row r="62" spans="1:15">
      <c r="A62" t="str">
        <f>'%-Deviations from prev. results'!A66</f>
        <v>Decile 8</v>
      </c>
    </row>
    <row r="63" spans="1:15">
      <c r="A63" t="str">
        <f>'%-Deviations from prev. results'!A67</f>
        <v>Decile 9</v>
      </c>
    </row>
    <row r="64" spans="1:15">
      <c r="A64" t="str">
        <f>'%-Deviations from prev. results'!A68</f>
        <v>Decile 10</v>
      </c>
    </row>
    <row r="66" spans="1:1">
      <c r="A66" t="str">
        <f>'%-Deviations from prev. results'!A70</f>
        <v>Total</v>
      </c>
    </row>
    <row r="68" spans="1:1">
      <c r="A68" t="str">
        <f>'%-Deviations from prev. results'!A72</f>
        <v>GINI coefficient (exp)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6"/>
  <dimension ref="A1:AA22"/>
  <sheetViews>
    <sheetView topLeftCell="D1" workbookViewId="0">
      <selection activeCell="G8" sqref="G8"/>
    </sheetView>
  </sheetViews>
  <sheetFormatPr defaultRowHeight="12.75"/>
  <cols>
    <col min="1" max="1" width="3.7109375" hidden="1" customWidth="1"/>
    <col min="2" max="2" width="7.28515625" customWidth="1"/>
    <col min="3" max="3" width="10" customWidth="1"/>
    <col min="4" max="5" width="8.5703125" bestFit="1" customWidth="1"/>
    <col min="6" max="6" width="9.5703125" bestFit="1" customWidth="1"/>
    <col min="7" max="10" width="9.7109375" bestFit="1" customWidth="1"/>
    <col min="11" max="11" width="8.5703125" bestFit="1" customWidth="1"/>
    <col min="12" max="13" width="9.5703125" bestFit="1" customWidth="1"/>
    <col min="14" max="16" width="9.7109375" bestFit="1" customWidth="1"/>
    <col min="17" max="17" width="15.7109375" customWidth="1"/>
  </cols>
  <sheetData>
    <row r="1" spans="2:27" ht="19.899999999999999" customHeight="1">
      <c r="B1" s="159" t="s">
        <v>1957</v>
      </c>
      <c r="C1" s="157"/>
      <c r="D1" s="157"/>
      <c r="G1" t="s">
        <v>224</v>
      </c>
      <c r="Y1" s="94" t="s">
        <v>1448</v>
      </c>
      <c r="Z1" s="94" t="s">
        <v>1448</v>
      </c>
      <c r="AA1" s="94" t="s">
        <v>1448</v>
      </c>
    </row>
    <row r="3" spans="2:27">
      <c r="B3" s="153" t="s">
        <v>1943</v>
      </c>
      <c r="C3" s="153" t="s">
        <v>1945</v>
      </c>
      <c r="D3" s="153" t="s">
        <v>1946</v>
      </c>
      <c r="E3" s="153" t="s">
        <v>1947</v>
      </c>
      <c r="F3" s="153" t="s">
        <v>1948</v>
      </c>
      <c r="G3" s="153" t="s">
        <v>1952</v>
      </c>
      <c r="H3" s="153" t="s">
        <v>1952</v>
      </c>
      <c r="I3" s="153" t="s">
        <v>1952</v>
      </c>
      <c r="J3" s="153" t="s">
        <v>1952</v>
      </c>
      <c r="K3" s="153" t="s">
        <v>1954</v>
      </c>
      <c r="L3" s="153" t="s">
        <v>1955</v>
      </c>
      <c r="M3" s="153" t="s">
        <v>1956</v>
      </c>
      <c r="N3" t="s">
        <v>1952</v>
      </c>
      <c r="O3" t="s">
        <v>1952</v>
      </c>
      <c r="P3" t="s">
        <v>1952</v>
      </c>
      <c r="Q3" s="153" t="s">
        <v>1202</v>
      </c>
      <c r="R3" t="s">
        <v>1203</v>
      </c>
    </row>
    <row r="4" spans="2:27">
      <c r="B4" s="153" t="s">
        <v>1944</v>
      </c>
      <c r="C4" s="153" t="s">
        <v>1949</v>
      </c>
      <c r="D4" s="153" t="s">
        <v>1950</v>
      </c>
      <c r="E4" s="153" t="s">
        <v>1951</v>
      </c>
      <c r="F4" s="153" t="s">
        <v>1953</v>
      </c>
      <c r="G4" s="153" t="s">
        <v>1949</v>
      </c>
      <c r="H4" s="153" t="s">
        <v>1950</v>
      </c>
      <c r="I4" s="153" t="s">
        <v>1951</v>
      </c>
      <c r="J4" s="153" t="s">
        <v>1953</v>
      </c>
      <c r="N4" s="153" t="s">
        <v>1954</v>
      </c>
      <c r="O4" s="153" t="s">
        <v>1955</v>
      </c>
      <c r="P4" s="153" t="s">
        <v>1956</v>
      </c>
      <c r="Q4" s="153" t="s">
        <v>1204</v>
      </c>
      <c r="R4" s="153" t="s">
        <v>1205</v>
      </c>
    </row>
    <row r="6" spans="2:27">
      <c r="B6">
        <v>1</v>
      </c>
      <c r="C6" s="331">
        <v>474.71486000000004</v>
      </c>
      <c r="D6" s="331">
        <v>7.0443639999999998</v>
      </c>
      <c r="E6" s="331">
        <v>7.1942400000000004E-2</v>
      </c>
      <c r="F6" s="75">
        <f t="shared" ref="F6:F15" si="0">SUM(C6:E6)</f>
        <v>481.83116640000003</v>
      </c>
      <c r="G6" s="41">
        <f t="shared" ref="G6:G15" si="1">C6/$F6</f>
        <v>0.98523070549136649</v>
      </c>
      <c r="H6" s="41">
        <f t="shared" ref="H6:H15" si="2">D6/$F6</f>
        <v>1.4619984117324627E-2</v>
      </c>
      <c r="I6" s="41">
        <f t="shared" ref="I6:I15" si="3">E6/$F6</f>
        <v>1.49310391308884E-4</v>
      </c>
      <c r="J6" s="690">
        <f t="shared" ref="J6:J15" si="4">SUM(G6:I6)</f>
        <v>1</v>
      </c>
      <c r="K6" s="331">
        <v>4912.1809999999996</v>
      </c>
      <c r="L6" s="331">
        <v>15994.71</v>
      </c>
      <c r="M6" s="15">
        <f t="shared" ref="M6:M15" si="5">SUM(K6:L6)</f>
        <v>20906.891</v>
      </c>
      <c r="N6" s="151">
        <f t="shared" ref="N6:N15" si="6">K6/$M6</f>
        <v>0.23495511599500851</v>
      </c>
      <c r="O6" s="151">
        <f t="shared" ref="O6:O15" si="7">L6/$M6</f>
        <v>0.76504488400499149</v>
      </c>
      <c r="P6" s="152">
        <f t="shared" ref="P6:P15" si="8">SUM(N6:O6)</f>
        <v>1</v>
      </c>
      <c r="Q6">
        <v>0.85</v>
      </c>
      <c r="R6" s="37">
        <f>Q6/Q$17</f>
        <v>8.9248215035699269E-2</v>
      </c>
    </row>
    <row r="7" spans="2:27">
      <c r="B7">
        <v>2</v>
      </c>
      <c r="C7" s="331">
        <v>6411.1890000000003</v>
      </c>
      <c r="D7" s="331">
        <v>321.18400000000003</v>
      </c>
      <c r="E7" s="331">
        <v>57.979680000000002</v>
      </c>
      <c r="F7" s="75">
        <f t="shared" si="0"/>
        <v>6790.3526800000009</v>
      </c>
      <c r="G7" s="41">
        <f t="shared" si="1"/>
        <v>0.94416141578083679</v>
      </c>
      <c r="H7" s="41">
        <f t="shared" si="2"/>
        <v>4.7300046865901522E-2</v>
      </c>
      <c r="I7" s="41">
        <f t="shared" si="3"/>
        <v>8.5385373532615976E-3</v>
      </c>
      <c r="J7" s="690">
        <f t="shared" si="4"/>
        <v>0.99999999999999989</v>
      </c>
      <c r="K7" s="331">
        <v>11458.23</v>
      </c>
      <c r="L7" s="331">
        <v>35973.279999999999</v>
      </c>
      <c r="M7" s="15">
        <f t="shared" si="5"/>
        <v>47431.509999999995</v>
      </c>
      <c r="N7" s="151">
        <f t="shared" si="6"/>
        <v>0.24157421933225404</v>
      </c>
      <c r="O7" s="151">
        <f t="shared" si="7"/>
        <v>0.75842578066774602</v>
      </c>
      <c r="P7" s="152">
        <f t="shared" si="8"/>
        <v>1</v>
      </c>
      <c r="Q7">
        <v>0.85</v>
      </c>
      <c r="R7" s="37">
        <f t="shared" ref="R7:R15" si="9">Q7/Q$17</f>
        <v>8.9248215035699269E-2</v>
      </c>
    </row>
    <row r="8" spans="2:27">
      <c r="B8">
        <v>3</v>
      </c>
      <c r="C8" s="331">
        <v>18281.453999999998</v>
      </c>
      <c r="D8" s="331">
        <v>1197.26</v>
      </c>
      <c r="E8" s="331">
        <v>527.49699999999996</v>
      </c>
      <c r="F8" s="75">
        <f t="shared" si="0"/>
        <v>20006.210999999996</v>
      </c>
      <c r="G8" s="41">
        <f t="shared" si="1"/>
        <v>0.91378892285000901</v>
      </c>
      <c r="H8" s="41">
        <f t="shared" si="2"/>
        <v>5.9844415316823371E-2</v>
      </c>
      <c r="I8" s="41">
        <f t="shared" si="3"/>
        <v>2.6366661833167715E-2</v>
      </c>
      <c r="J8" s="690">
        <f t="shared" si="4"/>
        <v>1</v>
      </c>
      <c r="K8" s="331">
        <v>18485.099999999999</v>
      </c>
      <c r="L8" s="331">
        <v>52530.02</v>
      </c>
      <c r="M8" s="15">
        <f t="shared" si="5"/>
        <v>71015.12</v>
      </c>
      <c r="N8" s="151">
        <f t="shared" si="6"/>
        <v>0.26029808863239262</v>
      </c>
      <c r="O8" s="151">
        <f t="shared" si="7"/>
        <v>0.73970191136760732</v>
      </c>
      <c r="P8" s="152">
        <f t="shared" si="8"/>
        <v>1</v>
      </c>
      <c r="Q8">
        <v>0.92</v>
      </c>
      <c r="R8" s="37">
        <f t="shared" si="9"/>
        <v>9.6598068038639226E-2</v>
      </c>
    </row>
    <row r="9" spans="2:27">
      <c r="B9">
        <v>4</v>
      </c>
      <c r="C9" s="331">
        <v>32674.71</v>
      </c>
      <c r="D9" s="331">
        <v>2293.5949999999998</v>
      </c>
      <c r="E9" s="331">
        <v>5228.4679999999998</v>
      </c>
      <c r="F9" s="75">
        <f t="shared" si="0"/>
        <v>40196.773000000001</v>
      </c>
      <c r="G9" s="41">
        <f t="shared" si="1"/>
        <v>0.81286898328878288</v>
      </c>
      <c r="H9" s="41">
        <f t="shared" si="2"/>
        <v>5.7059182337845869E-2</v>
      </c>
      <c r="I9" s="41">
        <f t="shared" si="3"/>
        <v>0.13007183437337122</v>
      </c>
      <c r="J9" s="690">
        <f t="shared" si="4"/>
        <v>1</v>
      </c>
      <c r="K9" s="331">
        <v>27458.799999999999</v>
      </c>
      <c r="L9" s="331">
        <v>70758.100000000006</v>
      </c>
      <c r="M9" s="15">
        <f t="shared" si="5"/>
        <v>98216.900000000009</v>
      </c>
      <c r="N9" s="151">
        <f t="shared" si="6"/>
        <v>0.27957306736417048</v>
      </c>
      <c r="O9" s="151">
        <f t="shared" si="7"/>
        <v>0.72042693263582946</v>
      </c>
      <c r="P9" s="152">
        <f t="shared" si="8"/>
        <v>1</v>
      </c>
      <c r="Q9">
        <v>0.92</v>
      </c>
      <c r="R9" s="37">
        <f t="shared" si="9"/>
        <v>9.6598068038639226E-2</v>
      </c>
    </row>
    <row r="10" spans="2:27">
      <c r="B10">
        <v>5</v>
      </c>
      <c r="C10" s="331">
        <v>50776.226999999999</v>
      </c>
      <c r="D10" s="331">
        <v>2915.288</v>
      </c>
      <c r="E10" s="331">
        <v>15024.38</v>
      </c>
      <c r="F10" s="75">
        <f t="shared" si="0"/>
        <v>68715.895000000004</v>
      </c>
      <c r="G10" s="41">
        <f t="shared" si="1"/>
        <v>0.73892986477146216</v>
      </c>
      <c r="H10" s="41">
        <f t="shared" si="2"/>
        <v>4.2425235092986853E-2</v>
      </c>
      <c r="I10" s="41">
        <f t="shared" si="3"/>
        <v>0.21864490013555085</v>
      </c>
      <c r="J10" s="690">
        <f t="shared" si="4"/>
        <v>0.99999999999999989</v>
      </c>
      <c r="K10" s="331">
        <v>36657.519999999997</v>
      </c>
      <c r="L10" s="331">
        <v>92581.95</v>
      </c>
      <c r="M10" s="15">
        <f t="shared" si="5"/>
        <v>129239.47</v>
      </c>
      <c r="N10" s="151">
        <f t="shared" si="6"/>
        <v>0.28364028419491349</v>
      </c>
      <c r="O10" s="151">
        <f t="shared" si="7"/>
        <v>0.71635971580508651</v>
      </c>
      <c r="P10" s="152">
        <f t="shared" si="8"/>
        <v>1</v>
      </c>
      <c r="Q10">
        <v>0.97</v>
      </c>
      <c r="R10" s="37">
        <f t="shared" si="9"/>
        <v>0.10184796304073918</v>
      </c>
    </row>
    <row r="11" spans="2:27">
      <c r="B11">
        <v>6</v>
      </c>
      <c r="C11" s="331">
        <v>56188.208999999995</v>
      </c>
      <c r="D11" s="331">
        <v>2035.748</v>
      </c>
      <c r="E11" s="331">
        <v>48172.52</v>
      </c>
      <c r="F11" s="75">
        <f t="shared" si="0"/>
        <v>106396.47699999998</v>
      </c>
      <c r="G11" s="41">
        <f t="shared" si="1"/>
        <v>0.52810215699153273</v>
      </c>
      <c r="H11" s="41">
        <f t="shared" si="2"/>
        <v>1.9133603455685853E-2</v>
      </c>
      <c r="I11" s="41">
        <f t="shared" si="3"/>
        <v>0.45276423955278144</v>
      </c>
      <c r="J11" s="690">
        <f t="shared" si="4"/>
        <v>1</v>
      </c>
      <c r="K11" s="331">
        <v>48393.36</v>
      </c>
      <c r="L11" s="331">
        <v>118902.8</v>
      </c>
      <c r="M11" s="15">
        <f t="shared" si="5"/>
        <v>167296.16</v>
      </c>
      <c r="N11" s="151">
        <f t="shared" si="6"/>
        <v>0.28926760781598332</v>
      </c>
      <c r="O11" s="151">
        <f t="shared" si="7"/>
        <v>0.71073239218401663</v>
      </c>
      <c r="P11" s="152">
        <f t="shared" si="8"/>
        <v>1</v>
      </c>
      <c r="Q11">
        <v>0.97</v>
      </c>
      <c r="R11" s="37">
        <f t="shared" si="9"/>
        <v>0.10184796304073918</v>
      </c>
    </row>
    <row r="12" spans="2:27">
      <c r="B12">
        <v>7</v>
      </c>
      <c r="C12" s="331">
        <v>70150.236999999994</v>
      </c>
      <c r="D12" s="331">
        <v>2048.857</v>
      </c>
      <c r="E12" s="331">
        <v>76893.59</v>
      </c>
      <c r="F12" s="75">
        <f t="shared" si="0"/>
        <v>149092.68400000001</v>
      </c>
      <c r="G12" s="41">
        <f t="shared" si="1"/>
        <v>0.47051428090193875</v>
      </c>
      <c r="H12" s="41">
        <f t="shared" si="2"/>
        <v>1.374216993772813E-2</v>
      </c>
      <c r="I12" s="41">
        <f t="shared" si="3"/>
        <v>0.51574354916033305</v>
      </c>
      <c r="J12" s="690">
        <f t="shared" si="4"/>
        <v>1</v>
      </c>
      <c r="K12" s="331">
        <v>65116.29</v>
      </c>
      <c r="L12" s="331">
        <v>150822.5</v>
      </c>
      <c r="M12" s="15">
        <f t="shared" si="5"/>
        <v>215938.79</v>
      </c>
      <c r="N12" s="151">
        <f t="shared" si="6"/>
        <v>0.30154975861446665</v>
      </c>
      <c r="O12" s="151">
        <f t="shared" si="7"/>
        <v>0.69845024138553335</v>
      </c>
      <c r="P12" s="152">
        <f t="shared" si="8"/>
        <v>1</v>
      </c>
      <c r="Q12">
        <v>1.01</v>
      </c>
      <c r="R12" s="37">
        <f t="shared" si="9"/>
        <v>0.10604787904241915</v>
      </c>
    </row>
    <row r="13" spans="2:27">
      <c r="B13">
        <v>8</v>
      </c>
      <c r="C13" s="331">
        <v>113867.7</v>
      </c>
      <c r="D13" s="331">
        <v>2156.1559999999999</v>
      </c>
      <c r="E13" s="331">
        <v>99521.87</v>
      </c>
      <c r="F13" s="75">
        <f t="shared" si="0"/>
        <v>215545.726</v>
      </c>
      <c r="G13" s="41">
        <f t="shared" si="1"/>
        <v>0.52827630643903378</v>
      </c>
      <c r="H13" s="41">
        <f t="shared" si="2"/>
        <v>1.0003241725145596E-2</v>
      </c>
      <c r="I13" s="41">
        <f t="shared" si="3"/>
        <v>0.46172045183582067</v>
      </c>
      <c r="J13" s="690">
        <f t="shared" si="4"/>
        <v>1</v>
      </c>
      <c r="K13" s="331">
        <v>86099.87</v>
      </c>
      <c r="L13" s="331">
        <v>198640.9</v>
      </c>
      <c r="M13" s="15">
        <f t="shared" si="5"/>
        <v>284740.77</v>
      </c>
      <c r="N13" s="151">
        <f t="shared" si="6"/>
        <v>0.30237984535899087</v>
      </c>
      <c r="O13" s="151">
        <f t="shared" si="7"/>
        <v>0.69762015464100902</v>
      </c>
      <c r="P13" s="152">
        <f t="shared" si="8"/>
        <v>0.99999999999999989</v>
      </c>
      <c r="Q13">
        <v>1.01</v>
      </c>
      <c r="R13" s="37">
        <f t="shared" si="9"/>
        <v>0.10604787904241915</v>
      </c>
    </row>
    <row r="14" spans="2:27">
      <c r="B14">
        <v>9</v>
      </c>
      <c r="C14" s="331">
        <v>166782.79999999999</v>
      </c>
      <c r="D14" s="331">
        <v>3722.2829999999999</v>
      </c>
      <c r="E14" s="331">
        <v>174734</v>
      </c>
      <c r="F14" s="75">
        <f t="shared" si="0"/>
        <v>345239.08299999998</v>
      </c>
      <c r="G14" s="41">
        <f t="shared" si="1"/>
        <v>0.48309362471571621</v>
      </c>
      <c r="H14" s="41">
        <f t="shared" si="2"/>
        <v>1.0781754393664637E-2</v>
      </c>
      <c r="I14" s="41">
        <f t="shared" si="3"/>
        <v>0.50612462089061916</v>
      </c>
      <c r="J14" s="690">
        <f t="shared" si="4"/>
        <v>1</v>
      </c>
      <c r="K14" s="331">
        <v>123146.9</v>
      </c>
      <c r="L14" s="331">
        <v>278407.3</v>
      </c>
      <c r="M14" s="15">
        <f t="shared" si="5"/>
        <v>401554.19999999995</v>
      </c>
      <c r="N14" s="151">
        <f t="shared" si="6"/>
        <v>0.30667566171640093</v>
      </c>
      <c r="O14" s="151">
        <f t="shared" si="7"/>
        <v>0.69332433828359907</v>
      </c>
      <c r="P14" s="152">
        <f t="shared" si="8"/>
        <v>1</v>
      </c>
      <c r="Q14">
        <v>1.1100000000000001</v>
      </c>
      <c r="R14" s="37">
        <f t="shared" si="9"/>
        <v>0.11654766904661906</v>
      </c>
    </row>
    <row r="15" spans="2:27">
      <c r="B15">
        <v>10</v>
      </c>
      <c r="C15" s="331">
        <v>757004.9</v>
      </c>
      <c r="D15" s="331">
        <v>196878.6</v>
      </c>
      <c r="E15" s="331">
        <v>534387.9</v>
      </c>
      <c r="F15" s="75">
        <f t="shared" si="0"/>
        <v>1488271.4</v>
      </c>
      <c r="G15" s="41">
        <f t="shared" si="1"/>
        <v>0.50864707875189974</v>
      </c>
      <c r="H15" s="41">
        <f t="shared" si="2"/>
        <v>0.13228675898764164</v>
      </c>
      <c r="I15" s="41">
        <f t="shared" si="3"/>
        <v>0.35906616226045873</v>
      </c>
      <c r="J15" s="690">
        <f t="shared" si="4"/>
        <v>1</v>
      </c>
      <c r="K15" s="331">
        <v>315746.59999999998</v>
      </c>
      <c r="L15" s="331">
        <v>727431.2</v>
      </c>
      <c r="M15" s="15">
        <f t="shared" si="5"/>
        <v>1043177.7999999999</v>
      </c>
      <c r="N15" s="151">
        <f t="shared" si="6"/>
        <v>0.3026776451722803</v>
      </c>
      <c r="O15" s="151">
        <f t="shared" si="7"/>
        <v>0.69732235482771965</v>
      </c>
      <c r="P15" s="152">
        <f t="shared" si="8"/>
        <v>1</v>
      </c>
      <c r="Q15">
        <v>1.1100000000000001</v>
      </c>
      <c r="R15" s="37">
        <f t="shared" si="9"/>
        <v>0.11654766904661906</v>
      </c>
    </row>
    <row r="16" spans="2:27">
      <c r="C16" s="15"/>
      <c r="D16" s="15"/>
      <c r="E16" s="15"/>
      <c r="F16" s="15"/>
      <c r="G16" s="151"/>
      <c r="H16" s="151"/>
      <c r="I16" s="151"/>
      <c r="J16" s="152" t="s">
        <v>1448</v>
      </c>
      <c r="M16" s="15" t="s">
        <v>1448</v>
      </c>
      <c r="N16" s="151"/>
      <c r="O16" s="151"/>
      <c r="P16" s="152"/>
      <c r="R16" s="152"/>
    </row>
    <row r="17" spans="2:18">
      <c r="B17" s="153" t="s">
        <v>1942</v>
      </c>
      <c r="C17" s="15">
        <f>SUM(C6:C15)</f>
        <v>1272612.1408599999</v>
      </c>
      <c r="D17" s="15">
        <f>SUM(D6:D15)</f>
        <v>213576.01536399999</v>
      </c>
      <c r="E17" s="15">
        <f>SUM(E6:E15)</f>
        <v>954548.27662240004</v>
      </c>
      <c r="F17" s="15">
        <f>SUM(C17:E17)</f>
        <v>2440736.4328464</v>
      </c>
      <c r="G17" s="151">
        <f>C17/$F17</f>
        <v>0.52140498405879609</v>
      </c>
      <c r="H17" s="151">
        <f>D17/$F17</f>
        <v>8.7504743441276248E-2</v>
      </c>
      <c r="I17" s="151">
        <f>E17/$F17</f>
        <v>0.39109027249992767</v>
      </c>
      <c r="J17" s="152">
        <f>SUM(G17:I17)</f>
        <v>1</v>
      </c>
      <c r="K17" s="15">
        <f>SUM(K6:K15)</f>
        <v>737474.85100000002</v>
      </c>
      <c r="L17" s="15">
        <f>SUM(L6:L15)</f>
        <v>1742042.76</v>
      </c>
      <c r="M17" s="15">
        <f>SUM(K17:L17)</f>
        <v>2479517.611</v>
      </c>
      <c r="N17" s="151">
        <f>K17/$M17</f>
        <v>0.29742674451203971</v>
      </c>
      <c r="O17" s="151">
        <f>L17/$M17</f>
        <v>0.70257325548796035</v>
      </c>
      <c r="P17" s="152">
        <f>SUM(N17:O17)</f>
        <v>1</v>
      </c>
      <c r="Q17" s="37">
        <f>$Q6*Q6+$Q7*Q7+$Q8*Q8+$Q9*Q9+$Q10*Q10+$Q11*Q11+$Q12*Q12+$Q13*Q13+$Q14*Q14+$Q15*Q15</f>
        <v>9.5240000000000009</v>
      </c>
      <c r="R17" s="37">
        <f>$Q6*R6+$Q7*R7+$Q8*R8+$Q9*R9+$Q10*R10+$Q11*R11+$Q12*R12+$Q13*R13+$Q14*R14+$Q15*R15</f>
        <v>1</v>
      </c>
    </row>
    <row r="18" spans="2:18">
      <c r="D18" s="151"/>
      <c r="E18" s="151" t="s">
        <v>1448</v>
      </c>
    </row>
    <row r="19" spans="2:18" ht="15">
      <c r="B19" s="159" t="s">
        <v>1510</v>
      </c>
      <c r="C19" s="157"/>
      <c r="D19" s="689"/>
      <c r="E19" s="151"/>
    </row>
    <row r="20" spans="2:18">
      <c r="B20" t="s">
        <v>1975</v>
      </c>
      <c r="C20" s="688">
        <f>I17</f>
        <v>0.39109027249992767</v>
      </c>
      <c r="E20" s="151" t="s">
        <v>1448</v>
      </c>
    </row>
    <row r="21" spans="2:18">
      <c r="B21" t="s">
        <v>1976</v>
      </c>
      <c r="C21" s="688">
        <f>C20</f>
        <v>0.39109027249992767</v>
      </c>
      <c r="E21" s="151"/>
    </row>
    <row r="22" spans="2:18">
      <c r="D22" s="151"/>
      <c r="E22" s="151"/>
    </row>
  </sheetData>
  <pageMargins left="0.75" right="0.75" top="1" bottom="1" header="0.5" footer="0.5"/>
  <pageSetup orientation="portrait" horizontalDpi="0" verticalDpi="300" copies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H135"/>
  <sheetViews>
    <sheetView topLeftCell="A120" zoomScale="75" workbookViewId="0">
      <selection activeCell="F130" sqref="F130"/>
    </sheetView>
  </sheetViews>
  <sheetFormatPr defaultRowHeight="12.75"/>
  <cols>
    <col min="1" max="1" width="27.42578125" customWidth="1"/>
    <col min="2" max="2" width="8.7109375" customWidth="1"/>
    <col min="5" max="5" width="8.7109375" customWidth="1"/>
    <col min="6" max="7" width="9.5703125" bestFit="1" customWidth="1"/>
    <col min="8" max="8" width="9.5703125" customWidth="1"/>
    <col min="52" max="52" width="0.140625" customWidth="1"/>
  </cols>
  <sheetData>
    <row r="1" spans="1:8" ht="21" customHeight="1">
      <c r="A1" s="159" t="s">
        <v>1958</v>
      </c>
      <c r="B1" s="158">
        <f>SCENARIO!D2</f>
        <v>2000</v>
      </c>
      <c r="C1" s="158">
        <f>SCENARIO!E2</f>
        <v>2001</v>
      </c>
      <c r="D1" s="158">
        <f>SCENARIO!F2</f>
        <v>2002</v>
      </c>
      <c r="E1" s="158">
        <f>SCENARIO!G2</f>
        <v>2003</v>
      </c>
      <c r="F1" s="158">
        <f>SCENARIO!H2</f>
        <v>0</v>
      </c>
      <c r="G1" s="158">
        <f>SCENARIO!I2</f>
        <v>0</v>
      </c>
      <c r="H1" s="158">
        <f>SCENARIO!J2</f>
        <v>0</v>
      </c>
    </row>
    <row r="3" spans="1:8">
      <c r="A3" t="s">
        <v>1959</v>
      </c>
      <c r="B3" s="156">
        <f>'1-2-3'!I59/Pe0-1</f>
        <v>-2.2683417255642269E-8</v>
      </c>
      <c r="C3" s="156">
        <f>'1-2-3'!J59/'1-2-3'!I59-1</f>
        <v>0.23722770681362326</v>
      </c>
      <c r="D3" s="156">
        <f>'1-2-3'!K59/'1-2-3'!J59-1</f>
        <v>0.20141326113618252</v>
      </c>
      <c r="E3" s="156">
        <f>'1-2-3'!L59/'1-2-3'!K59-1</f>
        <v>0.1541309328034417</v>
      </c>
      <c r="F3" s="156">
        <f>'1-2-3'!M59/'1-2-3'!L59-1</f>
        <v>-1</v>
      </c>
      <c r="G3" s="156" t="e">
        <f>'1-2-3'!N59/'1-2-3'!M59-1</f>
        <v>#DIV/0!</v>
      </c>
      <c r="H3" s="156" t="e">
        <f>'1-2-3'!O59/'1-2-3'!N59-1</f>
        <v>#DIV/0!</v>
      </c>
    </row>
    <row r="4" spans="1:8">
      <c r="A4" t="s">
        <v>1614</v>
      </c>
      <c r="B4" s="156">
        <f>'1-2-3'!I49/E0-1</f>
        <v>1.1619858630851354E-8</v>
      </c>
      <c r="C4" s="156">
        <f>'1-2-3'!J49/'1-2-3'!I49-1</f>
        <v>3.7316697058836557E-2</v>
      </c>
      <c r="D4" s="156">
        <f>'1-2-3'!K49/'1-2-3'!J49-1</f>
        <v>5.3339695774448526E-2</v>
      </c>
      <c r="E4" s="156">
        <f>'1-2-3'!L49/'1-2-3'!K49-1</f>
        <v>5.2243891180392632E-2</v>
      </c>
      <c r="F4" s="156">
        <f>'1-2-3'!M49/'1-2-3'!L49-1</f>
        <v>-1</v>
      </c>
      <c r="G4" s="156" t="e">
        <f>'1-2-3'!N49/'1-2-3'!M49-1</f>
        <v>#DIV/0!</v>
      </c>
      <c r="H4" s="156" t="e">
        <f>'1-2-3'!O49/'1-2-3'!N49-1</f>
        <v>#DIV/0!</v>
      </c>
    </row>
    <row r="5" spans="1:8">
      <c r="A5" t="s">
        <v>1960</v>
      </c>
      <c r="B5" s="156">
        <f>'1-2-3'!I58/Pm0-1</f>
        <v>-2.2373853103552221E-8</v>
      </c>
      <c r="C5" s="156">
        <f>'1-2-3'!J58/'1-2-3'!I58-1</f>
        <v>9.9484007270298713E-2</v>
      </c>
      <c r="D5" s="156">
        <f>'1-2-3'!K58/'1-2-3'!J58-1</f>
        <v>0.29482563446097809</v>
      </c>
      <c r="E5" s="156">
        <f>'1-2-3'!L58/'1-2-3'!K58-1</f>
        <v>0.14144832356119097</v>
      </c>
      <c r="F5" s="156">
        <f>'1-2-3'!M58/'1-2-3'!L58-1</f>
        <v>-1</v>
      </c>
      <c r="G5" s="156" t="e">
        <f>'1-2-3'!N58/'1-2-3'!M58-1</f>
        <v>#DIV/0!</v>
      </c>
      <c r="H5" s="156" t="e">
        <f>'1-2-3'!O58/'1-2-3'!N58-1</f>
        <v>#DIV/0!</v>
      </c>
    </row>
    <row r="6" spans="1:8">
      <c r="A6" t="s">
        <v>1961</v>
      </c>
      <c r="B6" s="156">
        <f>'1-2-3'!I50/M0-1</f>
        <v>7.7581954194272384E-9</v>
      </c>
      <c r="C6" s="156">
        <f>'1-2-3'!J50/'1-2-3'!I50-1</f>
        <v>0.13283481551638032</v>
      </c>
      <c r="D6" s="156">
        <f>'1-2-3'!K50/'1-2-3'!J50-1</f>
        <v>-3.7718481872341281E-2</v>
      </c>
      <c r="E6" s="156">
        <f>'1-2-3'!L50/'1-2-3'!K50-1</f>
        <v>2.3267231614740869E-2</v>
      </c>
      <c r="F6" s="156">
        <f>'1-2-3'!M50/'1-2-3'!L50-1</f>
        <v>-1</v>
      </c>
      <c r="G6" s="156" t="e">
        <f>'1-2-3'!N50/'1-2-3'!M50-1</f>
        <v>#DIV/0!</v>
      </c>
      <c r="H6" s="156" t="e">
        <f>'1-2-3'!O50/'1-2-3'!N50-1</f>
        <v>#DIV/0!</v>
      </c>
    </row>
    <row r="7" spans="1:8">
      <c r="A7" t="s">
        <v>1653</v>
      </c>
      <c r="B7" s="154">
        <f>'1-2-3'!I62/Pd0-1</f>
        <v>2.9602946760576287E-9</v>
      </c>
      <c r="C7" s="156">
        <f>'1-2-3'!J62/'1-2-3'!I62-1</f>
        <v>0.25515870328409096</v>
      </c>
      <c r="D7" s="156">
        <f>'1-2-3'!K62/'1-2-3'!J62-1</f>
        <v>0.15672441941250281</v>
      </c>
      <c r="E7" s="156">
        <f>'1-2-3'!L62/'1-2-3'!K62-1</f>
        <v>0.12137158093019207</v>
      </c>
      <c r="F7" s="156">
        <f>'1-2-3'!M62/'1-2-3'!L62-1</f>
        <v>-1</v>
      </c>
      <c r="G7" s="156" t="e">
        <f>'1-2-3'!N62/'1-2-3'!M62-1</f>
        <v>#DIV/0!</v>
      </c>
      <c r="H7" s="156" t="e">
        <f>'1-2-3'!O62/'1-2-3'!N62-1</f>
        <v>#DIV/0!</v>
      </c>
    </row>
    <row r="8" spans="1:8">
      <c r="A8" t="s">
        <v>1962</v>
      </c>
      <c r="B8" s="154">
        <f>'1-2-3'!I52/Dd0-1</f>
        <v>-1.9963292130498189E-9</v>
      </c>
      <c r="C8" s="156">
        <f>'1-2-3'!J52/'1-2-3'!I52-1</f>
        <v>4.6310912978928087E-2</v>
      </c>
      <c r="D8" s="156">
        <f>'1-2-3'!K52/'1-2-3'!J52-1</f>
        <v>2.965319249745435E-2</v>
      </c>
      <c r="E8" s="156">
        <f>'1-2-3'!L52/'1-2-3'!K52-1</f>
        <v>3.4220381315832826E-2</v>
      </c>
      <c r="F8" s="156">
        <f>'1-2-3'!M52/'1-2-3'!L52-1</f>
        <v>-1</v>
      </c>
      <c r="G8" s="156" t="e">
        <f>'1-2-3'!N52/'1-2-3'!M52-1</f>
        <v>#DIV/0!</v>
      </c>
      <c r="H8" s="156" t="e">
        <f>'1-2-3'!O52/'1-2-3'!N52-1</f>
        <v>#DIV/0!</v>
      </c>
    </row>
    <row r="9" spans="1:8">
      <c r="A9" t="s">
        <v>1535</v>
      </c>
      <c r="B9" s="154">
        <f>'1-2-3'!I81/Px0-1</f>
        <v>0</v>
      </c>
      <c r="C9" s="156">
        <f>'1-2-3'!J81/'1-2-3'!I81-1</f>
        <v>0.24900000000000011</v>
      </c>
      <c r="D9" s="156">
        <f>'1-2-3'!K81/'1-2-3'!J81-1</f>
        <v>0.17199999999999993</v>
      </c>
      <c r="E9" s="156">
        <f>'1-2-3'!L81/'1-2-3'!K81-1</f>
        <v>0.13299999999999979</v>
      </c>
      <c r="F9" s="156">
        <f>'1-2-3'!M81/'1-2-3'!L81-1</f>
        <v>-1</v>
      </c>
      <c r="G9" s="156" t="e">
        <f>'1-2-3'!N81/'1-2-3'!M81-1</f>
        <v>#DIV/0!</v>
      </c>
      <c r="H9" s="156" t="e">
        <f>'1-2-3'!O81/'1-2-3'!N81-1</f>
        <v>#DIV/0!</v>
      </c>
    </row>
    <row r="10" spans="1:8">
      <c r="A10" t="s">
        <v>1532</v>
      </c>
      <c r="B10" s="154">
        <f>'1-2-3'!I13/X0-1</f>
        <v>0</v>
      </c>
      <c r="C10" s="156">
        <f>'1-2-3'!J13/'1-2-3'!I13-1</f>
        <v>4.3227519678949111E-2</v>
      </c>
      <c r="D10" s="156">
        <f>'1-2-3'!K13/'1-2-3'!J13-1</f>
        <v>3.7790259229561807E-2</v>
      </c>
      <c r="E10" s="156">
        <f>'1-2-3'!L13/'1-2-3'!K13-1</f>
        <v>4.0641904976608911E-2</v>
      </c>
      <c r="F10" s="156" t="e">
        <f>'1-2-3'!M13/'1-2-3'!L13-1</f>
        <v>#VALUE!</v>
      </c>
      <c r="G10" s="156" t="e">
        <f>'1-2-3'!N13/'1-2-3'!M13-1</f>
        <v>#VALUE!</v>
      </c>
      <c r="H10" s="156" t="e">
        <f>'1-2-3'!O13/'1-2-3'!N13-1</f>
        <v>#VALUE!</v>
      </c>
    </row>
    <row r="11" spans="1:8">
      <c r="A11" t="s">
        <v>1647</v>
      </c>
      <c r="B11" s="154">
        <f>'1-2-3'!I60/Pt0-1</f>
        <v>-1.3041651869549753E-8</v>
      </c>
      <c r="C11" s="156">
        <f>'1-2-3'!J60/'1-2-3'!I60-1</f>
        <v>0.18795076608987382</v>
      </c>
      <c r="D11" s="156">
        <f>'1-2-3'!K60/'1-2-3'!J60-1</f>
        <v>0.22506949712589175</v>
      </c>
      <c r="E11" s="156">
        <f>'1-2-3'!L60/'1-2-3'!K60-1</f>
        <v>0.13490730834888343</v>
      </c>
      <c r="F11" s="156">
        <f>'1-2-3'!M60/'1-2-3'!L60-1</f>
        <v>-1</v>
      </c>
      <c r="G11" s="156" t="e">
        <f>'1-2-3'!N60/'1-2-3'!M60-1</f>
        <v>#DIV/0!</v>
      </c>
      <c r="H11" s="156" t="e">
        <f>'1-2-3'!O60/'1-2-3'!N60-1</f>
        <v>#DIV/0!</v>
      </c>
    </row>
    <row r="12" spans="1:8">
      <c r="A12" t="s">
        <v>1977</v>
      </c>
      <c r="B12" s="160">
        <f>('1-2-3'!I49*Pe0)/('1-2-3'!I13*Px0)</f>
        <v>0.34444041206405568</v>
      </c>
      <c r="C12" s="160">
        <f>('1-2-3'!J49*Pe0)/('1-2-3'!J13*Px0)</f>
        <v>0.34248884719397288</v>
      </c>
      <c r="D12" s="160">
        <f>('1-2-3'!K49*Pe0)/('1-2-3'!K13*Px0)</f>
        <v>0.34762043187537811</v>
      </c>
      <c r="E12" s="160">
        <f>('1-2-3'!L49*Pe0)/('1-2-3'!L13*Px0)</f>
        <v>0.35149600851272494</v>
      </c>
      <c r="F12" s="160" t="e">
        <f>('1-2-3'!M49*Pe0)/('1-2-3'!M13*Px0)</f>
        <v>#VALUE!</v>
      </c>
      <c r="G12" s="160" t="e">
        <f>('1-2-3'!N49*Pe0)/('1-2-3'!N13*Px0)</f>
        <v>#VALUE!</v>
      </c>
      <c r="H12" s="160" t="e">
        <f>('1-2-3'!O49*Pe0)/('1-2-3'!O13*Px0)</f>
        <v>#VALUE!</v>
      </c>
    </row>
    <row r="13" spans="1:8">
      <c r="A13" t="s">
        <v>1947</v>
      </c>
      <c r="B13" s="155">
        <f t="shared" ref="B13:H13" si="0">(B12*(1-beta)*B3+(1-alpha)*(1-B12)*B7)/(B12*(1-beta)+(1-alpha)*(1-B12))+B10</f>
        <v>-5.8724360285490259E-9</v>
      </c>
      <c r="C13" s="155">
        <f t="shared" si="0"/>
        <v>0.2922450566528304</v>
      </c>
      <c r="D13" s="155">
        <f t="shared" si="0"/>
        <v>0.21004943310206056</v>
      </c>
      <c r="E13" s="155">
        <f t="shared" si="0"/>
        <v>0.17352826733171206</v>
      </c>
      <c r="F13" s="155" t="e">
        <f t="shared" si="0"/>
        <v>#VALUE!</v>
      </c>
      <c r="G13" s="155" t="e">
        <f t="shared" si="0"/>
        <v>#VALUE!</v>
      </c>
      <c r="H13" s="155" t="e">
        <f t="shared" si="0"/>
        <v>#VALUE!</v>
      </c>
    </row>
    <row r="14" spans="1:8">
      <c r="A14" t="s">
        <v>1978</v>
      </c>
      <c r="B14" s="155">
        <f t="shared" ref="B14:H14" si="1">B13-B11</f>
        <v>7.1692158410007271E-9</v>
      </c>
      <c r="C14" s="155">
        <f t="shared" si="1"/>
        <v>0.10429429056295658</v>
      </c>
      <c r="D14" s="155">
        <f t="shared" si="1"/>
        <v>-1.5020064023831187E-2</v>
      </c>
      <c r="E14" s="155">
        <f t="shared" si="1"/>
        <v>3.8620958982828635E-2</v>
      </c>
      <c r="F14" s="155" t="e">
        <f t="shared" si="1"/>
        <v>#VALUE!</v>
      </c>
      <c r="G14" s="155" t="e">
        <f t="shared" si="1"/>
        <v>#VALUE!</v>
      </c>
      <c r="H14" s="155" t="e">
        <f t="shared" si="1"/>
        <v>#VALUE!</v>
      </c>
    </row>
    <row r="15" spans="1:8">
      <c r="A15" t="s">
        <v>1979</v>
      </c>
      <c r="B15" s="155">
        <f t="shared" ref="B15:H15" si="2">(B3-B7)*(1-B12)/(B12*(1-beta)+(1-alpha)*(1-B12))</f>
        <v>-2.7608330870508628E-8</v>
      </c>
      <c r="C15" s="155">
        <f t="shared" si="2"/>
        <v>-1.9362197100483369E-2</v>
      </c>
      <c r="D15" s="155">
        <f t="shared" si="2"/>
        <v>4.7879161634316776E-2</v>
      </c>
      <c r="E15" s="155">
        <f t="shared" si="2"/>
        <v>3.488952383066668E-2</v>
      </c>
      <c r="F15" s="155" t="e">
        <f t="shared" si="2"/>
        <v>#VALUE!</v>
      </c>
      <c r="G15" s="155" t="e">
        <f t="shared" si="2"/>
        <v>#DIV/0!</v>
      </c>
      <c r="H15" s="155" t="e">
        <f t="shared" si="2"/>
        <v>#DIV/0!</v>
      </c>
    </row>
    <row r="16" spans="1:8">
      <c r="A16" t="s">
        <v>1980</v>
      </c>
      <c r="B16" s="155">
        <f t="shared" ref="B16:H16" si="3">B15*(-B12)/(1-B12)</f>
        <v>1.4505813104464822E-8</v>
      </c>
      <c r="C16" s="155">
        <f t="shared" si="3"/>
        <v>1.0085511912287438E-2</v>
      </c>
      <c r="D16" s="155">
        <f t="shared" si="3"/>
        <v>-2.551240973563542E-2</v>
      </c>
      <c r="E16" s="155">
        <f t="shared" si="3"/>
        <v>-1.8910490184129533E-2</v>
      </c>
      <c r="F16" s="155" t="e">
        <f t="shared" si="3"/>
        <v>#VALUE!</v>
      </c>
      <c r="G16" s="155" t="e">
        <f t="shared" si="3"/>
        <v>#DIV/0!</v>
      </c>
      <c r="H16" s="155" t="e">
        <f t="shared" si="3"/>
        <v>#DIV/0!</v>
      </c>
    </row>
    <row r="17" spans="1:8">
      <c r="A17" t="s">
        <v>1981</v>
      </c>
      <c r="B17" s="155">
        <f t="shared" ref="B17:H17" si="4">(B3+B4-alpha*(B15+B13))/(1-alpha)</f>
        <v>3.3345560656490934E-9</v>
      </c>
      <c r="C17" s="155">
        <f t="shared" si="4"/>
        <v>0.27561157982905271</v>
      </c>
      <c r="D17" s="155">
        <f t="shared" si="4"/>
        <v>0.25271330964184596</v>
      </c>
      <c r="E17" s="155">
        <f t="shared" si="4"/>
        <v>0.20506266792115219</v>
      </c>
      <c r="F17" s="155" t="e">
        <f t="shared" si="4"/>
        <v>#VALUE!</v>
      </c>
      <c r="G17" s="155" t="e">
        <f t="shared" si="4"/>
        <v>#DIV/0!</v>
      </c>
      <c r="H17" s="155" t="e">
        <f t="shared" si="4"/>
        <v>#DIV/0!</v>
      </c>
    </row>
    <row r="18" spans="1:8">
      <c r="A18" t="s">
        <v>1982</v>
      </c>
      <c r="B18" s="155">
        <f t="shared" ref="B18:H18" si="5">(B7+B8-beta*(B13+B16))/(1-beta)</f>
        <v>-3.9619408612690317E-9</v>
      </c>
      <c r="C18" s="155">
        <f t="shared" si="5"/>
        <v>0.30091664419633907</v>
      </c>
      <c r="D18" s="155">
        <f t="shared" si="5"/>
        <v>0.18755978431177694</v>
      </c>
      <c r="E18" s="155">
        <f t="shared" si="5"/>
        <v>0.15621766142343727</v>
      </c>
      <c r="F18" s="155" t="e">
        <f t="shared" si="5"/>
        <v>#VALUE!</v>
      </c>
      <c r="G18" s="155" t="e">
        <f t="shared" si="5"/>
        <v>#DIV/0!</v>
      </c>
      <c r="H18" s="155" t="e">
        <f t="shared" si="5"/>
        <v>#DIV/0!</v>
      </c>
    </row>
    <row r="19" spans="1:8">
      <c r="A19" t="s">
        <v>1983</v>
      </c>
      <c r="B19" s="155">
        <f t="shared" ref="B19:H19" si="6">B17-B11</f>
        <v>1.6376207935198847E-8</v>
      </c>
      <c r="C19" s="155">
        <f t="shared" si="6"/>
        <v>8.7660813739178889E-2</v>
      </c>
      <c r="D19" s="155">
        <f t="shared" si="6"/>
        <v>2.7643812515954214E-2</v>
      </c>
      <c r="E19" s="155">
        <f t="shared" si="6"/>
        <v>7.0155359572268761E-2</v>
      </c>
      <c r="F19" s="155" t="e">
        <f t="shared" si="6"/>
        <v>#VALUE!</v>
      </c>
      <c r="G19" s="155" t="e">
        <f t="shared" si="6"/>
        <v>#DIV/0!</v>
      </c>
      <c r="H19" s="155" t="e">
        <f t="shared" si="6"/>
        <v>#DIV/0!</v>
      </c>
    </row>
    <row r="20" spans="1:8">
      <c r="A20" t="s">
        <v>1984</v>
      </c>
      <c r="B20" s="155">
        <f t="shared" ref="B20:H20" si="7">B18-B11</f>
        <v>9.0797110082807212E-9</v>
      </c>
      <c r="C20" s="155">
        <f t="shared" si="7"/>
        <v>0.11296587810646525</v>
      </c>
      <c r="D20" s="155">
        <f t="shared" si="7"/>
        <v>-3.7509712814114804E-2</v>
      </c>
      <c r="E20" s="155">
        <f t="shared" si="7"/>
        <v>2.1310353074553839E-2</v>
      </c>
      <c r="F20" s="155" t="e">
        <f t="shared" si="7"/>
        <v>#VALUE!</v>
      </c>
      <c r="G20" s="155" t="e">
        <f t="shared" si="7"/>
        <v>#DIV/0!</v>
      </c>
      <c r="H20" s="155" t="e">
        <f t="shared" si="7"/>
        <v>#DIV/0!</v>
      </c>
    </row>
    <row r="22" spans="1:8">
      <c r="A22" s="157" t="s">
        <v>1974</v>
      </c>
    </row>
    <row r="23" spans="1:8" ht="15">
      <c r="A23" s="159" t="s">
        <v>1963</v>
      </c>
    </row>
    <row r="24" spans="1:8">
      <c r="A24" t="s">
        <v>1964</v>
      </c>
      <c r="B24" s="155">
        <f>'HOUSEHOLD DATA'!$N6*(B$5+B$6*'HOUSEHOLD DATA'!S6)+'HOUSEHOLD DATA'!$O6*(B$7+B$8*'HOUSEHOLD DATA'!S6)-B$11</f>
        <v>1.0049558915414462E-8</v>
      </c>
      <c r="C24" s="155">
        <f>'HOUSEHOLD DATA'!$N6*(C$5+C$6)+'HOUSEHOLD DATA'!$O6*(C$7+C$8)-C$11</f>
        <v>9.7271517470764901E-2</v>
      </c>
      <c r="D24" s="155">
        <f>'HOUSEHOLD DATA'!$N6*(D$5+D$6)+'HOUSEHOLD DATA'!$O6*(D$7+D$8)-D$11</f>
        <v>-2.2073617781501742E-2</v>
      </c>
      <c r="E24" s="155">
        <f>'HOUSEHOLD DATA'!$N6*(E$5+E$6)+'HOUSEHOLD DATA'!$O6*(E$7+E$8)-E$11</f>
        <v>2.282828873227899E-2</v>
      </c>
      <c r="F24" s="155">
        <f>'HOUSEHOLD DATA'!$N6*(F$5+F$6)+'HOUSEHOLD DATA'!$O6*(F$7+F$8)-F$11</f>
        <v>-1</v>
      </c>
      <c r="G24" s="155" t="e">
        <f>'HOUSEHOLD DATA'!$N6*(G$5+G$6)+'HOUSEHOLD DATA'!$O6*(G$7+G$8)-G$11</f>
        <v>#DIV/0!</v>
      </c>
      <c r="H24" s="155" t="e">
        <f>'HOUSEHOLD DATA'!$N6*(H$5+H$6)+'HOUSEHOLD DATA'!$O6*(H$7+H$8)-H$11</f>
        <v>#DIV/0!</v>
      </c>
    </row>
    <row r="25" spans="1:8">
      <c r="A25" t="s">
        <v>1965</v>
      </c>
      <c r="B25" s="155">
        <f>'HOUSEHOLD DATA'!$N7*(B$5+B$6*'HOUSEHOLD DATA'!S7)+'HOUSEHOLD DATA'!$O7*(B$7+B$8*'HOUSEHOLD DATA'!S7)-B$11</f>
        <v>9.8818695733001751E-9</v>
      </c>
      <c r="C25" s="155">
        <f>'HOUSEHOLD DATA'!$N7*(C$5+C$6)+'HOUSEHOLD DATA'!$O7*(C$7+C$8)-C$11</f>
        <v>9.6813801222892459E-2</v>
      </c>
      <c r="D25" s="155">
        <f>'HOUSEHOLD DATA'!$N7*(D$5+D$6)+'HOUSEHOLD DATA'!$O7*(D$7+D$8)-D$11</f>
        <v>-2.1605451642753626E-2</v>
      </c>
      <c r="E25" s="155">
        <f>'HOUSEHOLD DATA'!$N7*(E$5+E$6)+'HOUSEHOLD DATA'!$O7*(E$7+E$8)-E$11</f>
        <v>2.2888678736689011E-2</v>
      </c>
      <c r="F25" s="155">
        <f>'HOUSEHOLD DATA'!$N7*(F$5+F$6)+'HOUSEHOLD DATA'!$O7*(F$7+F$8)-F$11</f>
        <v>-1</v>
      </c>
      <c r="G25" s="155" t="e">
        <f>'HOUSEHOLD DATA'!$N7*(G$5+G$6)+'HOUSEHOLD DATA'!$O7*(G$7+G$8)-G$11</f>
        <v>#DIV/0!</v>
      </c>
      <c r="H25" s="155" t="e">
        <f>'HOUSEHOLD DATA'!$N7*(H$5+H$6)+'HOUSEHOLD DATA'!$O7*(H$7+H$8)-H$11</f>
        <v>#DIV/0!</v>
      </c>
    </row>
    <row r="26" spans="1:8">
      <c r="A26" t="s">
        <v>1966</v>
      </c>
      <c r="B26" s="155">
        <f>'HOUSEHOLD DATA'!$N8*(B$5+B$6*'HOUSEHOLD DATA'!S8)+'HOUSEHOLD DATA'!$O8*(B$7+B$8*'HOUSEHOLD DATA'!S8)-B$11</f>
        <v>9.4075163014443635E-9</v>
      </c>
      <c r="C26" s="155">
        <f>'HOUSEHOLD DATA'!$N8*(C$5+C$6)+'HOUSEHOLD DATA'!$O8*(C$7+C$8)-C$11</f>
        <v>9.551903080384061E-2</v>
      </c>
      <c r="D26" s="155">
        <f>'HOUSEHOLD DATA'!$N8*(D$5+D$6)+'HOUSEHOLD DATA'!$O8*(D$7+D$8)-D$11</f>
        <v>-2.0281120967427207E-2</v>
      </c>
      <c r="E26" s="155">
        <f>'HOUSEHOLD DATA'!$N8*(E$5+E$6)+'HOUSEHOLD DATA'!$O8*(E$7+E$8)-E$11</f>
        <v>2.3059507698256265E-2</v>
      </c>
      <c r="F26" s="155">
        <f>'HOUSEHOLD DATA'!$N8*(F$5+F$6)+'HOUSEHOLD DATA'!$O8*(F$7+F$8)-F$11</f>
        <v>-1</v>
      </c>
      <c r="G26" s="155" t="e">
        <f>'HOUSEHOLD DATA'!$N8*(G$5+G$6)+'HOUSEHOLD DATA'!$O8*(G$7+G$8)-G$11</f>
        <v>#DIV/0!</v>
      </c>
      <c r="H26" s="155" t="e">
        <f>'HOUSEHOLD DATA'!$N8*(H$5+H$6)+'HOUSEHOLD DATA'!$O8*(H$7+H$8)-H$11</f>
        <v>#DIV/0!</v>
      </c>
    </row>
    <row r="27" spans="1:8">
      <c r="A27" t="s">
        <v>1967</v>
      </c>
      <c r="B27" s="155">
        <f>'HOUSEHOLD DATA'!$N9*(B$5+B$6*'HOUSEHOLD DATA'!S9)+'HOUSEHOLD DATA'!$O9*(B$7+B$8*'HOUSEHOLD DATA'!S9)-B$11</f>
        <v>8.9192011418046675E-9</v>
      </c>
      <c r="C27" s="155">
        <f>'HOUSEHOLD DATA'!$N9*(C$5+C$6)+'HOUSEHOLD DATA'!$O9*(C$7+C$8)-C$11</f>
        <v>9.4186150730298568E-2</v>
      </c>
      <c r="D27" s="155">
        <f>'HOUSEHOLD DATA'!$N9*(D$5+D$6)+'HOUSEHOLD DATA'!$O9*(D$7+D$8)-D$11</f>
        <v>-1.8917810575137251E-2</v>
      </c>
      <c r="E27" s="155">
        <f>'HOUSEHOLD DATA'!$N9*(E$5+E$6)+'HOUSEHOLD DATA'!$O9*(E$7+E$8)-E$11</f>
        <v>2.3235364757937582E-2</v>
      </c>
      <c r="F27" s="155">
        <f>'HOUSEHOLD DATA'!$N9*(F$5+F$6)+'HOUSEHOLD DATA'!$O9*(F$7+F$8)-F$11</f>
        <v>-1</v>
      </c>
      <c r="G27" s="155" t="e">
        <f>'HOUSEHOLD DATA'!$N9*(G$5+G$6)+'HOUSEHOLD DATA'!$O9*(G$7+G$8)-G$11</f>
        <v>#DIV/0!</v>
      </c>
      <c r="H27" s="155" t="e">
        <f>'HOUSEHOLD DATA'!$N9*(H$5+H$6)+'HOUSEHOLD DATA'!$O9*(H$7+H$8)-H$11</f>
        <v>#DIV/0!</v>
      </c>
    </row>
    <row r="28" spans="1:8">
      <c r="A28" t="s">
        <v>1968</v>
      </c>
      <c r="B28" s="155">
        <f>'HOUSEHOLD DATA'!$N10*(B$5+B$6*'HOUSEHOLD DATA'!S10)+'HOUSEHOLD DATA'!$O10*(B$7+B$8*'HOUSEHOLD DATA'!S10)-B$11</f>
        <v>8.8161616695629079E-9</v>
      </c>
      <c r="C28" s="155">
        <f>'HOUSEHOLD DATA'!$N10*(C$5+C$6)+'HOUSEHOLD DATA'!$O10*(C$7+C$8)-C$11</f>
        <v>9.3904899459212376E-2</v>
      </c>
      <c r="D28" s="155">
        <f>'HOUSEHOLD DATA'!$N10*(D$5+D$6)+'HOUSEHOLD DATA'!$O10*(D$7+D$8)-D$11</f>
        <v>-1.8630138196858215E-2</v>
      </c>
      <c r="E28" s="155">
        <f>'HOUSEHOLD DATA'!$N10*(E$5+E$6)+'HOUSEHOLD DATA'!$O10*(E$7+E$8)-E$11</f>
        <v>2.3272472388658982E-2</v>
      </c>
      <c r="F28" s="155">
        <f>'HOUSEHOLD DATA'!$N10*(F$5+F$6)+'HOUSEHOLD DATA'!$O10*(F$7+F$8)-F$11</f>
        <v>-1</v>
      </c>
      <c r="G28" s="155" t="e">
        <f>'HOUSEHOLD DATA'!$N10*(G$5+G$6)+'HOUSEHOLD DATA'!$O10*(G$7+G$8)-G$11</f>
        <v>#DIV/0!</v>
      </c>
      <c r="H28" s="155" t="e">
        <f>'HOUSEHOLD DATA'!$N10*(H$5+H$6)+'HOUSEHOLD DATA'!$O10*(H$7+H$8)-H$11</f>
        <v>#DIV/0!</v>
      </c>
    </row>
    <row r="29" spans="1:8">
      <c r="A29" t="s">
        <v>1969</v>
      </c>
      <c r="B29" s="155">
        <f>'HOUSEHOLD DATA'!$N11*(B$5+B$6*'HOUSEHOLD DATA'!S11)+'HOUSEHOLD DATA'!$O11*(B$7+B$8*'HOUSEHOLD DATA'!S11)-B$11</f>
        <v>8.6735982213430347E-9</v>
      </c>
      <c r="C29" s="155">
        <f>'HOUSEHOLD DATA'!$N11*(C$5+C$6)+'HOUSEHOLD DATA'!$O11*(C$7+C$8)-C$11</f>
        <v>9.3515765565667208E-2</v>
      </c>
      <c r="D29" s="155">
        <f>'HOUSEHOLD DATA'!$N11*(D$5+D$6)+'HOUSEHOLD DATA'!$O11*(D$7+D$8)-D$11</f>
        <v>-1.8232120181889633E-2</v>
      </c>
      <c r="E29" s="155">
        <f>'HOUSEHOLD DATA'!$N11*(E$5+E$6)+'HOUSEHOLD DATA'!$O11*(E$7+E$8)-E$11</f>
        <v>2.3323813798662441E-2</v>
      </c>
      <c r="F29" s="155">
        <f>'HOUSEHOLD DATA'!$N11*(F$5+F$6)+'HOUSEHOLD DATA'!$O11*(F$7+F$8)-F$11</f>
        <v>-1</v>
      </c>
      <c r="G29" s="155" t="e">
        <f>'HOUSEHOLD DATA'!$N11*(G$5+G$6)+'HOUSEHOLD DATA'!$O11*(G$7+G$8)-G$11</f>
        <v>#DIV/0!</v>
      </c>
      <c r="H29" s="155" t="e">
        <f>'HOUSEHOLD DATA'!$N11*(H$5+H$6)+'HOUSEHOLD DATA'!$O11*(H$7+H$8)-H$11</f>
        <v>#DIV/0!</v>
      </c>
    </row>
    <row r="30" spans="1:8">
      <c r="A30" t="s">
        <v>1970</v>
      </c>
      <c r="B30" s="155">
        <f>'HOUSEHOLD DATA'!$N12*(B$5+B$6*'HOUSEHOLD DATA'!S12)+'HOUSEHOLD DATA'!$O12*(B$7+B$8*'HOUSEHOLD DATA'!S12)-B$11</f>
        <v>8.3624403979628052E-9</v>
      </c>
      <c r="C30" s="155">
        <f>'HOUSEHOLD DATA'!$N12*(C$5+C$6)+'HOUSEHOLD DATA'!$O12*(C$7+C$8)-C$11</f>
        <v>9.2666445092356053E-2</v>
      </c>
      <c r="D30" s="155">
        <f>'HOUSEHOLD DATA'!$N12*(D$5+D$6)+'HOUSEHOLD DATA'!$O12*(D$7+D$8)-D$11</f>
        <v>-1.7363409297366628E-2</v>
      </c>
      <c r="E30" s="155">
        <f>'HOUSEHOLD DATA'!$N12*(E$5+E$6)+'HOUSEHOLD DATA'!$O12*(E$7+E$8)-E$11</f>
        <v>2.3435871142851561E-2</v>
      </c>
      <c r="F30" s="155">
        <f>'HOUSEHOLD DATA'!$N12*(F$5+F$6)+'HOUSEHOLD DATA'!$O12*(F$7+F$8)-F$11</f>
        <v>-1</v>
      </c>
      <c r="G30" s="155" t="e">
        <f>'HOUSEHOLD DATA'!$N12*(G$5+G$6)+'HOUSEHOLD DATA'!$O12*(G$7+G$8)-G$11</f>
        <v>#DIV/0!</v>
      </c>
      <c r="H30" s="155" t="e">
        <f>'HOUSEHOLD DATA'!$N12*(H$5+H$6)+'HOUSEHOLD DATA'!$O12*(H$7+H$8)-H$11</f>
        <v>#DIV/0!</v>
      </c>
    </row>
    <row r="31" spans="1:8">
      <c r="A31" t="s">
        <v>1971</v>
      </c>
      <c r="B31" s="155">
        <f>'HOUSEHOLD DATA'!$N13*(B$5+B$6*'HOUSEHOLD DATA'!S13)+'HOUSEHOLD DATA'!$O13*(B$7+B$8*'HOUSEHOLD DATA'!S13)-B$11</f>
        <v>8.3414108577071324E-9</v>
      </c>
      <c r="C31" s="155">
        <f>'HOUSEHOLD DATA'!$N13*(C$5+C$6)+'HOUSEHOLD DATA'!$O13*(C$7+C$8)-C$11</f>
        <v>9.2609043935317992E-2</v>
      </c>
      <c r="D31" s="155">
        <f>'HOUSEHOLD DATA'!$N13*(D$5+D$6)+'HOUSEHOLD DATA'!$O13*(D$7+D$8)-D$11</f>
        <v>-1.7304697643203026E-2</v>
      </c>
      <c r="E31" s="155">
        <f>'HOUSEHOLD DATA'!$N13*(E$5+E$6)+'HOUSEHOLD DATA'!$O13*(E$7+E$8)-E$11</f>
        <v>2.3443444516405093E-2</v>
      </c>
      <c r="F31" s="155">
        <f>'HOUSEHOLD DATA'!$N13*(F$5+F$6)+'HOUSEHOLD DATA'!$O13*(F$7+F$8)-F$11</f>
        <v>-0.99999999999999978</v>
      </c>
      <c r="G31" s="155" t="e">
        <f>'HOUSEHOLD DATA'!$N13*(G$5+G$6)+'HOUSEHOLD DATA'!$O13*(G$7+G$8)-G$11</f>
        <v>#DIV/0!</v>
      </c>
      <c r="H31" s="155" t="e">
        <f>'HOUSEHOLD DATA'!$N13*(H$5+H$6)+'HOUSEHOLD DATA'!$O13*(H$7+H$8)-H$11</f>
        <v>#DIV/0!</v>
      </c>
    </row>
    <row r="32" spans="1:8">
      <c r="A32" t="s">
        <v>1972</v>
      </c>
      <c r="B32" s="155">
        <f>'HOUSEHOLD DATA'!$N14*(B$5+B$6*'HOUSEHOLD DATA'!S14)+'HOUSEHOLD DATA'!$O14*(B$7+B$8*'HOUSEHOLD DATA'!S14)-B$11</f>
        <v>8.2325800112744421E-9</v>
      </c>
      <c r="C32" s="155">
        <f>'HOUSEHOLD DATA'!$N14*(C$5+C$6)+'HOUSEHOLD DATA'!$O14*(C$7+C$8)-C$11</f>
        <v>9.2311984825574456E-2</v>
      </c>
      <c r="D32" s="155">
        <f>'HOUSEHOLD DATA'!$N14*(D$5+D$6)+'HOUSEHOLD DATA'!$O14*(D$7+D$8)-D$11</f>
        <v>-1.7000856525403396E-2</v>
      </c>
      <c r="E32" s="155">
        <f>'HOUSEHOLD DATA'!$N14*(E$5+E$6)+'HOUSEHOLD DATA'!$O14*(E$7+E$8)-E$11</f>
        <v>2.3482637796151756E-2</v>
      </c>
      <c r="F32" s="155">
        <f>'HOUSEHOLD DATA'!$N14*(F$5+F$6)+'HOUSEHOLD DATA'!$O14*(F$7+F$8)-F$11</f>
        <v>-1</v>
      </c>
      <c r="G32" s="155" t="e">
        <f>'HOUSEHOLD DATA'!$N14*(G$5+G$6)+'HOUSEHOLD DATA'!$O14*(G$7+G$8)-G$11</f>
        <v>#DIV/0!</v>
      </c>
      <c r="H32" s="155" t="e">
        <f>'HOUSEHOLD DATA'!$N14*(H$5+H$6)+'HOUSEHOLD DATA'!$O14*(H$7+H$8)-H$11</f>
        <v>#DIV/0!</v>
      </c>
    </row>
    <row r="33" spans="1:8">
      <c r="A33" t="s">
        <v>1973</v>
      </c>
      <c r="B33" s="155">
        <f>'HOUSEHOLD DATA'!$N15*(B$5+B$6*'HOUSEHOLD DATA'!S15)+'HOUSEHOLD DATA'!$O15*(B$7+B$8*'HOUSEHOLD DATA'!S15)-B$11</f>
        <v>8.333866353228519E-9</v>
      </c>
      <c r="C33" s="155">
        <f>'HOUSEHOLD DATA'!$N15*(C$5+C$6)+'HOUSEHOLD DATA'!$O15*(C$7+C$8)-C$11</f>
        <v>9.2588450841931902E-2</v>
      </c>
      <c r="D33" s="155">
        <f>'HOUSEHOLD DATA'!$N15*(D$5+D$6)+'HOUSEHOLD DATA'!$O15*(D$7+D$8)-D$11</f>
        <v>-1.7283634399194836E-2</v>
      </c>
      <c r="E33" s="155">
        <f>'HOUSEHOLD DATA'!$N15*(E$5+E$6)+'HOUSEHOLD DATA'!$O15*(E$7+E$8)-E$11</f>
        <v>2.3446161520676162E-2</v>
      </c>
      <c r="F33" s="155">
        <f>'HOUSEHOLD DATA'!$N15*(F$5+F$6)+'HOUSEHOLD DATA'!$O15*(F$7+F$8)-F$11</f>
        <v>-1</v>
      </c>
      <c r="G33" s="155" t="e">
        <f>'HOUSEHOLD DATA'!$N15*(G$5+G$6)+'HOUSEHOLD DATA'!$O15*(G$7+G$8)-G$11</f>
        <v>#DIV/0!</v>
      </c>
      <c r="H33" s="155" t="e">
        <f>'HOUSEHOLD DATA'!$N15*(H$5+H$6)+'HOUSEHOLD DATA'!$O15*(H$7+H$8)-H$11</f>
        <v>#DIV/0!</v>
      </c>
    </row>
    <row r="35" spans="1:8">
      <c r="A35" s="157" t="s">
        <v>1974</v>
      </c>
    </row>
    <row r="36" spans="1:8" ht="15">
      <c r="A36" s="159" t="s">
        <v>1985</v>
      </c>
    </row>
    <row r="37" spans="1:8">
      <c r="A37" t="s">
        <v>1964</v>
      </c>
      <c r="B37" s="161">
        <f>B$19*'HOUSEHOLD DATA'!$H6+B$20*'HOUSEHOLD DATA'!$G6+(B$14+B$12*B$15+(1-B$12)*B$16)*'HOUSEHOLD DATA'!$I6</f>
        <v>9.1861004206833527E-9</v>
      </c>
      <c r="C37" s="161">
        <f>C$19*'HOUSEHOLD DATA'!$H6+C$20*'HOUSEHOLD DATA'!$G6+(C$14+C$12*C$15+(1-C$12)*C$16)*'HOUSEHOLD DATA'!$I6</f>
        <v>0.11259462370919825</v>
      </c>
      <c r="D37" s="161">
        <f>D$19*'HOUSEHOLD DATA'!$H6+D$20*'HOUSEHOLD DATA'!$G6+(D$14+D$12*D$15+(1-D$12)*D$16)*'HOUSEHOLD DATA'!$I6</f>
        <v>-3.6553811370340208E-2</v>
      </c>
      <c r="E37" s="161">
        <f>E$19*'HOUSEHOLD DATA'!$H6+E$20*'HOUSEHOLD DATA'!$G6+(E$14+E$12*E$15+(1-E$12)*E$16)*'HOUSEHOLD DATA'!$I6</f>
        <v>2.202705094710301E-2</v>
      </c>
      <c r="F37" s="161" t="e">
        <f>F$19*'HOUSEHOLD DATA'!$H6+F$20*'HOUSEHOLD DATA'!$G6+(F$14+F$12*F$15+(1-F$12)*F$16)*'HOUSEHOLD DATA'!$I6</f>
        <v>#VALUE!</v>
      </c>
      <c r="G37" s="161" t="e">
        <f>G$19*'HOUSEHOLD DATA'!$H6+G$20*'HOUSEHOLD DATA'!$G6+(G$14+G$12*G$15+(1-G$12)*G$16)*'HOUSEHOLD DATA'!$I6</f>
        <v>#DIV/0!</v>
      </c>
      <c r="H37" s="161" t="e">
        <f>H$19*'HOUSEHOLD DATA'!$H6+H$20*'HOUSEHOLD DATA'!$G6+(H$14+H$12*H$15+(1-H$12)*H$16)*'HOUSEHOLD DATA'!$I6</f>
        <v>#DIV/0!</v>
      </c>
    </row>
    <row r="38" spans="1:8">
      <c r="A38" t="s">
        <v>1965</v>
      </c>
      <c r="B38" s="161">
        <f>B$19*'HOUSEHOLD DATA'!$H7+B$20*'HOUSEHOLD DATA'!$G7+(B$14+B$12*B$15+(1-B$12)*B$16)*'HOUSEHOLD DATA'!$I7</f>
        <v>9.4085228205318075E-9</v>
      </c>
      <c r="C38" s="161">
        <f>C$19*'HOUSEHOLD DATA'!$H7+C$20*'HOUSEHOLD DATA'!$G7+(C$14+C$12*C$15+(1-C$12)*C$16)*'HOUSEHOLD DATA'!$I7</f>
        <v>0.11169490470179561</v>
      </c>
      <c r="D38" s="161">
        <f>D$19*'HOUSEHOLD DATA'!$H7+D$20*'HOUSEHOLD DATA'!$G7+(D$14+D$12*D$15+(1-D$12)*D$16)*'HOUSEHOLD DATA'!$I7</f>
        <v>-3.4235919306266266E-2</v>
      </c>
      <c r="E38" s="161">
        <f>E$19*'HOUSEHOLD DATA'!$H7+E$20*'HOUSEHOLD DATA'!$G7+(E$14+E$12*E$15+(1-E$12)*E$16)*'HOUSEHOLD DATA'!$I7</f>
        <v>2.3768531426216412E-2</v>
      </c>
      <c r="F38" s="161" t="e">
        <f>F$19*'HOUSEHOLD DATA'!$H7+F$20*'HOUSEHOLD DATA'!$G7+(F$14+F$12*F$15+(1-F$12)*F$16)*'HOUSEHOLD DATA'!$I7</f>
        <v>#VALUE!</v>
      </c>
      <c r="G38" s="161" t="e">
        <f>G$19*'HOUSEHOLD DATA'!$H7+G$20*'HOUSEHOLD DATA'!$G7+(G$14+G$12*G$15+(1-G$12)*G$16)*'HOUSEHOLD DATA'!$I7</f>
        <v>#DIV/0!</v>
      </c>
      <c r="H38" s="161" t="e">
        <f>H$19*'HOUSEHOLD DATA'!$H7+H$20*'HOUSEHOLD DATA'!$G7+(H$14+H$12*H$15+(1-H$12)*H$16)*'HOUSEHOLD DATA'!$I7</f>
        <v>#DIV/0!</v>
      </c>
    </row>
    <row r="39" spans="1:8">
      <c r="A39" t="s">
        <v>1966</v>
      </c>
      <c r="B39" s="161">
        <f>B$19*'HOUSEHOLD DATA'!$H8+B$20*'HOUSEHOLD DATA'!$G8+(B$14+B$12*B$15+(1-B$12)*B$16)*'HOUSEHOLD DATA'!$I8</f>
        <v>9.4659922207235637E-9</v>
      </c>
      <c r="C39" s="161">
        <f>C$19*'HOUSEHOLD DATA'!$H8+C$20*'HOUSEHOLD DATA'!$G8+(C$14+C$12*C$15+(1-C$12)*C$16)*'HOUSEHOLD DATA'!$I8</f>
        <v>0.11122287050853401</v>
      </c>
      <c r="D39" s="161">
        <f>D$19*'HOUSEHOLD DATA'!$H8+D$20*'HOUSEHOLD DATA'!$G8+(D$14+D$12*D$15+(1-D$12)*D$16)*'HOUSEHOLD DATA'!$I8</f>
        <v>-3.3017661220506866E-2</v>
      </c>
      <c r="E39" s="161">
        <f>E$19*'HOUSEHOLD DATA'!$H8+E$20*'HOUSEHOLD DATA'!$G8+(E$14+E$12*E$15+(1-E$12)*E$16)*'HOUSEHOLD DATA'!$I8</f>
        <v>2.4689876821666745E-2</v>
      </c>
      <c r="F39" s="161" t="e">
        <f>F$19*'HOUSEHOLD DATA'!$H8+F$20*'HOUSEHOLD DATA'!$G8+(F$14+F$12*F$15+(1-F$12)*F$16)*'HOUSEHOLD DATA'!$I8</f>
        <v>#VALUE!</v>
      </c>
      <c r="G39" s="161" t="e">
        <f>G$19*'HOUSEHOLD DATA'!$H8+G$20*'HOUSEHOLD DATA'!$G8+(G$14+G$12*G$15+(1-G$12)*G$16)*'HOUSEHOLD DATA'!$I8</f>
        <v>#DIV/0!</v>
      </c>
      <c r="H39" s="161" t="e">
        <f>H$19*'HOUSEHOLD DATA'!$H8+H$20*'HOUSEHOLD DATA'!$G8+(H$14+H$12*H$15+(1-H$12)*H$16)*'HOUSEHOLD DATA'!$I8</f>
        <v>#DIV/0!</v>
      </c>
    </row>
    <row r="40" spans="1:8">
      <c r="A40" t="s">
        <v>1967</v>
      </c>
      <c r="B40" s="161">
        <f>B$19*'HOUSEHOLD DATA'!$H9+B$20*'HOUSEHOLD DATA'!$G9+(B$14+B$12*B$15+(1-B$12)*B$16)*'HOUSEHOLD DATA'!$I9</f>
        <v>9.2475415458917047E-9</v>
      </c>
      <c r="C40" s="161">
        <f>C$19*'HOUSEHOLD DATA'!$H9+C$20*'HOUSEHOLD DATA'!$G9+(C$14+C$12*C$15+(1-C$12)*C$16)*'HOUSEHOLD DATA'!$I9</f>
        <v>0.11039406252594788</v>
      </c>
      <c r="D40" s="161">
        <f>D$19*'HOUSEHOLD DATA'!$H9+D$20*'HOUSEHOLD DATA'!$G9+(D$14+D$12*D$15+(1-D$12)*D$16)*'HOUSEHOLD DATA'!$I9</f>
        <v>-3.0866836059787874E-2</v>
      </c>
      <c r="E40" s="161">
        <f>E$19*'HOUSEHOLD DATA'!$H9+E$20*'HOUSEHOLD DATA'!$G9+(E$14+E$12*E$15+(1-E$12)*E$16)*'HOUSEHOLD DATA'!$I9</f>
        <v>2.6349031471204043E-2</v>
      </c>
      <c r="F40" s="161" t="e">
        <f>F$19*'HOUSEHOLD DATA'!$H9+F$20*'HOUSEHOLD DATA'!$G9+(F$14+F$12*F$15+(1-F$12)*F$16)*'HOUSEHOLD DATA'!$I9</f>
        <v>#VALUE!</v>
      </c>
      <c r="G40" s="161" t="e">
        <f>G$19*'HOUSEHOLD DATA'!$H9+G$20*'HOUSEHOLD DATA'!$G9+(G$14+G$12*G$15+(1-G$12)*G$16)*'HOUSEHOLD DATA'!$I9</f>
        <v>#DIV/0!</v>
      </c>
      <c r="H40" s="161" t="e">
        <f>H$19*'HOUSEHOLD DATA'!$H9+H$20*'HOUSEHOLD DATA'!$G9+(H$14+H$12*H$15+(1-H$12)*H$16)*'HOUSEHOLD DATA'!$I9</f>
        <v>#DIV/0!</v>
      </c>
    </row>
    <row r="41" spans="1:8">
      <c r="A41" t="s">
        <v>1968</v>
      </c>
      <c r="B41" s="161">
        <f>B$19*'HOUSEHOLD DATA'!$H10+B$20*'HOUSEHOLD DATA'!$G10+(B$14+B$12*B$15+(1-B$12)*B$16)*'HOUSEHOLD DATA'!$I10</f>
        <v>8.9715465807010891E-9</v>
      </c>
      <c r="C41" s="161">
        <f>C$19*'HOUSEHOLD DATA'!$H10+C$20*'HOUSEHOLD DATA'!$G10+(C$14+C$12*C$15+(1-C$12)*C$16)*'HOUSEHOLD DATA'!$I10</f>
        <v>0.10999630640917279</v>
      </c>
      <c r="D41" s="161">
        <f>D$19*'HOUSEHOLD DATA'!$H10+D$20*'HOUSEHOLD DATA'!$G10+(D$14+D$12*D$15+(1-D$12)*D$16)*'HOUSEHOLD DATA'!$I10</f>
        <v>-2.9828312171014573E-2</v>
      </c>
      <c r="E41" s="161">
        <f>E$19*'HOUSEHOLD DATA'!$H10+E$20*'HOUSEHOLD DATA'!$G10+(E$14+E$12*E$15+(1-E$12)*E$16)*'HOUSEHOLD DATA'!$I10</f>
        <v>2.7167489658438484E-2</v>
      </c>
      <c r="F41" s="161" t="e">
        <f>F$19*'HOUSEHOLD DATA'!$H10+F$20*'HOUSEHOLD DATA'!$G10+(F$14+F$12*F$15+(1-F$12)*F$16)*'HOUSEHOLD DATA'!$I10</f>
        <v>#VALUE!</v>
      </c>
      <c r="G41" s="161" t="e">
        <f>G$19*'HOUSEHOLD DATA'!$H10+G$20*'HOUSEHOLD DATA'!$G10+(G$14+G$12*G$15+(1-G$12)*G$16)*'HOUSEHOLD DATA'!$I10</f>
        <v>#DIV/0!</v>
      </c>
      <c r="H41" s="161" t="e">
        <f>H$19*'HOUSEHOLD DATA'!$H10+H$20*'HOUSEHOLD DATA'!$G10+(H$14+H$12*H$15+(1-H$12)*H$16)*'HOUSEHOLD DATA'!$I10</f>
        <v>#DIV/0!</v>
      </c>
    </row>
    <row r="42" spans="1:8">
      <c r="A42" t="s">
        <v>1969</v>
      </c>
      <c r="B42" s="161">
        <f>B$19*'HOUSEHOLD DATA'!$H11+B$20*'HOUSEHOLD DATA'!$G11+(B$14+B$12*B$15+(1-B$12)*B$16)*'HOUSEHOLD DATA'!$I11</f>
        <v>8.3543153955132131E-9</v>
      </c>
      <c r="C42" s="161">
        <f>C$19*'HOUSEHOLD DATA'!$H11+C$20*'HOUSEHOLD DATA'!$G11+(C$14+C$12*C$15+(1-C$12)*C$16)*'HOUSEHOLD DATA'!$I11</f>
        <v>0.1085555162995889</v>
      </c>
      <c r="D42" s="161">
        <f>D$19*'HOUSEHOLD DATA'!$H11+D$20*'HOUSEHOLD DATA'!$G11+(D$14+D$12*D$15+(1-D$12)*D$16)*'HOUSEHOLD DATA'!$I11</f>
        <v>-2.6080582364367388E-2</v>
      </c>
      <c r="E42" s="161">
        <f>E$19*'HOUSEHOLD DATA'!$H11+E$20*'HOUSEHOLD DATA'!$G11+(E$14+E$12*E$15+(1-E$12)*E$16)*'HOUSEHOLD DATA'!$I11</f>
        <v>3.0082557379929438E-2</v>
      </c>
      <c r="F42" s="161" t="e">
        <f>F$19*'HOUSEHOLD DATA'!$H11+F$20*'HOUSEHOLD DATA'!$G11+(F$14+F$12*F$15+(1-F$12)*F$16)*'HOUSEHOLD DATA'!$I11</f>
        <v>#VALUE!</v>
      </c>
      <c r="G42" s="161" t="e">
        <f>G$19*'HOUSEHOLD DATA'!$H11+G$20*'HOUSEHOLD DATA'!$G11+(G$14+G$12*G$15+(1-G$12)*G$16)*'HOUSEHOLD DATA'!$I11</f>
        <v>#DIV/0!</v>
      </c>
      <c r="H42" s="161" t="e">
        <f>H$19*'HOUSEHOLD DATA'!$H11+H$20*'HOUSEHOLD DATA'!$G11+(H$14+H$12*H$15+(1-H$12)*H$16)*'HOUSEHOLD DATA'!$I11</f>
        <v>#DIV/0!</v>
      </c>
    </row>
    <row r="43" spans="1:8">
      <c r="A43" t="s">
        <v>1970</v>
      </c>
      <c r="B43" s="161">
        <f>B$19*'HOUSEHOLD DATA'!$H12+B$20*'HOUSEHOLD DATA'!$G12+(B$14+B$12*B$15+(1-B$12)*B$16)*'HOUSEHOLD DATA'!$I12</f>
        <v>8.194655150773892E-9</v>
      </c>
      <c r="C43" s="161">
        <f>C$19*'HOUSEHOLD DATA'!$H12+C$20*'HOUSEHOLD DATA'!$G12+(C$14+C$12*C$15+(1-C$12)*C$16)*'HOUSEHOLD DATA'!$I12</f>
        <v>0.10814581627510114</v>
      </c>
      <c r="D43" s="161">
        <f>D$19*'HOUSEHOLD DATA'!$H12+D$20*'HOUSEHOLD DATA'!$G12+(D$14+D$12*D$15+(1-D$12)*D$16)*'HOUSEHOLD DATA'!$I12</f>
        <v>-2.5015470710516654E-2</v>
      </c>
      <c r="E43" s="161">
        <f>E$19*'HOUSEHOLD DATA'!$H12+E$20*'HOUSEHOLD DATA'!$G12+(E$14+E$12*E$15+(1-E$12)*E$16)*'HOUSEHOLD DATA'!$I12</f>
        <v>3.0909422783704343E-2</v>
      </c>
      <c r="F43" s="161" t="e">
        <f>F$19*'HOUSEHOLD DATA'!$H12+F$20*'HOUSEHOLD DATA'!$G12+(F$14+F$12*F$15+(1-F$12)*F$16)*'HOUSEHOLD DATA'!$I12</f>
        <v>#VALUE!</v>
      </c>
      <c r="G43" s="161" t="e">
        <f>G$19*'HOUSEHOLD DATA'!$H12+G$20*'HOUSEHOLD DATA'!$G12+(G$14+G$12*G$15+(1-G$12)*G$16)*'HOUSEHOLD DATA'!$I12</f>
        <v>#DIV/0!</v>
      </c>
      <c r="H43" s="161" t="e">
        <f>H$19*'HOUSEHOLD DATA'!$H12+H$20*'HOUSEHOLD DATA'!$G12+(H$14+H$12*H$15+(1-H$12)*H$16)*'HOUSEHOLD DATA'!$I12</f>
        <v>#DIV/0!</v>
      </c>
    </row>
    <row r="44" spans="1:8">
      <c r="A44" t="s">
        <v>1971</v>
      </c>
      <c r="B44" s="161">
        <f>B$19*'HOUSEHOLD DATA'!$H13+B$20*'HOUSEHOLD DATA'!$G13+(B$14+B$12*B$15+(1-B$12)*B$16)*'HOUSEHOLD DATA'!$I13</f>
        <v>8.2705849389207951E-9</v>
      </c>
      <c r="C44" s="161">
        <f>C$19*'HOUSEHOLD DATA'!$H13+C$20*'HOUSEHOLD DATA'!$G13+(C$14+C$12*C$15+(1-C$12)*C$16)*'HOUSEHOLD DATA'!$I13</f>
        <v>0.10870889611200622</v>
      </c>
      <c r="D44" s="161">
        <f>D$19*'HOUSEHOLD DATA'!$H13+D$20*'HOUSEHOLD DATA'!$G13+(D$14+D$12*D$15+(1-D$12)*D$16)*'HOUSEHOLD DATA'!$I13</f>
        <v>-2.6474035549914059E-2</v>
      </c>
      <c r="E44" s="161">
        <f>E$19*'HOUSEHOLD DATA'!$H13+E$20*'HOUSEHOLD DATA'!$G13+(E$14+E$12*E$15+(1-E$12)*E$16)*'HOUSEHOLD DATA'!$I13</f>
        <v>2.9791622263137252E-2</v>
      </c>
      <c r="F44" s="161" t="e">
        <f>F$19*'HOUSEHOLD DATA'!$H13+F$20*'HOUSEHOLD DATA'!$G13+(F$14+F$12*F$15+(1-F$12)*F$16)*'HOUSEHOLD DATA'!$I13</f>
        <v>#VALUE!</v>
      </c>
      <c r="G44" s="161" t="e">
        <f>G$19*'HOUSEHOLD DATA'!$H13+G$20*'HOUSEHOLD DATA'!$G13+(G$14+G$12*G$15+(1-G$12)*G$16)*'HOUSEHOLD DATA'!$I13</f>
        <v>#DIV/0!</v>
      </c>
      <c r="H44" s="161" t="e">
        <f>H$19*'HOUSEHOLD DATA'!$H13+H$20*'HOUSEHOLD DATA'!$G13+(H$14+H$12*H$15+(1-H$12)*H$16)*'HOUSEHOLD DATA'!$I13</f>
        <v>#DIV/0!</v>
      </c>
    </row>
    <row r="45" spans="1:8">
      <c r="A45" t="s">
        <v>1972</v>
      </c>
      <c r="B45" s="161">
        <f>B$19*'HOUSEHOLD DATA'!$H14+B$20*'HOUSEHOLD DATA'!$G14+(B$14+B$12*B$15+(1-B$12)*B$16)*'HOUSEHOLD DATA'!$I14</f>
        <v>8.1914314038279344E-9</v>
      </c>
      <c r="C45" s="161">
        <f>C$19*'HOUSEHOLD DATA'!$H14+C$20*'HOUSEHOLD DATA'!$G14+(C$14+C$12*C$15+(1-C$12)*C$16)*'HOUSEHOLD DATA'!$I14</f>
        <v>0.10830414115956316</v>
      </c>
      <c r="D45" s="161">
        <f>D$19*'HOUSEHOLD DATA'!$H14+D$20*'HOUSEHOLD DATA'!$G14+(D$14+D$12*D$15+(1-D$12)*D$16)*'HOUSEHOLD DATA'!$I14</f>
        <v>-2.5424678538179125E-2</v>
      </c>
      <c r="E45" s="161">
        <f>E$19*'HOUSEHOLD DATA'!$H14+E$20*'HOUSEHOLD DATA'!$G14+(E$14+E$12*E$15+(1-E$12)*E$16)*'HOUSEHOLD DATA'!$I14</f>
        <v>3.0598311790681648E-2</v>
      </c>
      <c r="F45" s="161" t="e">
        <f>F$19*'HOUSEHOLD DATA'!$H14+F$20*'HOUSEHOLD DATA'!$G14+(F$14+F$12*F$15+(1-F$12)*F$16)*'HOUSEHOLD DATA'!$I14</f>
        <v>#VALUE!</v>
      </c>
      <c r="G45" s="161" t="e">
        <f>G$19*'HOUSEHOLD DATA'!$H14+G$20*'HOUSEHOLD DATA'!$G14+(G$14+G$12*G$15+(1-G$12)*G$16)*'HOUSEHOLD DATA'!$I14</f>
        <v>#DIV/0!</v>
      </c>
      <c r="H45" s="161" t="e">
        <f>H$19*'HOUSEHOLD DATA'!$H14+H$20*'HOUSEHOLD DATA'!$G14+(H$14+H$12*H$15+(1-H$12)*H$16)*'HOUSEHOLD DATA'!$I14</f>
        <v>#DIV/0!</v>
      </c>
    </row>
    <row r="46" spans="1:8">
      <c r="A46" t="s">
        <v>1973</v>
      </c>
      <c r="B46" s="161">
        <f>B$19*'HOUSEHOLD DATA'!$H15+B$20*'HOUSEHOLD DATA'!$G15+(B$14+B$12*B$15+(1-B$12)*B$16)*'HOUSEHOLD DATA'!$I15</f>
        <v>9.3589467709736277E-9</v>
      </c>
      <c r="C46" s="161">
        <f>C$19*'HOUSEHOLD DATA'!$H15+C$20*'HOUSEHOLD DATA'!$G15+(C$14+C$12*C$15+(1-C$12)*C$16)*'HOUSEHOLD DATA'!$I15</f>
        <v>0.10650467949539003</v>
      </c>
      <c r="D46" s="161">
        <f>D$19*'HOUSEHOLD DATA'!$H15+D$20*'HOUSEHOLD DATA'!$G15+(D$14+D$12*D$15+(1-D$12)*D$16)*'HOUSEHOLD DATA'!$I15</f>
        <v>-2.0815492229868057E-2</v>
      </c>
      <c r="E46" s="161">
        <f>E$19*'HOUSEHOLD DATA'!$H15+E$20*'HOUSEHOLD DATA'!$G15+(E$14+E$12*E$15+(1-E$12)*E$16)*'HOUSEHOLD DATA'!$I15</f>
        <v>3.3987553506754295E-2</v>
      </c>
      <c r="F46" s="161" t="e">
        <f>F$19*'HOUSEHOLD DATA'!$H15+F$20*'HOUSEHOLD DATA'!$G15+(F$14+F$12*F$15+(1-F$12)*F$16)*'HOUSEHOLD DATA'!$I15</f>
        <v>#VALUE!</v>
      </c>
      <c r="G46" s="161" t="e">
        <f>G$19*'HOUSEHOLD DATA'!$H15+G$20*'HOUSEHOLD DATA'!$G15+(G$14+G$12*G$15+(1-G$12)*G$16)*'HOUSEHOLD DATA'!$I15</f>
        <v>#DIV/0!</v>
      </c>
      <c r="H46" s="161" t="e">
        <f>H$19*'HOUSEHOLD DATA'!$H15+H$20*'HOUSEHOLD DATA'!$G15+(H$14+H$12*H$15+(1-H$12)*H$16)*'HOUSEHOLD DATA'!$I15</f>
        <v>#DIV/0!</v>
      </c>
    </row>
    <row r="48" spans="1:8">
      <c r="C48" s="161"/>
    </row>
    <row r="49" spans="1:8">
      <c r="A49" s="157" t="s">
        <v>2005</v>
      </c>
    </row>
    <row r="50" spans="1:8" ht="15">
      <c r="A50" s="159" t="s">
        <v>1985</v>
      </c>
    </row>
    <row r="51" spans="1:8">
      <c r="A51" t="s">
        <v>1964</v>
      </c>
      <c r="B51" s="15">
        <f>'HOUSEHOLD DATA'!$F6</f>
        <v>481.83116640000003</v>
      </c>
      <c r="C51" s="15">
        <f t="shared" ref="C51:H60" si="8">B51*(1+C37)</f>
        <v>536.08276527217208</v>
      </c>
      <c r="D51" s="15">
        <f t="shared" si="8"/>
        <v>516.48689699152271</v>
      </c>
      <c r="E51" s="15">
        <f t="shared" si="8"/>
        <v>527.8635801850661</v>
      </c>
      <c r="F51" s="15" t="e">
        <f t="shared" si="8"/>
        <v>#VALUE!</v>
      </c>
      <c r="G51" s="15" t="e">
        <f t="shared" si="8"/>
        <v>#VALUE!</v>
      </c>
      <c r="H51" s="15" t="e">
        <f t="shared" si="8"/>
        <v>#VALUE!</v>
      </c>
    </row>
    <row r="52" spans="1:8">
      <c r="A52" t="s">
        <v>1965</v>
      </c>
      <c r="B52" s="15">
        <f>'HOUSEHOLD DATA'!$F7</f>
        <v>6790.3526800000009</v>
      </c>
      <c r="C52" s="15">
        <f t="shared" si="8"/>
        <v>7548.8004754841841</v>
      </c>
      <c r="D52" s="15">
        <f t="shared" si="8"/>
        <v>7290.3603515464038</v>
      </c>
      <c r="E52" s="15">
        <f t="shared" si="8"/>
        <v>7463.6415106705763</v>
      </c>
      <c r="F52" s="15" t="e">
        <f t="shared" si="8"/>
        <v>#VALUE!</v>
      </c>
      <c r="G52" s="15" t="e">
        <f t="shared" si="8"/>
        <v>#VALUE!</v>
      </c>
      <c r="H52" s="15" t="e">
        <f t="shared" si="8"/>
        <v>#VALUE!</v>
      </c>
    </row>
    <row r="53" spans="1:8">
      <c r="A53" t="s">
        <v>1966</v>
      </c>
      <c r="B53" s="15">
        <f>'HOUSEHOLD DATA'!$F8</f>
        <v>20006.210999999996</v>
      </c>
      <c r="C53" s="15">
        <f t="shared" si="8"/>
        <v>22231.359215419405</v>
      </c>
      <c r="D53" s="15">
        <f t="shared" si="8"/>
        <v>21497.331728373294</v>
      </c>
      <c r="E53" s="15">
        <f t="shared" si="8"/>
        <v>22028.09820074134</v>
      </c>
      <c r="F53" s="15" t="e">
        <f t="shared" si="8"/>
        <v>#VALUE!</v>
      </c>
      <c r="G53" s="15" t="e">
        <f t="shared" si="8"/>
        <v>#VALUE!</v>
      </c>
      <c r="H53" s="15" t="e">
        <f t="shared" si="8"/>
        <v>#VALUE!</v>
      </c>
    </row>
    <row r="54" spans="1:8">
      <c r="A54" t="s">
        <v>1967</v>
      </c>
      <c r="B54" s="15">
        <f>'HOUSEHOLD DATA'!$F9</f>
        <v>40196.773000000001</v>
      </c>
      <c r="C54" s="15">
        <f t="shared" si="8"/>
        <v>44634.258071903336</v>
      </c>
      <c r="D54" s="15">
        <f t="shared" si="8"/>
        <v>43256.539745347633</v>
      </c>
      <c r="E54" s="15">
        <f t="shared" si="8"/>
        <v>44396.307672433184</v>
      </c>
      <c r="F54" s="15" t="e">
        <f t="shared" si="8"/>
        <v>#VALUE!</v>
      </c>
      <c r="G54" s="15" t="e">
        <f t="shared" si="8"/>
        <v>#VALUE!</v>
      </c>
      <c r="H54" s="15" t="e">
        <f t="shared" si="8"/>
        <v>#VALUE!</v>
      </c>
    </row>
    <row r="55" spans="1:8">
      <c r="A55" t="s">
        <v>1968</v>
      </c>
      <c r="B55" s="15">
        <f>'HOUSEHOLD DATA'!$F10</f>
        <v>68715.895000000004</v>
      </c>
      <c r="C55" s="15">
        <f t="shared" si="8"/>
        <v>76274.389641600559</v>
      </c>
      <c r="D55" s="15">
        <f t="shared" si="8"/>
        <v>73999.253336717302</v>
      </c>
      <c r="E55" s="15">
        <f t="shared" si="8"/>
        <v>76009.62728647473</v>
      </c>
      <c r="F55" s="15" t="e">
        <f t="shared" si="8"/>
        <v>#VALUE!</v>
      </c>
      <c r="G55" s="15" t="e">
        <f t="shared" si="8"/>
        <v>#VALUE!</v>
      </c>
      <c r="H55" s="15" t="e">
        <f t="shared" si="8"/>
        <v>#VALUE!</v>
      </c>
    </row>
    <row r="56" spans="1:8">
      <c r="A56" t="s">
        <v>1969</v>
      </c>
      <c r="B56" s="15">
        <f>'HOUSEHOLD DATA'!$F11</f>
        <v>106396.47699999998</v>
      </c>
      <c r="C56" s="15">
        <f t="shared" si="8"/>
        <v>117946.40149319232</v>
      </c>
      <c r="D56" s="15">
        <f t="shared" si="8"/>
        <v>114870.29065446836</v>
      </c>
      <c r="E56" s="15">
        <f t="shared" si="8"/>
        <v>118325.88276433058</v>
      </c>
      <c r="F56" s="15" t="e">
        <f t="shared" si="8"/>
        <v>#VALUE!</v>
      </c>
      <c r="G56" s="15" t="e">
        <f t="shared" si="8"/>
        <v>#VALUE!</v>
      </c>
      <c r="H56" s="15" t="e">
        <f t="shared" si="8"/>
        <v>#VALUE!</v>
      </c>
    </row>
    <row r="57" spans="1:8">
      <c r="A57" t="s">
        <v>1970</v>
      </c>
      <c r="B57" s="15">
        <f>'HOUSEHOLD DATA'!$F12</f>
        <v>149092.68400000001</v>
      </c>
      <c r="C57" s="15">
        <f t="shared" si="8"/>
        <v>165216.43401182574</v>
      </c>
      <c r="D57" s="15">
        <f t="shared" si="8"/>
        <v>161083.46714590691</v>
      </c>
      <c r="E57" s="15">
        <f t="shared" si="8"/>
        <v>166062.46413538468</v>
      </c>
      <c r="F57" s="15" t="e">
        <f t="shared" si="8"/>
        <v>#VALUE!</v>
      </c>
      <c r="G57" s="15" t="e">
        <f t="shared" si="8"/>
        <v>#VALUE!</v>
      </c>
      <c r="H57" s="15" t="e">
        <f t="shared" si="8"/>
        <v>#VALUE!</v>
      </c>
    </row>
    <row r="58" spans="1:8">
      <c r="A58" t="s">
        <v>1971</v>
      </c>
      <c r="B58" s="15">
        <f>'HOUSEHOLD DATA'!$F13</f>
        <v>215545.726</v>
      </c>
      <c r="C58" s="15">
        <f t="shared" si="8"/>
        <v>238977.46393512093</v>
      </c>
      <c r="D58" s="15">
        <f t="shared" si="8"/>
        <v>232650.76605927426</v>
      </c>
      <c r="E58" s="15">
        <f t="shared" si="8"/>
        <v>239581.8098009417</v>
      </c>
      <c r="F58" s="15" t="e">
        <f t="shared" si="8"/>
        <v>#VALUE!</v>
      </c>
      <c r="G58" s="15" t="e">
        <f t="shared" si="8"/>
        <v>#VALUE!</v>
      </c>
      <c r="H58" s="15" t="e">
        <f t="shared" si="8"/>
        <v>#VALUE!</v>
      </c>
    </row>
    <row r="59" spans="1:8">
      <c r="A59" t="s">
        <v>1972</v>
      </c>
      <c r="B59" s="15">
        <f>'HOUSEHOLD DATA'!$F14</f>
        <v>345239.08299999998</v>
      </c>
      <c r="C59" s="15">
        <f t="shared" si="8"/>
        <v>382629.9053790301</v>
      </c>
      <c r="D59" s="15">
        <f t="shared" si="8"/>
        <v>372901.66303567437</v>
      </c>
      <c r="E59" s="15">
        <f t="shared" si="8"/>
        <v>384311.82438850362</v>
      </c>
      <c r="F59" s="15" t="e">
        <f t="shared" si="8"/>
        <v>#VALUE!</v>
      </c>
      <c r="G59" s="15" t="e">
        <f t="shared" si="8"/>
        <v>#VALUE!</v>
      </c>
      <c r="H59" s="15" t="e">
        <f t="shared" si="8"/>
        <v>#VALUE!</v>
      </c>
    </row>
    <row r="60" spans="1:8">
      <c r="A60" t="s">
        <v>1973</v>
      </c>
      <c r="B60" s="15">
        <f>'HOUSEHOLD DATA'!$F15</f>
        <v>1488271.4</v>
      </c>
      <c r="C60" s="15">
        <f t="shared" si="8"/>
        <v>1646779.2684591555</v>
      </c>
      <c r="D60" s="15">
        <f t="shared" si="8"/>
        <v>1612500.7473922363</v>
      </c>
      <c r="E60" s="15">
        <f t="shared" si="8"/>
        <v>1667305.7028239111</v>
      </c>
      <c r="F60" s="15" t="e">
        <f t="shared" si="8"/>
        <v>#VALUE!</v>
      </c>
      <c r="G60" s="15" t="e">
        <f t="shared" si="8"/>
        <v>#VALUE!</v>
      </c>
      <c r="H60" s="15" t="e">
        <f t="shared" si="8"/>
        <v>#VALUE!</v>
      </c>
    </row>
    <row r="62" spans="1:8">
      <c r="A62" t="s">
        <v>1942</v>
      </c>
      <c r="B62" s="15">
        <f t="shared" ref="B62:H62" si="9">SUM(B51:B60)</f>
        <v>2440736.4328464</v>
      </c>
      <c r="C62" s="15">
        <f t="shared" si="9"/>
        <v>2702774.3634480042</v>
      </c>
      <c r="D62" s="15">
        <f t="shared" si="9"/>
        <v>2640566.9063465362</v>
      </c>
      <c r="E62" s="15">
        <f t="shared" si="9"/>
        <v>2726013.2221635766</v>
      </c>
      <c r="F62" s="15" t="e">
        <f t="shared" si="9"/>
        <v>#VALUE!</v>
      </c>
      <c r="G62" s="15" t="e">
        <f t="shared" si="9"/>
        <v>#VALUE!</v>
      </c>
      <c r="H62" s="15" t="e">
        <f t="shared" si="9"/>
        <v>#VALUE!</v>
      </c>
    </row>
    <row r="64" spans="1:8">
      <c r="A64" s="157" t="s">
        <v>2004</v>
      </c>
    </row>
    <row r="65" spans="1:8" ht="15">
      <c r="A65" s="159" t="s">
        <v>1985</v>
      </c>
    </row>
    <row r="66" spans="1:8">
      <c r="A66" t="s">
        <v>1964</v>
      </c>
      <c r="B66" s="161">
        <f t="shared" ref="B66:H75" si="10">B51/B$62</f>
        <v>1.974122071993189E-4</v>
      </c>
      <c r="C66" s="161">
        <f t="shared" si="10"/>
        <v>1.9834536412735411E-4</v>
      </c>
      <c r="D66" s="161">
        <f t="shared" si="10"/>
        <v>1.9559697417632533E-4</v>
      </c>
      <c r="E66" s="161">
        <f t="shared" si="10"/>
        <v>1.9363940566880758E-4</v>
      </c>
      <c r="F66" s="161" t="e">
        <f t="shared" si="10"/>
        <v>#VALUE!</v>
      </c>
      <c r="G66" s="161" t="e">
        <f t="shared" si="10"/>
        <v>#VALUE!</v>
      </c>
      <c r="H66" s="161" t="e">
        <f t="shared" si="10"/>
        <v>#VALUE!</v>
      </c>
    </row>
    <row r="67" spans="1:8">
      <c r="A67" t="s">
        <v>1965</v>
      </c>
      <c r="B67" s="161">
        <f t="shared" si="10"/>
        <v>2.7820917443679306E-3</v>
      </c>
      <c r="C67" s="161">
        <f t="shared" si="10"/>
        <v>2.7929821214723858E-3</v>
      </c>
      <c r="D67" s="161">
        <f t="shared" si="10"/>
        <v>2.7609072635214073E-3</v>
      </c>
      <c r="E67" s="161">
        <f t="shared" si="10"/>
        <v>2.7379329821250274E-3</v>
      </c>
      <c r="F67" s="161" t="e">
        <f t="shared" si="10"/>
        <v>#VALUE!</v>
      </c>
      <c r="G67" s="161" t="e">
        <f t="shared" si="10"/>
        <v>#VALUE!</v>
      </c>
      <c r="H67" s="161" t="e">
        <f t="shared" si="10"/>
        <v>#VALUE!</v>
      </c>
    </row>
    <row r="68" spans="1:8">
      <c r="A68" t="s">
        <v>1966</v>
      </c>
      <c r="B68" s="161">
        <f t="shared" si="10"/>
        <v>8.1967928739723212E-3</v>
      </c>
      <c r="C68" s="161">
        <f t="shared" si="10"/>
        <v>8.2253848179387953E-3</v>
      </c>
      <c r="D68" s="161">
        <f t="shared" si="10"/>
        <v>8.1411804702637893E-3</v>
      </c>
      <c r="E68" s="161">
        <f t="shared" si="10"/>
        <v>8.0807011578829108E-3</v>
      </c>
      <c r="F68" s="161" t="e">
        <f t="shared" si="10"/>
        <v>#VALUE!</v>
      </c>
      <c r="G68" s="161" t="e">
        <f t="shared" si="10"/>
        <v>#VALUE!</v>
      </c>
      <c r="H68" s="161" t="e">
        <f t="shared" si="10"/>
        <v>#VALUE!</v>
      </c>
    </row>
    <row r="69" spans="1:8">
      <c r="A69" t="s">
        <v>1967</v>
      </c>
      <c r="B69" s="161">
        <f t="shared" si="10"/>
        <v>1.6469116639981608E-2</v>
      </c>
      <c r="C69" s="161">
        <f t="shared" si="10"/>
        <v>1.6514237620251133E-2</v>
      </c>
      <c r="D69" s="161">
        <f t="shared" si="10"/>
        <v>1.6381535207981902E-2</v>
      </c>
      <c r="E69" s="161">
        <f t="shared" si="10"/>
        <v>1.6286167400610337E-2</v>
      </c>
      <c r="F69" s="161" t="e">
        <f t="shared" si="10"/>
        <v>#VALUE!</v>
      </c>
      <c r="G69" s="161" t="e">
        <f t="shared" si="10"/>
        <v>#VALUE!</v>
      </c>
      <c r="H69" s="161" t="e">
        <f t="shared" si="10"/>
        <v>#VALUE!</v>
      </c>
    </row>
    <row r="70" spans="1:8">
      <c r="A70" t="s">
        <v>1968</v>
      </c>
      <c r="B70" s="182">
        <f t="shared" si="10"/>
        <v>2.8153754774686245E-2</v>
      </c>
      <c r="C70" s="182">
        <f t="shared" si="10"/>
        <v>2.8220775908313414E-2</v>
      </c>
      <c r="D70" s="182">
        <f t="shared" si="10"/>
        <v>2.8024002406021962E-2</v>
      </c>
      <c r="E70" s="182">
        <f t="shared" si="10"/>
        <v>2.7883073592045001E-2</v>
      </c>
      <c r="F70" s="182" t="e">
        <f t="shared" si="10"/>
        <v>#VALUE!</v>
      </c>
      <c r="G70" s="182" t="e">
        <f t="shared" si="10"/>
        <v>#VALUE!</v>
      </c>
      <c r="H70" s="182" t="e">
        <f t="shared" si="10"/>
        <v>#VALUE!</v>
      </c>
    </row>
    <row r="71" spans="1:8">
      <c r="A71" t="s">
        <v>1969</v>
      </c>
      <c r="B71" s="182">
        <f t="shared" si="10"/>
        <v>4.3591956742301687E-2</v>
      </c>
      <c r="C71" s="182">
        <f t="shared" si="10"/>
        <v>4.3639011486968825E-2</v>
      </c>
      <c r="D71" s="182">
        <f t="shared" si="10"/>
        <v>4.3502132204406754E-2</v>
      </c>
      <c r="E71" s="182">
        <f t="shared" si="10"/>
        <v>4.3406202802794162E-2</v>
      </c>
      <c r="F71" s="182" t="e">
        <f t="shared" si="10"/>
        <v>#VALUE!</v>
      </c>
      <c r="G71" s="182" t="e">
        <f t="shared" si="10"/>
        <v>#VALUE!</v>
      </c>
      <c r="H71" s="182" t="e">
        <f t="shared" si="10"/>
        <v>#VALUE!</v>
      </c>
    </row>
    <row r="72" spans="1:8">
      <c r="A72" t="s">
        <v>1970</v>
      </c>
      <c r="B72" s="182">
        <f t="shared" si="10"/>
        <v>6.1085122503836811E-2</v>
      </c>
      <c r="C72" s="182">
        <f t="shared" si="10"/>
        <v>6.1128459795309939E-2</v>
      </c>
      <c r="D72" s="182">
        <f t="shared" si="10"/>
        <v>6.1003365132974607E-2</v>
      </c>
      <c r="E72" s="182">
        <f t="shared" si="10"/>
        <v>6.0917703107685059E-2</v>
      </c>
      <c r="F72" s="182" t="e">
        <f t="shared" si="10"/>
        <v>#VALUE!</v>
      </c>
      <c r="G72" s="182" t="e">
        <f t="shared" si="10"/>
        <v>#VALUE!</v>
      </c>
      <c r="H72" s="182" t="e">
        <f t="shared" si="10"/>
        <v>#VALUE!</v>
      </c>
    </row>
    <row r="73" spans="1:8">
      <c r="A73" t="s">
        <v>1971</v>
      </c>
      <c r="B73" s="182">
        <f t="shared" si="10"/>
        <v>8.8311758328050771E-2</v>
      </c>
      <c r="C73" s="182">
        <f t="shared" si="10"/>
        <v>8.8419317264150296E-2</v>
      </c>
      <c r="D73" s="182">
        <f t="shared" si="10"/>
        <v>8.8106370454050606E-2</v>
      </c>
      <c r="E73" s="182">
        <f t="shared" si="10"/>
        <v>8.7887251555878704E-2</v>
      </c>
      <c r="F73" s="182" t="e">
        <f t="shared" si="10"/>
        <v>#VALUE!</v>
      </c>
      <c r="G73" s="182" t="e">
        <f t="shared" si="10"/>
        <v>#VALUE!</v>
      </c>
      <c r="H73" s="182" t="e">
        <f t="shared" si="10"/>
        <v>#VALUE!</v>
      </c>
    </row>
    <row r="74" spans="1:8">
      <c r="A74" t="s">
        <v>1972</v>
      </c>
      <c r="B74" s="182">
        <f t="shared" si="10"/>
        <v>0.14144873586263484</v>
      </c>
      <c r="C74" s="182">
        <f t="shared" si="10"/>
        <v>0.14156931135416664</v>
      </c>
      <c r="D74" s="182">
        <f t="shared" si="10"/>
        <v>0.14122030467753519</v>
      </c>
      <c r="E74" s="182">
        <f t="shared" si="10"/>
        <v>0.14097944252944003</v>
      </c>
      <c r="F74" s="182" t="e">
        <f t="shared" si="10"/>
        <v>#VALUE!</v>
      </c>
      <c r="G74" s="182" t="e">
        <f t="shared" si="10"/>
        <v>#VALUE!</v>
      </c>
      <c r="H74" s="182" t="e">
        <f t="shared" si="10"/>
        <v>#VALUE!</v>
      </c>
    </row>
    <row r="75" spans="1:8">
      <c r="A75" t="s">
        <v>1973</v>
      </c>
      <c r="B75" s="182">
        <f t="shared" si="10"/>
        <v>0.6097632583229684</v>
      </c>
      <c r="C75" s="182">
        <f t="shared" si="10"/>
        <v>0.6092921742673012</v>
      </c>
      <c r="D75" s="182">
        <f t="shared" si="10"/>
        <v>0.61066460520906751</v>
      </c>
      <c r="E75" s="182">
        <f t="shared" si="10"/>
        <v>0.61162788546586988</v>
      </c>
      <c r="F75" s="182" t="e">
        <f t="shared" si="10"/>
        <v>#VALUE!</v>
      </c>
      <c r="G75" s="182" t="e">
        <f t="shared" si="10"/>
        <v>#VALUE!</v>
      </c>
      <c r="H75" s="182" t="e">
        <f t="shared" si="10"/>
        <v>#VALUE!</v>
      </c>
    </row>
    <row r="77" spans="1:8">
      <c r="A77" t="s">
        <v>1942</v>
      </c>
      <c r="B77" s="182">
        <f t="shared" ref="B77:H77" si="11">SUM(B66:B75)</f>
        <v>1</v>
      </c>
      <c r="C77" s="182">
        <f t="shared" si="11"/>
        <v>1</v>
      </c>
      <c r="D77" s="182">
        <f t="shared" si="11"/>
        <v>1</v>
      </c>
      <c r="E77" s="182">
        <f t="shared" si="11"/>
        <v>1</v>
      </c>
      <c r="F77" s="182" t="e">
        <f t="shared" si="11"/>
        <v>#VALUE!</v>
      </c>
      <c r="G77" s="182" t="e">
        <f t="shared" si="11"/>
        <v>#VALUE!</v>
      </c>
      <c r="H77" s="182" t="e">
        <f t="shared" si="11"/>
        <v>#VALUE!</v>
      </c>
    </row>
    <row r="79" spans="1:8">
      <c r="A79" s="157" t="s">
        <v>2463</v>
      </c>
    </row>
    <row r="80" spans="1:8">
      <c r="A80" t="s">
        <v>1964</v>
      </c>
      <c r="B80" s="161">
        <f>SUM(B$66:B66)</f>
        <v>1.974122071993189E-4</v>
      </c>
      <c r="C80" s="161">
        <f>SUM(C$66:C66)</f>
        <v>1.9834536412735411E-4</v>
      </c>
      <c r="D80" s="161">
        <f>SUM(D$66:D66)</f>
        <v>1.9559697417632533E-4</v>
      </c>
      <c r="E80" s="161">
        <f>SUM(E$66:E66)</f>
        <v>1.9363940566880758E-4</v>
      </c>
      <c r="F80" s="161" t="e">
        <f>SUM(F$66:F66)</f>
        <v>#VALUE!</v>
      </c>
      <c r="G80" s="161" t="e">
        <f>SUM(G$66:G66)</f>
        <v>#VALUE!</v>
      </c>
      <c r="H80" s="161" t="e">
        <f>SUM(H$66:H66)</f>
        <v>#VALUE!</v>
      </c>
    </row>
    <row r="81" spans="1:8">
      <c r="A81" t="s">
        <v>1965</v>
      </c>
      <c r="B81" s="161">
        <f>SUM(B$66:B67)</f>
        <v>2.9795039515672496E-3</v>
      </c>
      <c r="C81" s="161">
        <f>SUM(C$66:C67)</f>
        <v>2.9913274855997399E-3</v>
      </c>
      <c r="D81" s="161">
        <f>SUM(D$66:D67)</f>
        <v>2.9565042376977326E-3</v>
      </c>
      <c r="E81" s="161">
        <f>SUM(E$66:E67)</f>
        <v>2.9315723877938347E-3</v>
      </c>
      <c r="F81" s="161" t="e">
        <f>SUM(F$66:F67)</f>
        <v>#VALUE!</v>
      </c>
      <c r="G81" s="161" t="e">
        <f>SUM(G$66:G67)</f>
        <v>#VALUE!</v>
      </c>
      <c r="H81" s="161" t="e">
        <f>SUM(H$66:H67)</f>
        <v>#VALUE!</v>
      </c>
    </row>
    <row r="82" spans="1:8">
      <c r="A82" t="s">
        <v>1966</v>
      </c>
      <c r="B82" s="161">
        <f>SUM(B$66:B68)</f>
        <v>1.1176296825539571E-2</v>
      </c>
      <c r="C82" s="161">
        <f>SUM(C$66:C68)</f>
        <v>1.1216712303538535E-2</v>
      </c>
      <c r="D82" s="161">
        <f>SUM(D$66:D68)</f>
        <v>1.1097684707961523E-2</v>
      </c>
      <c r="E82" s="161">
        <f>SUM(E$66:E68)</f>
        <v>1.1012273545676746E-2</v>
      </c>
      <c r="F82" s="161" t="e">
        <f>SUM(F$66:F68)</f>
        <v>#VALUE!</v>
      </c>
      <c r="G82" s="161" t="e">
        <f>SUM(G$66:G68)</f>
        <v>#VALUE!</v>
      </c>
      <c r="H82" s="161" t="e">
        <f>SUM(H$66:H68)</f>
        <v>#VALUE!</v>
      </c>
    </row>
    <row r="83" spans="1:8">
      <c r="A83" t="s">
        <v>1967</v>
      </c>
      <c r="B83" s="161">
        <f>SUM(B$66:B69)</f>
        <v>2.7645413465521178E-2</v>
      </c>
      <c r="C83" s="161">
        <f>SUM(C$66:C69)</f>
        <v>2.7730949923789668E-2</v>
      </c>
      <c r="D83" s="161">
        <f>SUM(D$66:D69)</f>
        <v>2.7479219915943424E-2</v>
      </c>
      <c r="E83" s="161">
        <f>SUM(E$66:E69)</f>
        <v>2.7298440946287084E-2</v>
      </c>
      <c r="F83" s="161" t="e">
        <f>SUM(F$66:F69)</f>
        <v>#VALUE!</v>
      </c>
      <c r="G83" s="161" t="e">
        <f>SUM(G$66:G69)</f>
        <v>#VALUE!</v>
      </c>
      <c r="H83" s="161" t="e">
        <f>SUM(H$66:H69)</f>
        <v>#VALUE!</v>
      </c>
    </row>
    <row r="84" spans="1:8">
      <c r="A84" t="s">
        <v>1968</v>
      </c>
      <c r="B84" s="161">
        <f>SUM(B$66:B70)</f>
        <v>5.579916824020742E-2</v>
      </c>
      <c r="C84" s="161">
        <f>SUM(C$66:C70)</f>
        <v>5.5951725832103082E-2</v>
      </c>
      <c r="D84" s="161">
        <f>SUM(D$66:D70)</f>
        <v>5.550322232196539E-2</v>
      </c>
      <c r="E84" s="161">
        <f>SUM(E$66:E70)</f>
        <v>5.5181514538332088E-2</v>
      </c>
      <c r="F84" s="161" t="e">
        <f>SUM(F$66:F70)</f>
        <v>#VALUE!</v>
      </c>
      <c r="G84" s="161" t="e">
        <f>SUM(G$66:G70)</f>
        <v>#VALUE!</v>
      </c>
      <c r="H84" s="161" t="e">
        <f>SUM(H$66:H70)</f>
        <v>#VALUE!</v>
      </c>
    </row>
    <row r="85" spans="1:8">
      <c r="A85" t="s">
        <v>1969</v>
      </c>
      <c r="B85" s="161">
        <f>SUM(B$66:B71)</f>
        <v>9.9391124982509099E-2</v>
      </c>
      <c r="C85" s="161">
        <f>SUM(C$66:C71)</f>
        <v>9.9590737319071906E-2</v>
      </c>
      <c r="D85" s="161">
        <f>SUM(D$66:D71)</f>
        <v>9.9005354526372144E-2</v>
      </c>
      <c r="E85" s="161">
        <f>SUM(E$66:E71)</f>
        <v>9.8587717341126258E-2</v>
      </c>
      <c r="F85" s="161" t="e">
        <f>SUM(F$66:F71)</f>
        <v>#VALUE!</v>
      </c>
      <c r="G85" s="161" t="e">
        <f>SUM(G$66:G71)</f>
        <v>#VALUE!</v>
      </c>
      <c r="H85" s="161" t="e">
        <f>SUM(H$66:H71)</f>
        <v>#VALUE!</v>
      </c>
    </row>
    <row r="86" spans="1:8">
      <c r="A86" t="s">
        <v>1970</v>
      </c>
      <c r="B86" s="161">
        <f>SUM(B$66:B72)</f>
        <v>0.16047624748634592</v>
      </c>
      <c r="C86" s="161">
        <f>SUM(C$66:C72)</f>
        <v>0.16071919711438185</v>
      </c>
      <c r="D86" s="161">
        <f>SUM(D$66:D72)</f>
        <v>0.16000871965934677</v>
      </c>
      <c r="E86" s="161">
        <f>SUM(E$66:E72)</f>
        <v>0.15950542044881133</v>
      </c>
      <c r="F86" s="161" t="e">
        <f>SUM(F$66:F72)</f>
        <v>#VALUE!</v>
      </c>
      <c r="G86" s="161" t="e">
        <f>SUM(G$66:G72)</f>
        <v>#VALUE!</v>
      </c>
      <c r="H86" s="161" t="e">
        <f>SUM(H$66:H72)</f>
        <v>#VALUE!</v>
      </c>
    </row>
    <row r="87" spans="1:8">
      <c r="A87" t="s">
        <v>1971</v>
      </c>
      <c r="B87" s="161">
        <f>SUM(B$66:B73)</f>
        <v>0.2487880058143967</v>
      </c>
      <c r="C87" s="161">
        <f>SUM(C$66:C73)</f>
        <v>0.24913851437853213</v>
      </c>
      <c r="D87" s="161">
        <f>SUM(D$66:D73)</f>
        <v>0.24811509011339739</v>
      </c>
      <c r="E87" s="161">
        <f>SUM(E$66:E73)</f>
        <v>0.24739267200469003</v>
      </c>
      <c r="F87" s="161" t="e">
        <f>SUM(F$66:F73)</f>
        <v>#VALUE!</v>
      </c>
      <c r="G87" s="161" t="e">
        <f>SUM(G$66:G73)</f>
        <v>#VALUE!</v>
      </c>
      <c r="H87" s="161" t="e">
        <f>SUM(H$66:H73)</f>
        <v>#VALUE!</v>
      </c>
    </row>
    <row r="88" spans="1:8">
      <c r="A88" t="s">
        <v>1972</v>
      </c>
      <c r="B88" s="161">
        <f>SUM(B$66:B74)</f>
        <v>0.39023674167703154</v>
      </c>
      <c r="C88" s="161">
        <f>SUM(C$66:C74)</f>
        <v>0.3907078257326988</v>
      </c>
      <c r="D88" s="161">
        <f>SUM(D$66:D74)</f>
        <v>0.3893353947909326</v>
      </c>
      <c r="E88" s="161">
        <f>SUM(E$66:E74)</f>
        <v>0.38837211453413006</v>
      </c>
      <c r="F88" s="161" t="e">
        <f>SUM(F$66:F74)</f>
        <v>#VALUE!</v>
      </c>
      <c r="G88" s="161" t="e">
        <f>SUM(G$66:G74)</f>
        <v>#VALUE!</v>
      </c>
      <c r="H88" s="161" t="e">
        <f>SUM(H$66:H74)</f>
        <v>#VALUE!</v>
      </c>
    </row>
    <row r="89" spans="1:8">
      <c r="A89" t="s">
        <v>1973</v>
      </c>
      <c r="B89" s="161">
        <f>SUM(B$66:B75)</f>
        <v>1</v>
      </c>
      <c r="C89" s="161">
        <f>SUM(C$66:C75)</f>
        <v>1</v>
      </c>
      <c r="D89" s="161">
        <f>SUM(D$66:D75)</f>
        <v>1</v>
      </c>
      <c r="E89" s="161">
        <f>SUM(E$66:E75)</f>
        <v>1</v>
      </c>
      <c r="F89" s="161" t="e">
        <f>SUM(F$66:F75)</f>
        <v>#VALUE!</v>
      </c>
      <c r="G89" s="161" t="e">
        <f>SUM(G$66:G75)</f>
        <v>#VALUE!</v>
      </c>
      <c r="H89" s="161" t="e">
        <f>SUM(H$66:H75)</f>
        <v>#VALUE!</v>
      </c>
    </row>
    <row r="90" spans="1:8" ht="13.5" thickBot="1"/>
    <row r="91" spans="1:8" s="610" customFormat="1" ht="13.5" thickBot="1">
      <c r="A91" s="611" t="s">
        <v>2408</v>
      </c>
      <c r="B91" s="612">
        <f>0.5-0.1*(SUM(B80:B89)+(SUM(B80:B88)))/2</f>
        <v>0.35033100853496818</v>
      </c>
      <c r="C91" s="612">
        <f t="shared" ref="C91:H91" si="12">0.5-0.1*(SUM(C80:C89)+(SUM(C80:C88)))/2</f>
        <v>0.35017546645461572</v>
      </c>
      <c r="D91" s="612">
        <f t="shared" si="12"/>
        <v>0.35063032127522065</v>
      </c>
      <c r="E91" s="612">
        <f t="shared" si="12"/>
        <v>0.3509524634847484</v>
      </c>
      <c r="F91" s="612" t="e">
        <f t="shared" si="12"/>
        <v>#VALUE!</v>
      </c>
      <c r="G91" s="612" t="e">
        <f t="shared" si="12"/>
        <v>#VALUE!</v>
      </c>
      <c r="H91" s="612" t="e">
        <f t="shared" si="12"/>
        <v>#VALUE!</v>
      </c>
    </row>
    <row r="93" spans="1:8">
      <c r="A93" s="157" t="s">
        <v>2005</v>
      </c>
    </row>
    <row r="94" spans="1:8" ht="15">
      <c r="A94" s="159" t="s">
        <v>2406</v>
      </c>
    </row>
    <row r="95" spans="1:8">
      <c r="A95" t="s">
        <v>1964</v>
      </c>
      <c r="B95" s="15">
        <f>'HOUSEHOLD DATA'!M6</f>
        <v>20906.891</v>
      </c>
      <c r="C95" s="15">
        <f t="shared" ref="C95:H95" si="13">B95*(1+C24)</f>
        <v>22940.536013165878</v>
      </c>
      <c r="D95" s="15">
        <f t="shared" si="13"/>
        <v>22434.15538950848</v>
      </c>
      <c r="E95" s="15">
        <f t="shared" si="13"/>
        <v>22946.288766204994</v>
      </c>
      <c r="F95" s="15">
        <f t="shared" si="13"/>
        <v>0</v>
      </c>
      <c r="G95" s="15" t="e">
        <f t="shared" si="13"/>
        <v>#DIV/0!</v>
      </c>
      <c r="H95" s="15" t="e">
        <f t="shared" si="13"/>
        <v>#DIV/0!</v>
      </c>
    </row>
    <row r="96" spans="1:8">
      <c r="A96" t="s">
        <v>1965</v>
      </c>
      <c r="B96" s="15">
        <f>'HOUSEHOLD DATA'!M7</f>
        <v>47431.509999999995</v>
      </c>
      <c r="C96" s="15">
        <f t="shared" ref="C96:H104" si="14">B96*(1+C25)</f>
        <v>52023.534780841634</v>
      </c>
      <c r="D96" s="15">
        <f t="shared" si="14"/>
        <v>50899.542815849047</v>
      </c>
      <c r="E96" s="15">
        <f t="shared" si="14"/>
        <v>52064.566099205367</v>
      </c>
      <c r="F96" s="15">
        <f t="shared" si="14"/>
        <v>0</v>
      </c>
      <c r="G96" s="15" t="e">
        <f t="shared" si="14"/>
        <v>#DIV/0!</v>
      </c>
      <c r="H96" s="15" t="e">
        <f t="shared" si="14"/>
        <v>#DIV/0!</v>
      </c>
    </row>
    <row r="97" spans="1:8">
      <c r="A97" t="s">
        <v>1966</v>
      </c>
      <c r="B97" s="15">
        <f>'HOUSEHOLD DATA'!M8</f>
        <v>71015.12</v>
      </c>
      <c r="C97" s="15">
        <f t="shared" si="14"/>
        <v>77798.415434818438</v>
      </c>
      <c r="D97" s="15">
        <f t="shared" si="14"/>
        <v>76220.576360310733</v>
      </c>
      <c r="E97" s="15">
        <f t="shared" si="14"/>
        <v>77978.185327656844</v>
      </c>
      <c r="F97" s="15">
        <f t="shared" si="14"/>
        <v>0</v>
      </c>
      <c r="G97" s="15" t="e">
        <f t="shared" si="14"/>
        <v>#DIV/0!</v>
      </c>
      <c r="H97" s="15" t="e">
        <f t="shared" si="14"/>
        <v>#DIV/0!</v>
      </c>
    </row>
    <row r="98" spans="1:8">
      <c r="A98" t="s">
        <v>1967</v>
      </c>
      <c r="B98" s="15">
        <f>'HOUSEHOLD DATA'!M9</f>
        <v>98216.900000000009</v>
      </c>
      <c r="C98" s="15">
        <f t="shared" si="14"/>
        <v>107467.57174766267</v>
      </c>
      <c r="D98" s="15">
        <f t="shared" si="14"/>
        <v>105434.52058237042</v>
      </c>
      <c r="E98" s="15">
        <f t="shared" si="14"/>
        <v>107884.33012618007</v>
      </c>
      <c r="F98" s="15">
        <f t="shared" si="14"/>
        <v>0</v>
      </c>
      <c r="G98" s="15" t="e">
        <f t="shared" si="14"/>
        <v>#DIV/0!</v>
      </c>
      <c r="H98" s="15" t="e">
        <f t="shared" si="14"/>
        <v>#DIV/0!</v>
      </c>
    </row>
    <row r="99" spans="1:8">
      <c r="A99" t="s">
        <v>1968</v>
      </c>
      <c r="B99" s="15">
        <f>'HOUSEHOLD DATA'!M10</f>
        <v>129239.47</v>
      </c>
      <c r="C99" s="15">
        <f t="shared" si="14"/>
        <v>141375.68943651189</v>
      </c>
      <c r="D99" s="15">
        <f t="shared" si="14"/>
        <v>138741.84080463357</v>
      </c>
      <c r="E99" s="15">
        <f t="shared" si="14"/>
        <v>141970.70646391113</v>
      </c>
      <c r="F99" s="15">
        <f t="shared" si="14"/>
        <v>0</v>
      </c>
      <c r="G99" s="15" t="e">
        <f t="shared" si="14"/>
        <v>#DIV/0!</v>
      </c>
      <c r="H99" s="15" t="e">
        <f t="shared" si="14"/>
        <v>#DIV/0!</v>
      </c>
    </row>
    <row r="100" spans="1:8">
      <c r="A100" t="s">
        <v>1969</v>
      </c>
      <c r="B100" s="15">
        <f>'HOUSEHOLD DATA'!M11</f>
        <v>167296.16</v>
      </c>
      <c r="C100" s="15">
        <f t="shared" si="14"/>
        <v>182940.98847859638</v>
      </c>
      <c r="D100" s="15">
        <f t="shared" si="14"/>
        <v>179605.58639046093</v>
      </c>
      <c r="E100" s="15">
        <f t="shared" si="14"/>
        <v>183794.67364463161</v>
      </c>
      <c r="F100" s="15">
        <f t="shared" si="14"/>
        <v>0</v>
      </c>
      <c r="G100" s="15" t="e">
        <f t="shared" si="14"/>
        <v>#DIV/0!</v>
      </c>
      <c r="H100" s="15" t="e">
        <f t="shared" si="14"/>
        <v>#DIV/0!</v>
      </c>
    </row>
    <row r="101" spans="1:8">
      <c r="A101" t="s">
        <v>1970</v>
      </c>
      <c r="B101" s="15">
        <f>'HOUSEHOLD DATA'!M12</f>
        <v>215938.79</v>
      </c>
      <c r="C101" s="15">
        <f t="shared" si="14"/>
        <v>235949.0700268448</v>
      </c>
      <c r="D101" s="15">
        <f t="shared" si="14"/>
        <v>231852.18975063565</v>
      </c>
      <c r="E101" s="15">
        <f t="shared" si="14"/>
        <v>237285.8477938195</v>
      </c>
      <c r="F101" s="15">
        <f t="shared" si="14"/>
        <v>0</v>
      </c>
      <c r="G101" s="15" t="e">
        <f t="shared" si="14"/>
        <v>#DIV/0!</v>
      </c>
      <c r="H101" s="15" t="e">
        <f t="shared" si="14"/>
        <v>#DIV/0!</v>
      </c>
    </row>
    <row r="102" spans="1:8">
      <c r="A102" t="s">
        <v>1971</v>
      </c>
      <c r="B102" s="15">
        <f>'HOUSEHOLD DATA'!M13</f>
        <v>284740.77</v>
      </c>
      <c r="C102" s="15">
        <f t="shared" si="14"/>
        <v>311110.34047910629</v>
      </c>
      <c r="D102" s="15">
        <f t="shared" si="14"/>
        <v>305726.6701034414</v>
      </c>
      <c r="E102" s="15">
        <f t="shared" si="14"/>
        <v>312893.95633119671</v>
      </c>
      <c r="F102" s="15">
        <f t="shared" si="14"/>
        <v>6.9476414916990571E-11</v>
      </c>
      <c r="G102" s="15" t="e">
        <f t="shared" si="14"/>
        <v>#DIV/0!</v>
      </c>
      <c r="H102" s="15" t="e">
        <f t="shared" si="14"/>
        <v>#DIV/0!</v>
      </c>
    </row>
    <row r="103" spans="1:8">
      <c r="A103" t="s">
        <v>1972</v>
      </c>
      <c r="B103" s="15">
        <f>'HOUSEHOLD DATA'!M14</f>
        <v>401554.19999999995</v>
      </c>
      <c r="C103" s="15">
        <f t="shared" si="14"/>
        <v>438622.46521704562</v>
      </c>
      <c r="D103" s="15">
        <f t="shared" si="14"/>
        <v>431165.50761707191</v>
      </c>
      <c r="E103" s="15">
        <f t="shared" si="14"/>
        <v>441290.41106263746</v>
      </c>
      <c r="F103" s="15">
        <f t="shared" si="14"/>
        <v>0</v>
      </c>
      <c r="G103" s="15" t="e">
        <f t="shared" si="14"/>
        <v>#DIV/0!</v>
      </c>
      <c r="H103" s="15" t="e">
        <f t="shared" si="14"/>
        <v>#DIV/0!</v>
      </c>
    </row>
    <row r="104" spans="1:8">
      <c r="A104" t="s">
        <v>1973</v>
      </c>
      <c r="B104" s="15">
        <f>'HOUSEHOLD DATA'!M15</f>
        <v>1043177.7999999999</v>
      </c>
      <c r="C104" s="15">
        <f t="shared" si="14"/>
        <v>1139764.0164546946</v>
      </c>
      <c r="D104" s="15">
        <f t="shared" si="14"/>
        <v>1120064.7518929336</v>
      </c>
      <c r="E104" s="15">
        <f t="shared" si="14"/>
        <v>1146325.9709794314</v>
      </c>
      <c r="F104" s="15">
        <f t="shared" si="14"/>
        <v>0</v>
      </c>
      <c r="G104" s="15" t="e">
        <f t="shared" si="14"/>
        <v>#DIV/0!</v>
      </c>
      <c r="H104" s="15" t="e">
        <f t="shared" si="14"/>
        <v>#DIV/0!</v>
      </c>
    </row>
    <row r="106" spans="1:8">
      <c r="A106" t="s">
        <v>1942</v>
      </c>
      <c r="B106" s="15">
        <f t="shared" ref="B106:H106" si="15">SUM(B95:B104)</f>
        <v>2479517.611</v>
      </c>
      <c r="C106" s="15">
        <f t="shared" si="15"/>
        <v>2709992.6280692881</v>
      </c>
      <c r="D106" s="15">
        <f t="shared" si="15"/>
        <v>2662145.3417072156</v>
      </c>
      <c r="E106" s="15">
        <f t="shared" si="15"/>
        <v>2724434.9365948755</v>
      </c>
      <c r="F106" s="15">
        <f t="shared" si="15"/>
        <v>6.9476414916990571E-11</v>
      </c>
      <c r="G106" s="15" t="e">
        <f t="shared" si="15"/>
        <v>#DIV/0!</v>
      </c>
      <c r="H106" s="15" t="e">
        <f t="shared" si="15"/>
        <v>#DIV/0!</v>
      </c>
    </row>
    <row r="108" spans="1:8">
      <c r="A108" s="157" t="s">
        <v>2004</v>
      </c>
    </row>
    <row r="109" spans="1:8" ht="15">
      <c r="A109" s="159" t="s">
        <v>2406</v>
      </c>
    </row>
    <row r="110" spans="1:8">
      <c r="A110" t="s">
        <v>1964</v>
      </c>
      <c r="B110" s="161">
        <f t="shared" ref="B110:B117" si="16">B95/B$106</f>
        <v>8.4318380749746572E-3</v>
      </c>
      <c r="C110" s="161">
        <f t="shared" ref="C110:H110" si="17">C95/C$106</f>
        <v>8.465165467815193E-3</v>
      </c>
      <c r="D110" s="161">
        <f t="shared" si="17"/>
        <v>8.4270963865262175E-3</v>
      </c>
      <c r="E110" s="161">
        <f t="shared" si="17"/>
        <v>8.422402920322378E-3</v>
      </c>
      <c r="F110" s="161">
        <f t="shared" si="17"/>
        <v>0</v>
      </c>
      <c r="G110" s="161" t="e">
        <f t="shared" si="17"/>
        <v>#DIV/0!</v>
      </c>
      <c r="H110" s="161" t="e">
        <f t="shared" si="17"/>
        <v>#DIV/0!</v>
      </c>
    </row>
    <row r="111" spans="1:8">
      <c r="A111" t="s">
        <v>1965</v>
      </c>
      <c r="B111" s="161">
        <f t="shared" si="16"/>
        <v>1.9129329749293721E-2</v>
      </c>
      <c r="C111" s="161">
        <f t="shared" ref="C111:H117" si="18">C96/C$106</f>
        <v>1.9196928523715347E-2</v>
      </c>
      <c r="D111" s="161">
        <f t="shared" si="18"/>
        <v>1.9119746025289333E-2</v>
      </c>
      <c r="E111" s="161">
        <f t="shared" si="18"/>
        <v>1.9110225536998166E-2</v>
      </c>
      <c r="F111" s="161">
        <f t="shared" si="18"/>
        <v>0</v>
      </c>
      <c r="G111" s="161" t="e">
        <f t="shared" si="18"/>
        <v>#DIV/0!</v>
      </c>
      <c r="H111" s="161" t="e">
        <f t="shared" si="18"/>
        <v>#DIV/0!</v>
      </c>
    </row>
    <row r="112" spans="1:8">
      <c r="A112" t="s">
        <v>1966</v>
      </c>
      <c r="B112" s="161">
        <f t="shared" si="16"/>
        <v>2.8640699983316229E-2</v>
      </c>
      <c r="C112" s="161">
        <f t="shared" si="18"/>
        <v>2.8707980467919308E-2</v>
      </c>
      <c r="D112" s="161">
        <f t="shared" si="18"/>
        <v>2.8631260347127027E-2</v>
      </c>
      <c r="E112" s="161">
        <f t="shared" si="18"/>
        <v>2.8621782917347835E-2</v>
      </c>
      <c r="F112" s="161">
        <f t="shared" si="18"/>
        <v>0</v>
      </c>
      <c r="G112" s="161" t="e">
        <f t="shared" si="18"/>
        <v>#DIV/0!</v>
      </c>
      <c r="H112" s="161" t="e">
        <f t="shared" si="18"/>
        <v>#DIV/0!</v>
      </c>
    </row>
    <row r="113" spans="1:8">
      <c r="A113" t="s">
        <v>1967</v>
      </c>
      <c r="B113" s="161">
        <f t="shared" si="16"/>
        <v>3.9611293569473266E-2</v>
      </c>
      <c r="C113" s="161">
        <f t="shared" si="18"/>
        <v>3.9656038409310014E-2</v>
      </c>
      <c r="D113" s="161">
        <f t="shared" si="18"/>
        <v>3.9605095533497801E-2</v>
      </c>
      <c r="E113" s="161">
        <f t="shared" si="18"/>
        <v>3.9598791175765376E-2</v>
      </c>
      <c r="F113" s="161">
        <f t="shared" si="18"/>
        <v>0</v>
      </c>
      <c r="G113" s="161" t="e">
        <f t="shared" si="18"/>
        <v>#DIV/0!</v>
      </c>
      <c r="H113" s="161" t="e">
        <f t="shared" si="18"/>
        <v>#DIV/0!</v>
      </c>
    </row>
    <row r="114" spans="1:8">
      <c r="A114" t="s">
        <v>1968</v>
      </c>
      <c r="B114" s="161">
        <f t="shared" si="16"/>
        <v>5.2122828015678892E-2</v>
      </c>
      <c r="C114" s="161">
        <f t="shared" si="18"/>
        <v>5.2168292995407088E-2</v>
      </c>
      <c r="D114" s="161">
        <f t="shared" si="18"/>
        <v>5.2116553754972435E-2</v>
      </c>
      <c r="E114" s="161">
        <f t="shared" si="18"/>
        <v>5.211014752341734E-2</v>
      </c>
      <c r="F114" s="161">
        <f t="shared" si="18"/>
        <v>0</v>
      </c>
      <c r="G114" s="161" t="e">
        <f t="shared" si="18"/>
        <v>#DIV/0!</v>
      </c>
      <c r="H114" s="161" t="e">
        <f t="shared" si="18"/>
        <v>#DIV/0!</v>
      </c>
    </row>
    <row r="115" spans="1:8">
      <c r="A115" t="s">
        <v>1969</v>
      </c>
      <c r="B115" s="161">
        <f t="shared" si="16"/>
        <v>6.7471252979941027E-2</v>
      </c>
      <c r="C115" s="161">
        <f t="shared" si="18"/>
        <v>6.7506083442349138E-2</v>
      </c>
      <c r="D115" s="161">
        <f t="shared" si="18"/>
        <v>6.7466484108369945E-2</v>
      </c>
      <c r="E115" s="161">
        <f t="shared" si="18"/>
        <v>6.7461575674237481E-2</v>
      </c>
      <c r="F115" s="161">
        <f t="shared" si="18"/>
        <v>0</v>
      </c>
      <c r="G115" s="161" t="e">
        <f t="shared" si="18"/>
        <v>#DIV/0!</v>
      </c>
      <c r="H115" s="161" t="e">
        <f t="shared" si="18"/>
        <v>#DIV/0!</v>
      </c>
    </row>
    <row r="116" spans="1:8">
      <c r="A116" t="s">
        <v>1970</v>
      </c>
      <c r="B116" s="161">
        <f t="shared" si="16"/>
        <v>8.7089032577151559E-2</v>
      </c>
      <c r="C116" s="161">
        <f t="shared" si="18"/>
        <v>8.7066314344531909E-2</v>
      </c>
      <c r="D116" s="161">
        <f t="shared" si="18"/>
        <v>8.7092235768746723E-2</v>
      </c>
      <c r="E116" s="161">
        <f t="shared" si="18"/>
        <v>8.709543568340461E-2</v>
      </c>
      <c r="F116" s="161">
        <f t="shared" si="18"/>
        <v>0</v>
      </c>
      <c r="G116" s="161" t="e">
        <f t="shared" si="18"/>
        <v>#DIV/0!</v>
      </c>
      <c r="H116" s="161" t="e">
        <f t="shared" si="18"/>
        <v>#DIV/0!</v>
      </c>
    </row>
    <row r="117" spans="1:8">
      <c r="A117" t="s">
        <v>1971</v>
      </c>
      <c r="B117" s="161">
        <f t="shared" si="16"/>
        <v>0.11483716378411317</v>
      </c>
      <c r="C117" s="161">
        <f t="shared" si="18"/>
        <v>0.11480117593557967</v>
      </c>
      <c r="D117" s="161">
        <f t="shared" si="18"/>
        <v>0.11484221590522964</v>
      </c>
      <c r="E117" s="161">
        <f t="shared" si="18"/>
        <v>0.11484728525844923</v>
      </c>
      <c r="F117" s="161">
        <f t="shared" si="18"/>
        <v>1</v>
      </c>
      <c r="G117" s="161" t="e">
        <f t="shared" si="18"/>
        <v>#DIV/0!</v>
      </c>
      <c r="H117" s="161" t="e">
        <f t="shared" si="18"/>
        <v>#DIV/0!</v>
      </c>
    </row>
    <row r="118" spans="1:8">
      <c r="A118" t="s">
        <v>1972</v>
      </c>
      <c r="B118" s="161">
        <f t="shared" ref="B118:H118" si="19">B103/B$106</f>
        <v>0.16194851700934337</v>
      </c>
      <c r="C118" s="161">
        <f t="shared" si="19"/>
        <v>0.16185374848400919</v>
      </c>
      <c r="D118" s="161">
        <f t="shared" si="19"/>
        <v>0.16196167086075339</v>
      </c>
      <c r="E118" s="161">
        <f t="shared" si="19"/>
        <v>0.16197502283324211</v>
      </c>
      <c r="F118" s="161">
        <f t="shared" si="19"/>
        <v>0</v>
      </c>
      <c r="G118" s="161" t="e">
        <f t="shared" si="19"/>
        <v>#DIV/0!</v>
      </c>
      <c r="H118" s="161" t="e">
        <f t="shared" si="19"/>
        <v>#DIV/0!</v>
      </c>
    </row>
    <row r="119" spans="1:8">
      <c r="A119" t="s">
        <v>1973</v>
      </c>
      <c r="B119" s="161">
        <f t="shared" ref="B119:H119" si="20">B104/B$106</f>
        <v>0.42071804425671405</v>
      </c>
      <c r="C119" s="161">
        <f t="shared" si="20"/>
        <v>0.42057827192936315</v>
      </c>
      <c r="D119" s="161">
        <f t="shared" si="20"/>
        <v>0.42073764130948754</v>
      </c>
      <c r="E119" s="161">
        <f t="shared" si="20"/>
        <v>0.42075733047681529</v>
      </c>
      <c r="F119" s="161">
        <f t="shared" si="20"/>
        <v>0</v>
      </c>
      <c r="G119" s="161" t="e">
        <f t="shared" si="20"/>
        <v>#DIV/0!</v>
      </c>
      <c r="H119" s="161" t="e">
        <f t="shared" si="20"/>
        <v>#DIV/0!</v>
      </c>
    </row>
    <row r="121" spans="1:8">
      <c r="A121" t="s">
        <v>1942</v>
      </c>
      <c r="B121" s="182">
        <f t="shared" ref="B121:H121" si="21">SUM(B110:B119)</f>
        <v>1</v>
      </c>
      <c r="C121" s="182">
        <f t="shared" si="21"/>
        <v>1</v>
      </c>
      <c r="D121" s="182">
        <f t="shared" si="21"/>
        <v>1</v>
      </c>
      <c r="E121" s="182">
        <f t="shared" si="21"/>
        <v>0.99999999999999978</v>
      </c>
      <c r="F121" s="182">
        <f t="shared" si="21"/>
        <v>1</v>
      </c>
      <c r="G121" s="182" t="e">
        <f t="shared" si="21"/>
        <v>#DIV/0!</v>
      </c>
      <c r="H121" s="182" t="e">
        <f t="shared" si="21"/>
        <v>#DIV/0!</v>
      </c>
    </row>
    <row r="123" spans="1:8">
      <c r="A123" s="157" t="s">
        <v>2463</v>
      </c>
    </row>
    <row r="124" spans="1:8">
      <c r="A124" t="s">
        <v>1964</v>
      </c>
      <c r="B124" s="161">
        <f>SUM(B$110:B110)</f>
        <v>8.4318380749746572E-3</v>
      </c>
      <c r="C124" s="161">
        <f>SUM(C$110:C110)</f>
        <v>8.465165467815193E-3</v>
      </c>
      <c r="D124" s="161">
        <f>SUM(D$110:D110)</f>
        <v>8.4270963865262175E-3</v>
      </c>
      <c r="E124" s="161">
        <f>SUM(E$110:E110)</f>
        <v>8.422402920322378E-3</v>
      </c>
      <c r="F124" s="161">
        <f>SUM(F$110:F110)</f>
        <v>0</v>
      </c>
      <c r="G124" s="161" t="e">
        <f>SUM(G$110:G110)</f>
        <v>#DIV/0!</v>
      </c>
      <c r="H124" s="161" t="e">
        <f>SUM(H$110:H110)</f>
        <v>#DIV/0!</v>
      </c>
    </row>
    <row r="125" spans="1:8">
      <c r="A125" t="s">
        <v>1965</v>
      </c>
      <c r="B125" s="161">
        <f>SUM(B$110:B111)</f>
        <v>2.756116782426838E-2</v>
      </c>
      <c r="C125" s="161">
        <f>SUM(C$110:C111)</f>
        <v>2.766209399153054E-2</v>
      </c>
      <c r="D125" s="161">
        <f>SUM(D$110:D111)</f>
        <v>2.7546842411815549E-2</v>
      </c>
      <c r="E125" s="161">
        <f>SUM(E$110:E111)</f>
        <v>2.7532628457320546E-2</v>
      </c>
      <c r="F125" s="161">
        <f>SUM(F$110:F111)</f>
        <v>0</v>
      </c>
      <c r="G125" s="161" t="e">
        <f>SUM(G$110:G111)</f>
        <v>#DIV/0!</v>
      </c>
      <c r="H125" s="161" t="e">
        <f>SUM(H$110:H111)</f>
        <v>#DIV/0!</v>
      </c>
    </row>
    <row r="126" spans="1:8">
      <c r="A126" t="s">
        <v>1966</v>
      </c>
      <c r="B126" s="161">
        <f>SUM(B$110:B112)</f>
        <v>5.6201867807584613E-2</v>
      </c>
      <c r="C126" s="161">
        <f>SUM(C$110:C112)</f>
        <v>5.6370074459449845E-2</v>
      </c>
      <c r="D126" s="161">
        <f>SUM(D$110:D112)</f>
        <v>5.6178102758942576E-2</v>
      </c>
      <c r="E126" s="161">
        <f>SUM(E$110:E112)</f>
        <v>5.6154411374668381E-2</v>
      </c>
      <c r="F126" s="161">
        <f>SUM(F$110:F112)</f>
        <v>0</v>
      </c>
      <c r="G126" s="161" t="e">
        <f>SUM(G$110:G112)</f>
        <v>#DIV/0!</v>
      </c>
      <c r="H126" s="161" t="e">
        <f>SUM(H$110:H112)</f>
        <v>#DIV/0!</v>
      </c>
    </row>
    <row r="127" spans="1:8">
      <c r="A127" t="s">
        <v>1967</v>
      </c>
      <c r="B127" s="161">
        <f>SUM(B$110:B113)</f>
        <v>9.5813161377057879E-2</v>
      </c>
      <c r="C127" s="161">
        <f>SUM(C$110:C113)</f>
        <v>9.6026112868759866E-2</v>
      </c>
      <c r="D127" s="161">
        <f>SUM(D$110:D113)</f>
        <v>9.5783198292440377E-2</v>
      </c>
      <c r="E127" s="161">
        <f>SUM(E$110:E113)</f>
        <v>9.5753202550433764E-2</v>
      </c>
      <c r="F127" s="161">
        <f>SUM(F$110:F113)</f>
        <v>0</v>
      </c>
      <c r="G127" s="161" t="e">
        <f>SUM(G$110:G113)</f>
        <v>#DIV/0!</v>
      </c>
      <c r="H127" s="161" t="e">
        <f>SUM(H$110:H113)</f>
        <v>#DIV/0!</v>
      </c>
    </row>
    <row r="128" spans="1:8">
      <c r="A128" t="s">
        <v>1968</v>
      </c>
      <c r="B128" s="161">
        <f>SUM(B$110:B114)</f>
        <v>0.14793598939273678</v>
      </c>
      <c r="C128" s="161">
        <f>SUM(C$110:C114)</f>
        <v>0.14819440586416696</v>
      </c>
      <c r="D128" s="161">
        <f>SUM(D$110:D114)</f>
        <v>0.14789975204741282</v>
      </c>
      <c r="E128" s="161">
        <f>SUM(E$110:E114)</f>
        <v>0.1478633500738511</v>
      </c>
      <c r="F128" s="161">
        <f>SUM(F$110:F114)</f>
        <v>0</v>
      </c>
      <c r="G128" s="161" t="e">
        <f>SUM(G$110:G114)</f>
        <v>#DIV/0!</v>
      </c>
      <c r="H128" s="161" t="e">
        <f>SUM(H$110:H114)</f>
        <v>#DIV/0!</v>
      </c>
    </row>
    <row r="129" spans="1:8">
      <c r="A129" t="s">
        <v>1969</v>
      </c>
      <c r="B129" s="161">
        <f>SUM(B$110:B115)</f>
        <v>0.2154072423726778</v>
      </c>
      <c r="C129" s="161">
        <f>SUM(C$110:C115)</f>
        <v>0.21570048930651609</v>
      </c>
      <c r="D129" s="161">
        <f>SUM(D$110:D115)</f>
        <v>0.21536623615578276</v>
      </c>
      <c r="E129" s="161">
        <f>SUM(E$110:E115)</f>
        <v>0.21532492574808859</v>
      </c>
      <c r="F129" s="161">
        <f>SUM(F$110:F115)</f>
        <v>0</v>
      </c>
      <c r="G129" s="161" t="e">
        <f>SUM(G$110:G115)</f>
        <v>#DIV/0!</v>
      </c>
      <c r="H129" s="161" t="e">
        <f>SUM(H$110:H115)</f>
        <v>#DIV/0!</v>
      </c>
    </row>
    <row r="130" spans="1:8">
      <c r="A130" t="s">
        <v>1970</v>
      </c>
      <c r="B130" s="161">
        <f>SUM(B$110:B116)</f>
        <v>0.30249627494982934</v>
      </c>
      <c r="C130" s="161">
        <f>SUM(C$110:C116)</f>
        <v>0.30276680365104802</v>
      </c>
      <c r="D130" s="161">
        <f>SUM(D$110:D116)</f>
        <v>0.30245847192452946</v>
      </c>
      <c r="E130" s="161">
        <f>SUM(E$110:E116)</f>
        <v>0.3024203614314932</v>
      </c>
      <c r="F130" s="161">
        <f>SUM(F$110:F116)</f>
        <v>0</v>
      </c>
      <c r="G130" s="161" t="e">
        <f>SUM(G$110:G116)</f>
        <v>#DIV/0!</v>
      </c>
      <c r="H130" s="161" t="e">
        <f>SUM(H$110:H116)</f>
        <v>#DIV/0!</v>
      </c>
    </row>
    <row r="131" spans="1:8">
      <c r="A131" t="s">
        <v>1971</v>
      </c>
      <c r="B131" s="161">
        <f>SUM(B$110:B117)</f>
        <v>0.41733343873394252</v>
      </c>
      <c r="C131" s="161">
        <f>SUM(C$110:C117)</f>
        <v>0.41756797958662772</v>
      </c>
      <c r="D131" s="161">
        <f>SUM(D$110:D117)</f>
        <v>0.4173006878297591</v>
      </c>
      <c r="E131" s="161">
        <f>SUM(E$110:E117)</f>
        <v>0.41726764668994243</v>
      </c>
      <c r="F131" s="161">
        <f>SUM(F$110:F117)</f>
        <v>1</v>
      </c>
      <c r="G131" s="161" t="e">
        <f>SUM(G$110:G117)</f>
        <v>#DIV/0!</v>
      </c>
      <c r="H131" s="161" t="e">
        <f>SUM(H$110:H117)</f>
        <v>#DIV/0!</v>
      </c>
    </row>
    <row r="132" spans="1:8">
      <c r="A132" t="s">
        <v>1972</v>
      </c>
      <c r="B132" s="161">
        <f>SUM(B$110:B118)</f>
        <v>0.57928195574328589</v>
      </c>
      <c r="C132" s="161">
        <f>SUM(C$110:C118)</f>
        <v>0.57942172807063685</v>
      </c>
      <c r="D132" s="161">
        <f>SUM(D$110:D118)</f>
        <v>0.57926235869051246</v>
      </c>
      <c r="E132" s="161">
        <f>SUM(E$110:E118)</f>
        <v>0.57924266952318448</v>
      </c>
      <c r="F132" s="161">
        <f>SUM(F$110:F118)</f>
        <v>1</v>
      </c>
      <c r="G132" s="161" t="e">
        <f>SUM(G$110:G118)</f>
        <v>#DIV/0!</v>
      </c>
      <c r="H132" s="161" t="e">
        <f>SUM(H$110:H118)</f>
        <v>#DIV/0!</v>
      </c>
    </row>
    <row r="133" spans="1:8" s="182" customFormat="1">
      <c r="A133" s="182" t="s">
        <v>1973</v>
      </c>
      <c r="B133" s="182">
        <f>SUM(B$110:B119)</f>
        <v>1</v>
      </c>
      <c r="C133" s="182">
        <f>SUM(C$110:C119)</f>
        <v>1</v>
      </c>
      <c r="D133" s="182">
        <f>SUM(D$110:D119)</f>
        <v>1</v>
      </c>
      <c r="E133" s="182">
        <f>SUM(E$110:E119)</f>
        <v>0.99999999999999978</v>
      </c>
      <c r="F133" s="182">
        <f>SUM(F$110:F119)</f>
        <v>1</v>
      </c>
      <c r="G133" s="182" t="e">
        <f>SUM(G$110:G119)</f>
        <v>#DIV/0!</v>
      </c>
      <c r="H133" s="182" t="e">
        <f>SUM(H$110:H119)</f>
        <v>#DIV/0!</v>
      </c>
    </row>
    <row r="134" spans="1:8" ht="13.5" thickBot="1"/>
    <row r="135" spans="1:8" ht="13.5" thickBot="1">
      <c r="A135" s="611" t="s">
        <v>2407</v>
      </c>
      <c r="B135" s="612">
        <f>0.5-0.1*(SUM(B124:B133)+(SUM(B124:B132)))/2</f>
        <v>0.26495370637236415</v>
      </c>
      <c r="C135" s="612">
        <f t="shared" ref="C135:H135" si="22">0.5-0.1*(SUM(C124:C133)+(SUM(C124:C132)))/2</f>
        <v>0.26478251467334485</v>
      </c>
      <c r="D135" s="612">
        <f t="shared" si="22"/>
        <v>0.26497772535022784</v>
      </c>
      <c r="E135" s="612">
        <f t="shared" si="22"/>
        <v>0.26500184012306949</v>
      </c>
      <c r="F135" s="612">
        <f t="shared" si="22"/>
        <v>0.25</v>
      </c>
      <c r="G135" s="612" t="e">
        <f t="shared" si="22"/>
        <v>#DIV/0!</v>
      </c>
      <c r="H135" s="612" t="e">
        <f t="shared" si="22"/>
        <v>#DIV/0!</v>
      </c>
    </row>
  </sheetData>
  <pageMargins left="0.75" right="0.75" top="1" bottom="1" header="0.5" footer="0.5"/>
  <pageSetup orientation="portrait" horizontalDpi="0" verticalDpi="300" copies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/>
  <dimension ref="A1:G523"/>
  <sheetViews>
    <sheetView workbookViewId="0">
      <selection activeCell="F25" sqref="F25"/>
    </sheetView>
  </sheetViews>
  <sheetFormatPr defaultRowHeight="12.75"/>
  <cols>
    <col min="1" max="1" width="18.85546875" customWidth="1"/>
    <col min="4" max="4" width="18.7109375" customWidth="1"/>
  </cols>
  <sheetData>
    <row r="1" spans="1:7">
      <c r="A1" s="474" t="s">
        <v>2362</v>
      </c>
      <c r="B1" s="474"/>
      <c r="C1" s="474"/>
      <c r="D1" s="474"/>
      <c r="E1" s="474"/>
      <c r="F1" s="474"/>
      <c r="G1" s="94"/>
    </row>
    <row r="2" spans="1:7">
      <c r="A2" s="475"/>
      <c r="B2" s="475"/>
      <c r="C2" s="475"/>
      <c r="D2" s="475"/>
      <c r="E2" s="475"/>
      <c r="F2" s="475"/>
      <c r="G2" s="94"/>
    </row>
    <row r="3" spans="1:7">
      <c r="A3" s="476" t="s">
        <v>2363</v>
      </c>
      <c r="B3" s="477"/>
      <c r="C3" s="477"/>
      <c r="D3" s="477"/>
      <c r="E3" s="477"/>
      <c r="F3" s="477"/>
      <c r="G3" s="94"/>
    </row>
    <row r="4" spans="1:7">
      <c r="A4" s="478" t="s">
        <v>2364</v>
      </c>
      <c r="B4" s="478" t="s">
        <v>2365</v>
      </c>
      <c r="C4" s="478" t="s">
        <v>2366</v>
      </c>
      <c r="D4" s="478" t="s">
        <v>2367</v>
      </c>
      <c r="E4" s="479">
        <v>1999</v>
      </c>
      <c r="F4" s="479">
        <v>2010</v>
      </c>
      <c r="G4" s="94">
        <v>9</v>
      </c>
    </row>
    <row r="5" spans="1:7">
      <c r="A5" s="478" t="s">
        <v>2368</v>
      </c>
      <c r="B5" s="478" t="s">
        <v>2365</v>
      </c>
      <c r="C5" s="478" t="s">
        <v>2366</v>
      </c>
      <c r="D5" s="478" t="s">
        <v>2369</v>
      </c>
      <c r="E5" s="479">
        <v>1999</v>
      </c>
      <c r="F5" s="479">
        <v>2010</v>
      </c>
      <c r="G5" s="94">
        <v>9</v>
      </c>
    </row>
    <row r="6" spans="1:7">
      <c r="A6" s="31" t="s">
        <v>2370</v>
      </c>
      <c r="B6" s="65" t="s">
        <v>2365</v>
      </c>
      <c r="C6" s="478" t="s">
        <v>2366</v>
      </c>
      <c r="D6" s="31" t="s">
        <v>2371</v>
      </c>
      <c r="E6" s="479">
        <v>1999</v>
      </c>
      <c r="F6" s="479">
        <v>2010</v>
      </c>
      <c r="G6" s="94">
        <v>9</v>
      </c>
    </row>
    <row r="7" spans="1:7">
      <c r="A7" s="31" t="s">
        <v>2372</v>
      </c>
      <c r="B7" s="65" t="s">
        <v>2365</v>
      </c>
      <c r="C7" s="478" t="s">
        <v>2366</v>
      </c>
      <c r="D7" s="480" t="s">
        <v>2373</v>
      </c>
      <c r="E7" s="479">
        <v>1999</v>
      </c>
      <c r="F7" s="479">
        <v>2010</v>
      </c>
      <c r="G7" s="94">
        <v>9</v>
      </c>
    </row>
    <row r="8" spans="1:7">
      <c r="A8" s="478" t="s">
        <v>2374</v>
      </c>
      <c r="B8" s="478" t="s">
        <v>2365</v>
      </c>
      <c r="C8" s="478" t="s">
        <v>2366</v>
      </c>
      <c r="D8" s="478" t="s">
        <v>2375</v>
      </c>
      <c r="E8" s="479">
        <v>1999</v>
      </c>
      <c r="F8" s="479">
        <v>2010</v>
      </c>
      <c r="G8" s="94">
        <v>9</v>
      </c>
    </row>
    <row r="9" spans="1:7">
      <c r="A9" s="478" t="s">
        <v>2376</v>
      </c>
      <c r="B9" s="478" t="s">
        <v>2365</v>
      </c>
      <c r="C9" s="478" t="s">
        <v>2366</v>
      </c>
      <c r="D9" s="478" t="s">
        <v>2377</v>
      </c>
      <c r="E9" s="479">
        <v>1999</v>
      </c>
      <c r="F9" s="479">
        <v>2010</v>
      </c>
      <c r="G9" s="94">
        <v>9</v>
      </c>
    </row>
    <row r="10" spans="1:7">
      <c r="A10" s="478" t="s">
        <v>2378</v>
      </c>
      <c r="B10" s="478" t="s">
        <v>2365</v>
      </c>
      <c r="C10" s="478" t="s">
        <v>2366</v>
      </c>
      <c r="D10" s="478" t="s">
        <v>2379</v>
      </c>
      <c r="E10" s="479">
        <v>1999</v>
      </c>
      <c r="F10" s="479">
        <v>2010</v>
      </c>
      <c r="G10" s="94">
        <v>9</v>
      </c>
    </row>
    <row r="11" spans="1:7">
      <c r="A11" s="478" t="s">
        <v>2380</v>
      </c>
      <c r="B11" s="478" t="s">
        <v>2365</v>
      </c>
      <c r="C11" s="478" t="s">
        <v>2366</v>
      </c>
      <c r="D11" s="478" t="s">
        <v>2381</v>
      </c>
      <c r="E11" s="479">
        <v>1999</v>
      </c>
      <c r="F11" s="479">
        <v>2010</v>
      </c>
      <c r="G11" s="94">
        <v>9</v>
      </c>
    </row>
    <row r="12" spans="1:7">
      <c r="A12" s="31" t="s">
        <v>2465</v>
      </c>
      <c r="B12" s="65" t="s">
        <v>2365</v>
      </c>
      <c r="C12" s="478" t="s">
        <v>2366</v>
      </c>
      <c r="D12" s="31" t="s">
        <v>2466</v>
      </c>
      <c r="E12" s="479">
        <v>1999</v>
      </c>
      <c r="F12" s="479">
        <v>2010</v>
      </c>
      <c r="G12" s="94">
        <v>9</v>
      </c>
    </row>
    <row r="13" spans="1:7">
      <c r="A13" s="31" t="s">
        <v>1478</v>
      </c>
      <c r="B13" s="65" t="s">
        <v>2365</v>
      </c>
      <c r="C13" s="478" t="s">
        <v>2366</v>
      </c>
      <c r="D13" s="31" t="s">
        <v>2467</v>
      </c>
      <c r="E13" s="479">
        <v>1999</v>
      </c>
      <c r="F13" s="479">
        <v>2010</v>
      </c>
      <c r="G13" s="94">
        <v>9</v>
      </c>
    </row>
    <row r="14" spans="1:7">
      <c r="A14" s="478" t="s">
        <v>2468</v>
      </c>
      <c r="B14" s="478" t="s">
        <v>2365</v>
      </c>
      <c r="C14" s="478" t="s">
        <v>2366</v>
      </c>
      <c r="D14" s="478" t="s">
        <v>2469</v>
      </c>
      <c r="E14" s="479">
        <v>1999</v>
      </c>
      <c r="F14" s="479">
        <v>2010</v>
      </c>
      <c r="G14" s="94">
        <v>9</v>
      </c>
    </row>
    <row r="15" spans="1:7">
      <c r="A15" s="478" t="s">
        <v>2470</v>
      </c>
      <c r="B15" s="478" t="s">
        <v>2365</v>
      </c>
      <c r="C15" s="478" t="s">
        <v>2366</v>
      </c>
      <c r="D15" s="478" t="s">
        <v>2471</v>
      </c>
      <c r="E15" s="479">
        <v>1999</v>
      </c>
      <c r="F15" s="479">
        <v>2010</v>
      </c>
      <c r="G15" s="94">
        <v>9</v>
      </c>
    </row>
    <row r="16" spans="1:7">
      <c r="A16" s="31" t="s">
        <v>2472</v>
      </c>
      <c r="B16" s="65" t="s">
        <v>2365</v>
      </c>
      <c r="C16" s="478" t="s">
        <v>2366</v>
      </c>
      <c r="D16" s="31" t="s">
        <v>2473</v>
      </c>
      <c r="E16" s="479">
        <v>1999</v>
      </c>
      <c r="F16" s="479">
        <v>2010</v>
      </c>
      <c r="G16" s="94">
        <v>9</v>
      </c>
    </row>
    <row r="17" spans="1:7">
      <c r="A17" s="478" t="s">
        <v>2474</v>
      </c>
      <c r="B17" s="478" t="s">
        <v>2365</v>
      </c>
      <c r="C17" s="478" t="s">
        <v>2366</v>
      </c>
      <c r="D17" s="478" t="s">
        <v>2475</v>
      </c>
      <c r="E17" s="479">
        <v>1999</v>
      </c>
      <c r="F17" s="479">
        <v>2010</v>
      </c>
      <c r="G17" s="94">
        <v>9</v>
      </c>
    </row>
    <row r="18" spans="1:7">
      <c r="A18" s="31" t="s">
        <v>2476</v>
      </c>
      <c r="B18" s="31" t="s">
        <v>2365</v>
      </c>
      <c r="C18" s="478" t="s">
        <v>2366</v>
      </c>
      <c r="D18" s="31" t="s">
        <v>2477</v>
      </c>
      <c r="E18" s="481">
        <v>1999</v>
      </c>
      <c r="F18" s="479">
        <v>2010</v>
      </c>
      <c r="G18" s="94">
        <v>9</v>
      </c>
    </row>
    <row r="19" spans="1:7">
      <c r="A19" s="478" t="s">
        <v>2478</v>
      </c>
      <c r="B19" s="478" t="s">
        <v>2365</v>
      </c>
      <c r="C19" s="478" t="s">
        <v>2366</v>
      </c>
      <c r="D19" s="478" t="s">
        <v>2479</v>
      </c>
      <c r="E19" s="479">
        <v>1999</v>
      </c>
      <c r="F19" s="479">
        <v>2010</v>
      </c>
      <c r="G19" s="94">
        <v>9</v>
      </c>
    </row>
    <row r="20" spans="1:7">
      <c r="A20" s="478" t="s">
        <v>2480</v>
      </c>
      <c r="B20" s="478" t="s">
        <v>2365</v>
      </c>
      <c r="C20" s="478" t="s">
        <v>2366</v>
      </c>
      <c r="D20" s="478" t="s">
        <v>2481</v>
      </c>
      <c r="E20" s="479">
        <v>1999</v>
      </c>
      <c r="F20" s="479">
        <v>2010</v>
      </c>
      <c r="G20" s="94">
        <v>9</v>
      </c>
    </row>
    <row r="21" spans="1:7">
      <c r="A21" s="31" t="s">
        <v>2482</v>
      </c>
      <c r="B21" s="31" t="s">
        <v>2365</v>
      </c>
      <c r="C21" s="478" t="s">
        <v>2366</v>
      </c>
      <c r="D21" s="480" t="s">
        <v>2483</v>
      </c>
      <c r="E21" s="481">
        <v>1999</v>
      </c>
      <c r="F21" s="479">
        <v>2010</v>
      </c>
      <c r="G21" s="94">
        <v>9</v>
      </c>
    </row>
    <row r="22" spans="1:7">
      <c r="A22" s="31" t="s">
        <v>2484</v>
      </c>
      <c r="B22" s="31" t="s">
        <v>2365</v>
      </c>
      <c r="C22" s="478" t="s">
        <v>2366</v>
      </c>
      <c r="D22" s="480" t="s">
        <v>2485</v>
      </c>
      <c r="E22" s="481">
        <v>1999</v>
      </c>
      <c r="F22" s="479">
        <v>2010</v>
      </c>
      <c r="G22" s="94">
        <v>9</v>
      </c>
    </row>
    <row r="23" spans="1:7">
      <c r="A23" s="478" t="s">
        <v>2486</v>
      </c>
      <c r="B23" s="478" t="s">
        <v>2365</v>
      </c>
      <c r="C23" s="478" t="s">
        <v>2366</v>
      </c>
      <c r="D23" s="478" t="s">
        <v>2487</v>
      </c>
      <c r="E23" s="479">
        <v>1999</v>
      </c>
      <c r="F23" s="479">
        <v>2010</v>
      </c>
      <c r="G23" s="94">
        <v>9</v>
      </c>
    </row>
    <row r="24" spans="1:7">
      <c r="A24" s="478" t="s">
        <v>2488</v>
      </c>
      <c r="B24" s="478" t="s">
        <v>2365</v>
      </c>
      <c r="C24" s="478" t="s">
        <v>2366</v>
      </c>
      <c r="D24" s="478" t="s">
        <v>2489</v>
      </c>
      <c r="E24" s="479">
        <v>1999</v>
      </c>
      <c r="F24" s="479">
        <v>2010</v>
      </c>
      <c r="G24" s="94">
        <v>9</v>
      </c>
    </row>
    <row r="25" spans="1:7">
      <c r="A25" s="31" t="s">
        <v>2490</v>
      </c>
      <c r="B25" s="31" t="s">
        <v>2365</v>
      </c>
      <c r="C25" s="478" t="s">
        <v>2366</v>
      </c>
      <c r="D25" s="480" t="s">
        <v>2491</v>
      </c>
      <c r="E25" s="481">
        <v>1999</v>
      </c>
      <c r="F25" s="479">
        <v>2010</v>
      </c>
      <c r="G25" s="94">
        <v>9</v>
      </c>
    </row>
    <row r="26" spans="1:7">
      <c r="A26" s="482" t="s">
        <v>2492</v>
      </c>
      <c r="B26" s="478" t="s">
        <v>2365</v>
      </c>
      <c r="C26" s="478" t="s">
        <v>2366</v>
      </c>
      <c r="D26" s="478" t="s">
        <v>2493</v>
      </c>
      <c r="E26" s="479">
        <v>1999</v>
      </c>
      <c r="F26" s="479">
        <v>2010</v>
      </c>
      <c r="G26" s="94">
        <v>9</v>
      </c>
    </row>
    <row r="27" spans="1:7">
      <c r="A27" s="31" t="s">
        <v>2494</v>
      </c>
      <c r="B27" s="31" t="s">
        <v>2365</v>
      </c>
      <c r="C27" s="478" t="s">
        <v>2366</v>
      </c>
      <c r="D27" s="480" t="s">
        <v>2495</v>
      </c>
      <c r="E27" s="481">
        <v>1999</v>
      </c>
      <c r="F27" s="479">
        <v>2010</v>
      </c>
      <c r="G27" s="94">
        <v>9</v>
      </c>
    </row>
    <row r="28" spans="1:7">
      <c r="A28" s="31" t="s">
        <v>2496</v>
      </c>
      <c r="B28" s="31" t="s">
        <v>2365</v>
      </c>
      <c r="C28" s="478" t="s">
        <v>2366</v>
      </c>
      <c r="D28" s="31" t="s">
        <v>2497</v>
      </c>
      <c r="E28" s="481">
        <v>1999</v>
      </c>
      <c r="F28" s="479">
        <v>2010</v>
      </c>
      <c r="G28" s="94">
        <v>9</v>
      </c>
    </row>
    <row r="29" spans="1:7">
      <c r="A29" s="31" t="s">
        <v>2498</v>
      </c>
      <c r="B29" s="31" t="s">
        <v>2365</v>
      </c>
      <c r="C29" s="478" t="s">
        <v>2366</v>
      </c>
      <c r="D29" s="480" t="s">
        <v>2499</v>
      </c>
      <c r="E29" s="481">
        <v>1999</v>
      </c>
      <c r="F29" s="479">
        <v>2010</v>
      </c>
      <c r="G29" s="94">
        <v>9</v>
      </c>
    </row>
    <row r="30" spans="1:7">
      <c r="A30" s="478" t="s">
        <v>2500</v>
      </c>
      <c r="B30" s="478" t="s">
        <v>2365</v>
      </c>
      <c r="C30" s="478" t="s">
        <v>2366</v>
      </c>
      <c r="D30" s="483" t="s">
        <v>2501</v>
      </c>
      <c r="E30" s="479">
        <v>1999</v>
      </c>
      <c r="F30" s="479">
        <v>2010</v>
      </c>
      <c r="G30" s="94">
        <v>9</v>
      </c>
    </row>
    <row r="31" spans="1:7">
      <c r="A31" s="65"/>
      <c r="B31" s="65"/>
      <c r="C31" s="65"/>
      <c r="D31" s="65"/>
      <c r="E31" s="65"/>
      <c r="F31" s="65"/>
      <c r="G31" s="94"/>
    </row>
    <row r="32" spans="1:7">
      <c r="A32" s="478" t="s">
        <v>2502</v>
      </c>
      <c r="B32" s="478" t="s">
        <v>2365</v>
      </c>
      <c r="C32" s="478" t="s">
        <v>2366</v>
      </c>
      <c r="D32" s="478" t="s">
        <v>2503</v>
      </c>
      <c r="E32" s="479">
        <v>1999</v>
      </c>
      <c r="F32" s="479">
        <v>2010</v>
      </c>
      <c r="G32" s="94">
        <v>9</v>
      </c>
    </row>
    <row r="33" spans="1:7">
      <c r="A33" s="31" t="s">
        <v>2504</v>
      </c>
      <c r="B33" s="31" t="s">
        <v>2365</v>
      </c>
      <c r="C33" s="478" t="s">
        <v>2366</v>
      </c>
      <c r="D33" s="480" t="s">
        <v>2505</v>
      </c>
      <c r="E33" s="481">
        <v>1999</v>
      </c>
      <c r="F33" s="479">
        <v>2010</v>
      </c>
      <c r="G33" s="94">
        <v>9</v>
      </c>
    </row>
    <row r="34" spans="1:7">
      <c r="A34" s="31" t="s">
        <v>2506</v>
      </c>
      <c r="B34" s="65" t="s">
        <v>2365</v>
      </c>
      <c r="C34" s="478" t="s">
        <v>2366</v>
      </c>
      <c r="D34" s="484" t="s">
        <v>2507</v>
      </c>
      <c r="E34" s="479">
        <v>1999</v>
      </c>
      <c r="F34" s="479">
        <v>2010</v>
      </c>
      <c r="G34" s="94">
        <v>9</v>
      </c>
    </row>
    <row r="35" spans="1:7">
      <c r="A35" s="65"/>
      <c r="B35" s="65"/>
      <c r="C35" s="65"/>
      <c r="D35" s="65"/>
      <c r="E35" s="65"/>
      <c r="F35" s="65"/>
      <c r="G35" s="94"/>
    </row>
    <row r="36" spans="1:7">
      <c r="A36" s="478" t="s">
        <v>2508</v>
      </c>
      <c r="B36" s="478" t="s">
        <v>2365</v>
      </c>
      <c r="C36" s="478" t="s">
        <v>2366</v>
      </c>
      <c r="D36" s="483" t="s">
        <v>2509</v>
      </c>
      <c r="E36" s="479">
        <v>1999</v>
      </c>
      <c r="F36" s="479">
        <v>2010</v>
      </c>
      <c r="G36" s="94">
        <v>9</v>
      </c>
    </row>
    <row r="37" spans="1:7">
      <c r="A37" s="478" t="s">
        <v>2510</v>
      </c>
      <c r="B37" s="478" t="s">
        <v>2365</v>
      </c>
      <c r="C37" s="478" t="s">
        <v>2366</v>
      </c>
      <c r="D37" s="478" t="s">
        <v>2511</v>
      </c>
      <c r="E37" s="479">
        <v>1999</v>
      </c>
      <c r="F37" s="479">
        <v>2010</v>
      </c>
      <c r="G37" s="94">
        <v>9</v>
      </c>
    </row>
    <row r="38" spans="1:7">
      <c r="A38" s="31" t="s">
        <v>2512</v>
      </c>
      <c r="B38" s="65" t="s">
        <v>2365</v>
      </c>
      <c r="C38" s="478" t="s">
        <v>2366</v>
      </c>
      <c r="D38" s="31" t="s">
        <v>2513</v>
      </c>
      <c r="E38" s="479">
        <v>1999</v>
      </c>
      <c r="F38" s="479">
        <v>2010</v>
      </c>
      <c r="G38" s="94">
        <v>9</v>
      </c>
    </row>
    <row r="39" spans="1:7">
      <c r="A39" s="31" t="s">
        <v>2514</v>
      </c>
      <c r="B39" s="31" t="s">
        <v>2365</v>
      </c>
      <c r="C39" s="478" t="s">
        <v>2366</v>
      </c>
      <c r="D39" s="480" t="s">
        <v>2515</v>
      </c>
      <c r="E39" s="481">
        <v>1999</v>
      </c>
      <c r="F39" s="479">
        <v>2010</v>
      </c>
      <c r="G39" s="94">
        <v>9</v>
      </c>
    </row>
    <row r="40" spans="1:7">
      <c r="A40" s="31" t="s">
        <v>2516</v>
      </c>
      <c r="B40" s="31" t="s">
        <v>2365</v>
      </c>
      <c r="C40" s="478" t="s">
        <v>2366</v>
      </c>
      <c r="D40" s="480" t="s">
        <v>2517</v>
      </c>
      <c r="E40" s="481">
        <v>1999</v>
      </c>
      <c r="F40" s="479">
        <v>2010</v>
      </c>
      <c r="G40" s="94">
        <v>9</v>
      </c>
    </row>
    <row r="41" spans="1:7">
      <c r="A41" s="31" t="s">
        <v>2518</v>
      </c>
      <c r="B41" s="65" t="s">
        <v>2365</v>
      </c>
      <c r="C41" s="478" t="s">
        <v>2366</v>
      </c>
      <c r="D41" s="480" t="s">
        <v>2519</v>
      </c>
      <c r="E41" s="479">
        <v>1999</v>
      </c>
      <c r="F41" s="479">
        <v>2010</v>
      </c>
      <c r="G41" s="94">
        <v>9</v>
      </c>
    </row>
    <row r="42" spans="1:7">
      <c r="A42" s="31" t="s">
        <v>2520</v>
      </c>
      <c r="B42" s="65" t="s">
        <v>2365</v>
      </c>
      <c r="C42" s="478" t="s">
        <v>2366</v>
      </c>
      <c r="D42" s="485" t="s">
        <v>2521</v>
      </c>
      <c r="E42" s="479">
        <v>1999</v>
      </c>
      <c r="F42" s="479">
        <v>2010</v>
      </c>
      <c r="G42" s="94">
        <v>9</v>
      </c>
    </row>
    <row r="43" spans="1:7">
      <c r="A43" s="31" t="s">
        <v>2522</v>
      </c>
      <c r="B43" s="65" t="s">
        <v>2365</v>
      </c>
      <c r="C43" s="478" t="s">
        <v>2366</v>
      </c>
      <c r="D43" s="485" t="s">
        <v>2523</v>
      </c>
      <c r="E43" s="479">
        <v>1999</v>
      </c>
      <c r="F43" s="479">
        <v>2010</v>
      </c>
      <c r="G43" s="94">
        <v>9</v>
      </c>
    </row>
    <row r="44" spans="1:7">
      <c r="A44" s="65"/>
      <c r="B44" s="65"/>
      <c r="C44" s="65"/>
      <c r="D44" s="65"/>
      <c r="E44" s="65"/>
      <c r="F44" s="65"/>
      <c r="G44" s="94"/>
    </row>
    <row r="45" spans="1:7">
      <c r="A45" s="31" t="s">
        <v>2524</v>
      </c>
      <c r="B45" s="65" t="s">
        <v>2365</v>
      </c>
      <c r="C45" s="478" t="s">
        <v>2366</v>
      </c>
      <c r="D45" t="s">
        <v>2525</v>
      </c>
      <c r="E45" s="479">
        <v>1999</v>
      </c>
      <c r="F45" s="479">
        <v>2010</v>
      </c>
      <c r="G45" s="94">
        <v>9</v>
      </c>
    </row>
    <row r="46" spans="1:7">
      <c r="A46" s="482" t="s">
        <v>2526</v>
      </c>
      <c r="B46" s="65" t="s">
        <v>2365</v>
      </c>
      <c r="C46" s="478" t="s">
        <v>2366</v>
      </c>
      <c r="D46" s="482" t="s">
        <v>2527</v>
      </c>
      <c r="E46" s="479">
        <v>1999</v>
      </c>
      <c r="F46" s="479">
        <v>2010</v>
      </c>
      <c r="G46" s="94">
        <v>9</v>
      </c>
    </row>
    <row r="47" spans="1:7">
      <c r="A47" s="65"/>
      <c r="B47" s="65"/>
      <c r="C47" s="65"/>
      <c r="D47" s="65"/>
      <c r="E47" s="65"/>
      <c r="F47" s="65"/>
      <c r="G47" s="94"/>
    </row>
    <row r="48" spans="1:7">
      <c r="A48" s="476" t="s">
        <v>2528</v>
      </c>
      <c r="B48" s="31"/>
      <c r="C48" s="478"/>
      <c r="D48" s="31"/>
      <c r="E48" s="65"/>
      <c r="F48" s="65"/>
      <c r="G48" s="94"/>
    </row>
    <row r="49" spans="1:7">
      <c r="A49" s="31" t="s">
        <v>2529</v>
      </c>
      <c r="B49" s="31" t="s">
        <v>2365</v>
      </c>
      <c r="C49" s="478" t="s">
        <v>2366</v>
      </c>
      <c r="D49" s="31" t="s">
        <v>2530</v>
      </c>
      <c r="E49" s="481">
        <v>1999</v>
      </c>
      <c r="F49" s="479">
        <v>2010</v>
      </c>
      <c r="G49" s="94">
        <v>6</v>
      </c>
    </row>
    <row r="50" spans="1:7">
      <c r="A50" s="31" t="s">
        <v>2531</v>
      </c>
      <c r="B50" s="31" t="s">
        <v>2365</v>
      </c>
      <c r="C50" s="478" t="s">
        <v>2366</v>
      </c>
      <c r="D50" s="31" t="s">
        <v>2532</v>
      </c>
      <c r="E50" s="481">
        <v>1999</v>
      </c>
      <c r="F50" s="479">
        <v>2010</v>
      </c>
      <c r="G50" s="94">
        <v>0</v>
      </c>
    </row>
    <row r="51" spans="1:7">
      <c r="A51" s="31" t="s">
        <v>2533</v>
      </c>
      <c r="B51" s="31" t="s">
        <v>2365</v>
      </c>
      <c r="C51" s="478" t="s">
        <v>2366</v>
      </c>
      <c r="D51" s="31" t="s">
        <v>2534</v>
      </c>
      <c r="E51" s="481">
        <v>1999</v>
      </c>
      <c r="F51" s="479">
        <v>2010</v>
      </c>
      <c r="G51" s="94">
        <v>0</v>
      </c>
    </row>
    <row r="52" spans="1:7">
      <c r="A52" s="31"/>
      <c r="B52" s="31"/>
      <c r="C52" s="478"/>
      <c r="D52" s="31"/>
      <c r="E52" s="481"/>
      <c r="F52" s="479"/>
      <c r="G52" s="94"/>
    </row>
    <row r="53" spans="1:7">
      <c r="A53" s="476" t="s">
        <v>2535</v>
      </c>
      <c r="B53" s="477"/>
      <c r="C53" s="477"/>
      <c r="D53" s="477"/>
      <c r="E53" s="478"/>
      <c r="F53" s="478"/>
      <c r="G53" s="94"/>
    </row>
    <row r="54" spans="1:7">
      <c r="A54" s="478" t="s">
        <v>2536</v>
      </c>
      <c r="B54" s="478" t="s">
        <v>2365</v>
      </c>
      <c r="C54" s="478" t="s">
        <v>2366</v>
      </c>
      <c r="D54" s="478" t="s">
        <v>2537</v>
      </c>
      <c r="E54" s="479">
        <v>1999</v>
      </c>
      <c r="F54" s="479">
        <v>2010</v>
      </c>
      <c r="G54" s="94">
        <v>9</v>
      </c>
    </row>
    <row r="55" spans="1:7">
      <c r="A55" s="31" t="s">
        <v>2538</v>
      </c>
      <c r="B55" s="65" t="s">
        <v>2365</v>
      </c>
      <c r="C55" s="478" t="s">
        <v>2366</v>
      </c>
      <c r="D55" s="31" t="s">
        <v>2539</v>
      </c>
      <c r="E55" s="479">
        <v>1999</v>
      </c>
      <c r="F55" s="479">
        <v>2010</v>
      </c>
      <c r="G55" s="94">
        <v>9</v>
      </c>
    </row>
    <row r="56" spans="1:7">
      <c r="A56" s="478" t="s">
        <v>2540</v>
      </c>
      <c r="B56" s="478" t="s">
        <v>2365</v>
      </c>
      <c r="C56" s="478" t="s">
        <v>2366</v>
      </c>
      <c r="D56" s="478" t="s">
        <v>2541</v>
      </c>
      <c r="E56" s="479">
        <v>1999</v>
      </c>
      <c r="F56" s="479">
        <v>2010</v>
      </c>
      <c r="G56" s="94">
        <v>9</v>
      </c>
    </row>
    <row r="57" spans="1:7">
      <c r="A57" s="478" t="s">
        <v>2542</v>
      </c>
      <c r="B57" s="478" t="s">
        <v>2365</v>
      </c>
      <c r="C57" s="478" t="s">
        <v>2366</v>
      </c>
      <c r="D57" s="478" t="s">
        <v>2543</v>
      </c>
      <c r="E57" s="479">
        <v>1999</v>
      </c>
      <c r="F57" s="479">
        <v>2010</v>
      </c>
      <c r="G57" s="94">
        <v>9</v>
      </c>
    </row>
    <row r="58" spans="1:7">
      <c r="A58" s="478" t="s">
        <v>2544</v>
      </c>
      <c r="B58" s="478" t="s">
        <v>2365</v>
      </c>
      <c r="C58" s="478" t="s">
        <v>2366</v>
      </c>
      <c r="D58" s="478" t="s">
        <v>2545</v>
      </c>
      <c r="E58" s="479">
        <v>1999</v>
      </c>
      <c r="F58" s="479">
        <v>2010</v>
      </c>
      <c r="G58" s="94">
        <v>9</v>
      </c>
    </row>
    <row r="59" spans="1:7">
      <c r="A59" s="478" t="s">
        <v>2546</v>
      </c>
      <c r="B59" s="478" t="s">
        <v>2365</v>
      </c>
      <c r="C59" s="478" t="s">
        <v>2366</v>
      </c>
      <c r="D59" s="478" t="s">
        <v>2547</v>
      </c>
      <c r="E59" s="479">
        <v>1999</v>
      </c>
      <c r="F59" s="479">
        <v>2010</v>
      </c>
      <c r="G59" s="94">
        <v>9</v>
      </c>
    </row>
    <row r="60" spans="1:7">
      <c r="A60" s="31" t="s">
        <v>2465</v>
      </c>
      <c r="B60" s="65" t="s">
        <v>2365</v>
      </c>
      <c r="C60" s="478" t="s">
        <v>2366</v>
      </c>
      <c r="D60" s="31" t="s">
        <v>2549</v>
      </c>
      <c r="E60" s="479">
        <v>1999</v>
      </c>
      <c r="F60" s="479">
        <v>2010</v>
      </c>
      <c r="G60" s="94">
        <v>9</v>
      </c>
    </row>
    <row r="61" spans="1:7">
      <c r="A61" s="31" t="s">
        <v>1478</v>
      </c>
      <c r="B61" s="65" t="s">
        <v>2365</v>
      </c>
      <c r="C61" s="478" t="s">
        <v>2366</v>
      </c>
      <c r="D61" s="31" t="s">
        <v>2550</v>
      </c>
      <c r="E61" s="479">
        <v>1999</v>
      </c>
      <c r="F61" s="479">
        <v>2010</v>
      </c>
      <c r="G61" s="94">
        <v>9</v>
      </c>
    </row>
    <row r="62" spans="1:7">
      <c r="A62" s="478" t="s">
        <v>2551</v>
      </c>
      <c r="B62" s="478" t="s">
        <v>2365</v>
      </c>
      <c r="C62" s="478" t="s">
        <v>2366</v>
      </c>
      <c r="D62" s="478" t="s">
        <v>2552</v>
      </c>
      <c r="E62" s="479">
        <v>1999</v>
      </c>
      <c r="F62" s="479">
        <v>2010</v>
      </c>
      <c r="G62" s="94">
        <v>9</v>
      </c>
    </row>
    <row r="63" spans="1:7">
      <c r="A63" s="478" t="s">
        <v>2553</v>
      </c>
      <c r="B63" s="478" t="s">
        <v>2365</v>
      </c>
      <c r="C63" s="478" t="s">
        <v>2366</v>
      </c>
      <c r="D63" s="478" t="s">
        <v>2554</v>
      </c>
      <c r="E63" s="479">
        <v>1999</v>
      </c>
      <c r="F63" s="479">
        <v>2010</v>
      </c>
      <c r="G63" s="94">
        <v>9</v>
      </c>
    </row>
    <row r="64" spans="1:7">
      <c r="A64" s="31" t="s">
        <v>2472</v>
      </c>
      <c r="B64" s="65" t="s">
        <v>2365</v>
      </c>
      <c r="C64" s="478" t="s">
        <v>2366</v>
      </c>
      <c r="D64" s="31" t="s">
        <v>2555</v>
      </c>
      <c r="E64" s="479">
        <v>1999</v>
      </c>
      <c r="F64" s="479">
        <v>2010</v>
      </c>
      <c r="G64" s="94">
        <v>9</v>
      </c>
    </row>
    <row r="65" spans="1:7">
      <c r="A65" s="482" t="s">
        <v>0</v>
      </c>
      <c r="B65" s="65" t="s">
        <v>2365</v>
      </c>
      <c r="C65" s="478" t="s">
        <v>2366</v>
      </c>
      <c r="D65" s="31" t="s">
        <v>1</v>
      </c>
      <c r="E65" s="479">
        <v>1999</v>
      </c>
      <c r="F65" s="479">
        <v>2010</v>
      </c>
      <c r="G65" s="94">
        <v>9</v>
      </c>
    </row>
    <row r="66" spans="1:7">
      <c r="A66" s="482" t="s">
        <v>2</v>
      </c>
      <c r="B66" s="31" t="s">
        <v>2365</v>
      </c>
      <c r="C66" s="478" t="s">
        <v>2366</v>
      </c>
      <c r="D66" s="480" t="s">
        <v>3</v>
      </c>
      <c r="E66" s="481">
        <v>1999</v>
      </c>
      <c r="F66" s="479">
        <v>2010</v>
      </c>
      <c r="G66" s="94">
        <v>9</v>
      </c>
    </row>
    <row r="67" spans="1:7">
      <c r="A67" s="482" t="s">
        <v>4</v>
      </c>
      <c r="B67" s="478" t="s">
        <v>2365</v>
      </c>
      <c r="C67" s="478" t="s">
        <v>2366</v>
      </c>
      <c r="D67" s="478" t="s">
        <v>5</v>
      </c>
      <c r="E67" s="479">
        <v>1999</v>
      </c>
      <c r="F67" s="479">
        <v>2010</v>
      </c>
      <c r="G67" s="94">
        <v>9</v>
      </c>
    </row>
    <row r="68" spans="1:7">
      <c r="A68" s="482" t="s">
        <v>6</v>
      </c>
      <c r="B68" s="31" t="s">
        <v>2365</v>
      </c>
      <c r="C68" s="478" t="s">
        <v>2366</v>
      </c>
      <c r="D68" s="31" t="s">
        <v>7</v>
      </c>
      <c r="E68" s="481">
        <v>1999</v>
      </c>
      <c r="F68" s="479">
        <v>2010</v>
      </c>
      <c r="G68" s="94">
        <v>9</v>
      </c>
    </row>
    <row r="69" spans="1:7">
      <c r="A69" s="482" t="s">
        <v>151</v>
      </c>
      <c r="B69" s="65" t="s">
        <v>2365</v>
      </c>
      <c r="C69" s="478" t="s">
        <v>2366</v>
      </c>
      <c r="D69" s="480" t="s">
        <v>152</v>
      </c>
      <c r="E69" s="479">
        <v>1999</v>
      </c>
      <c r="F69" s="479">
        <v>2010</v>
      </c>
      <c r="G69" s="94">
        <v>9</v>
      </c>
    </row>
    <row r="70" spans="1:7">
      <c r="A70" s="482" t="s">
        <v>153</v>
      </c>
      <c r="B70" s="31" t="s">
        <v>2365</v>
      </c>
      <c r="C70" s="478" t="s">
        <v>2366</v>
      </c>
      <c r="D70" s="31" t="s">
        <v>154</v>
      </c>
      <c r="E70" s="481">
        <v>1999</v>
      </c>
      <c r="F70" s="479">
        <v>2010</v>
      </c>
      <c r="G70" s="94">
        <v>9</v>
      </c>
    </row>
    <row r="71" spans="1:7">
      <c r="A71" s="478" t="s">
        <v>155</v>
      </c>
      <c r="B71" s="478" t="s">
        <v>2365</v>
      </c>
      <c r="C71" s="478" t="s">
        <v>2366</v>
      </c>
      <c r="D71" s="478" t="s">
        <v>156</v>
      </c>
      <c r="E71" s="479">
        <v>1999</v>
      </c>
      <c r="F71" s="479">
        <v>2010</v>
      </c>
      <c r="G71" s="94">
        <v>9</v>
      </c>
    </row>
    <row r="72" spans="1:7">
      <c r="A72" s="478" t="s">
        <v>157</v>
      </c>
      <c r="B72" s="478" t="s">
        <v>2365</v>
      </c>
      <c r="C72" s="478" t="s">
        <v>2366</v>
      </c>
      <c r="D72" s="478" t="s">
        <v>158</v>
      </c>
      <c r="E72" s="479">
        <v>1999</v>
      </c>
      <c r="F72" s="479">
        <v>2010</v>
      </c>
      <c r="G72" s="94">
        <v>9</v>
      </c>
    </row>
    <row r="73" spans="1:7">
      <c r="A73" s="31" t="s">
        <v>159</v>
      </c>
      <c r="B73" s="31" t="s">
        <v>2365</v>
      </c>
      <c r="C73" s="478" t="s">
        <v>2366</v>
      </c>
      <c r="D73" s="480" t="s">
        <v>160</v>
      </c>
      <c r="E73" s="481">
        <v>1999</v>
      </c>
      <c r="F73" s="479">
        <v>2010</v>
      </c>
      <c r="G73" s="94">
        <v>9</v>
      </c>
    </row>
    <row r="74" spans="1:7">
      <c r="A74" s="482" t="s">
        <v>161</v>
      </c>
      <c r="B74" s="478" t="s">
        <v>2365</v>
      </c>
      <c r="C74" s="478" t="s">
        <v>2366</v>
      </c>
      <c r="D74" s="478" t="s">
        <v>162</v>
      </c>
      <c r="E74" s="479">
        <v>1999</v>
      </c>
      <c r="F74" s="479">
        <v>2010</v>
      </c>
      <c r="G74" s="94">
        <v>9</v>
      </c>
    </row>
    <row r="75" spans="1:7">
      <c r="A75" s="31" t="s">
        <v>163</v>
      </c>
      <c r="B75" s="31" t="s">
        <v>2365</v>
      </c>
      <c r="C75" s="478" t="s">
        <v>2366</v>
      </c>
      <c r="D75" s="31" t="s">
        <v>164</v>
      </c>
      <c r="E75" s="481">
        <v>1999</v>
      </c>
      <c r="F75" s="479">
        <v>2010</v>
      </c>
      <c r="G75" s="94">
        <v>9</v>
      </c>
    </row>
    <row r="76" spans="1:7">
      <c r="A76" s="31" t="s">
        <v>165</v>
      </c>
      <c r="B76" s="31" t="s">
        <v>2365</v>
      </c>
      <c r="C76" s="478" t="s">
        <v>2366</v>
      </c>
      <c r="D76" s="31" t="s">
        <v>166</v>
      </c>
      <c r="E76" s="481">
        <v>1999</v>
      </c>
      <c r="F76" s="479">
        <v>2010</v>
      </c>
      <c r="G76" s="94">
        <v>9</v>
      </c>
    </row>
    <row r="77" spans="1:7">
      <c r="A77" s="31" t="s">
        <v>167</v>
      </c>
      <c r="B77" s="31" t="s">
        <v>2365</v>
      </c>
      <c r="C77" s="478" t="s">
        <v>2366</v>
      </c>
      <c r="D77" s="31" t="s">
        <v>168</v>
      </c>
      <c r="E77" s="481">
        <v>1999</v>
      </c>
      <c r="F77" s="479">
        <v>2010</v>
      </c>
      <c r="G77" s="94">
        <v>9</v>
      </c>
    </row>
    <row r="78" spans="1:7">
      <c r="A78" s="478" t="s">
        <v>169</v>
      </c>
      <c r="B78" s="478" t="s">
        <v>2365</v>
      </c>
      <c r="C78" s="478" t="s">
        <v>2366</v>
      </c>
      <c r="D78" s="483" t="s">
        <v>170</v>
      </c>
      <c r="E78" s="479">
        <v>1999</v>
      </c>
      <c r="F78" s="479">
        <v>2010</v>
      </c>
      <c r="G78" s="94">
        <v>9</v>
      </c>
    </row>
    <row r="79" spans="1:7">
      <c r="A79" s="482" t="s">
        <v>171</v>
      </c>
      <c r="B79" s="478" t="s">
        <v>2365</v>
      </c>
      <c r="C79" s="478" t="s">
        <v>2366</v>
      </c>
      <c r="D79" s="478" t="s">
        <v>172</v>
      </c>
      <c r="E79" s="479">
        <v>1999</v>
      </c>
      <c r="F79" s="479">
        <v>2010</v>
      </c>
      <c r="G79" s="94">
        <v>9</v>
      </c>
    </row>
    <row r="80" spans="1:7">
      <c r="A80" s="31" t="s">
        <v>173</v>
      </c>
      <c r="B80" s="65" t="s">
        <v>2365</v>
      </c>
      <c r="C80" s="478" t="s">
        <v>2366</v>
      </c>
      <c r="D80" s="485" t="s">
        <v>174</v>
      </c>
      <c r="E80" s="479">
        <v>1999</v>
      </c>
      <c r="F80" s="479">
        <v>2010</v>
      </c>
      <c r="G80" s="94">
        <v>9</v>
      </c>
    </row>
    <row r="81" spans="1:7">
      <c r="A81" s="31" t="s">
        <v>2506</v>
      </c>
      <c r="B81" s="65" t="s">
        <v>2365</v>
      </c>
      <c r="C81" s="478" t="s">
        <v>2366</v>
      </c>
      <c r="D81" s="485" t="s">
        <v>175</v>
      </c>
      <c r="E81" s="479">
        <v>1999</v>
      </c>
      <c r="F81" s="479">
        <v>2010</v>
      </c>
      <c r="G81" s="94">
        <v>9</v>
      </c>
    </row>
    <row r="82" spans="1:7">
      <c r="A82" s="31"/>
      <c r="B82" s="65"/>
      <c r="C82" s="478"/>
      <c r="E82" s="479"/>
      <c r="F82" s="479"/>
      <c r="G82" s="94"/>
    </row>
    <row r="83" spans="1:7">
      <c r="A83" s="31" t="s">
        <v>176</v>
      </c>
      <c r="B83" s="31" t="s">
        <v>2365</v>
      </c>
      <c r="C83" s="478" t="s">
        <v>2366</v>
      </c>
      <c r="D83" s="31" t="s">
        <v>177</v>
      </c>
      <c r="E83" s="481">
        <v>1999</v>
      </c>
      <c r="F83" s="479">
        <v>2010</v>
      </c>
      <c r="G83" s="94">
        <v>9</v>
      </c>
    </row>
    <row r="84" spans="1:7">
      <c r="A84" s="31" t="s">
        <v>178</v>
      </c>
      <c r="B84" s="31" t="s">
        <v>2365</v>
      </c>
      <c r="C84" s="478" t="s">
        <v>2366</v>
      </c>
      <c r="D84" s="31" t="s">
        <v>179</v>
      </c>
      <c r="E84" s="481">
        <v>1999</v>
      </c>
      <c r="F84" s="479">
        <v>2010</v>
      </c>
      <c r="G84" s="94">
        <v>9</v>
      </c>
    </row>
    <row r="85" spans="1:7">
      <c r="A85" s="31" t="s">
        <v>180</v>
      </c>
      <c r="B85" s="31" t="s">
        <v>2365</v>
      </c>
      <c r="C85" s="478" t="s">
        <v>2366</v>
      </c>
      <c r="D85" s="31" t="s">
        <v>181</v>
      </c>
      <c r="E85" s="481">
        <v>1999</v>
      </c>
      <c r="F85" s="479">
        <v>2010</v>
      </c>
      <c r="G85" s="94">
        <v>9</v>
      </c>
    </row>
    <row r="86" spans="1:7">
      <c r="A86" s="31" t="s">
        <v>2520</v>
      </c>
      <c r="B86" s="31" t="s">
        <v>2365</v>
      </c>
      <c r="C86" s="478" t="s">
        <v>2366</v>
      </c>
      <c r="D86" s="31" t="s">
        <v>182</v>
      </c>
      <c r="E86" s="481">
        <v>1999</v>
      </c>
      <c r="F86" s="479">
        <v>2010</v>
      </c>
      <c r="G86" s="94">
        <v>9</v>
      </c>
    </row>
    <row r="87" spans="1:7">
      <c r="A87" s="31" t="s">
        <v>2522</v>
      </c>
      <c r="B87" s="31" t="s">
        <v>2365</v>
      </c>
      <c r="C87" s="478" t="s">
        <v>2366</v>
      </c>
      <c r="D87" s="31" t="s">
        <v>183</v>
      </c>
      <c r="E87" s="481">
        <v>1999</v>
      </c>
      <c r="F87" s="479">
        <v>2010</v>
      </c>
      <c r="G87" s="94">
        <v>9</v>
      </c>
    </row>
    <row r="88" spans="1:7">
      <c r="A88" s="31" t="s">
        <v>184</v>
      </c>
      <c r="B88" s="31" t="s">
        <v>2365</v>
      </c>
      <c r="C88" s="478" t="s">
        <v>2366</v>
      </c>
      <c r="D88" s="31" t="s">
        <v>191</v>
      </c>
      <c r="E88" s="481">
        <v>1999</v>
      </c>
      <c r="F88" s="479">
        <v>2010</v>
      </c>
      <c r="G88" s="94">
        <v>9</v>
      </c>
    </row>
    <row r="89" spans="1:7">
      <c r="A89" s="31" t="s">
        <v>2520</v>
      </c>
      <c r="B89" s="31" t="s">
        <v>2365</v>
      </c>
      <c r="C89" s="478" t="s">
        <v>2366</v>
      </c>
      <c r="D89" s="31" t="s">
        <v>192</v>
      </c>
      <c r="E89" s="481">
        <v>1999</v>
      </c>
      <c r="F89" s="479">
        <v>2010</v>
      </c>
      <c r="G89" s="94">
        <v>9</v>
      </c>
    </row>
    <row r="90" spans="1:7">
      <c r="A90" s="31" t="s">
        <v>2522</v>
      </c>
      <c r="B90" s="31" t="s">
        <v>2365</v>
      </c>
      <c r="C90" s="478" t="s">
        <v>2366</v>
      </c>
      <c r="D90" s="31" t="s">
        <v>193</v>
      </c>
      <c r="E90" s="481">
        <v>1999</v>
      </c>
      <c r="F90" s="479">
        <v>2010</v>
      </c>
      <c r="G90" s="94">
        <v>9</v>
      </c>
    </row>
    <row r="91" spans="1:7">
      <c r="A91" s="31" t="s">
        <v>194</v>
      </c>
      <c r="B91" s="31" t="s">
        <v>2365</v>
      </c>
      <c r="C91" s="478" t="s">
        <v>2366</v>
      </c>
      <c r="D91" s="31" t="s">
        <v>195</v>
      </c>
      <c r="E91" s="481">
        <v>1999</v>
      </c>
      <c r="F91" s="479">
        <v>2010</v>
      </c>
      <c r="G91" s="94">
        <v>9</v>
      </c>
    </row>
    <row r="92" spans="1:7">
      <c r="A92" s="31" t="s">
        <v>196</v>
      </c>
      <c r="B92" s="31" t="s">
        <v>2365</v>
      </c>
      <c r="C92" s="478" t="s">
        <v>2366</v>
      </c>
      <c r="D92" s="31" t="s">
        <v>197</v>
      </c>
      <c r="E92" s="481">
        <v>1999</v>
      </c>
      <c r="F92" s="479">
        <v>2010</v>
      </c>
      <c r="G92" s="94">
        <v>9</v>
      </c>
    </row>
    <row r="93" spans="1:7">
      <c r="A93" s="31"/>
      <c r="B93" s="31"/>
      <c r="C93" s="478"/>
      <c r="D93" s="31"/>
      <c r="E93" s="481"/>
      <c r="F93" s="479"/>
      <c r="G93" s="94"/>
    </row>
    <row r="94" spans="1:7">
      <c r="A94" s="31" t="s">
        <v>198</v>
      </c>
      <c r="B94" s="31" t="s">
        <v>2365</v>
      </c>
      <c r="C94" s="478" t="s">
        <v>2366</v>
      </c>
      <c r="D94" s="31" t="s">
        <v>199</v>
      </c>
      <c r="E94" s="481">
        <v>1999</v>
      </c>
      <c r="F94" s="479">
        <v>2010</v>
      </c>
      <c r="G94" s="94">
        <v>9</v>
      </c>
    </row>
    <row r="95" spans="1:7">
      <c r="A95" s="31" t="s">
        <v>200</v>
      </c>
      <c r="B95" s="31" t="s">
        <v>2365</v>
      </c>
      <c r="C95" s="478" t="s">
        <v>2366</v>
      </c>
      <c r="D95" s="31" t="s">
        <v>201</v>
      </c>
      <c r="E95" s="481">
        <v>1999</v>
      </c>
      <c r="F95" s="479">
        <v>2010</v>
      </c>
      <c r="G95" s="94">
        <v>9</v>
      </c>
    </row>
    <row r="96" spans="1:7">
      <c r="A96" s="31" t="s">
        <v>202</v>
      </c>
      <c r="B96" s="31" t="s">
        <v>2365</v>
      </c>
      <c r="C96" s="478" t="s">
        <v>2366</v>
      </c>
      <c r="D96" s="31" t="s">
        <v>203</v>
      </c>
      <c r="E96" s="481">
        <v>1999</v>
      </c>
      <c r="F96" s="479">
        <v>2010</v>
      </c>
      <c r="G96" s="94">
        <v>9</v>
      </c>
    </row>
    <row r="97" spans="1:7">
      <c r="A97" s="65"/>
      <c r="B97" s="65"/>
      <c r="C97" s="65"/>
      <c r="D97" s="65"/>
      <c r="E97" s="65"/>
      <c r="F97" s="65"/>
      <c r="G97" s="94"/>
    </row>
    <row r="98" spans="1:7">
      <c r="A98" s="486" t="s">
        <v>204</v>
      </c>
      <c r="B98" s="487"/>
      <c r="C98" s="487"/>
      <c r="D98" s="487"/>
      <c r="E98" s="478"/>
      <c r="F98" s="478"/>
      <c r="G98" s="94"/>
    </row>
    <row r="99" spans="1:7">
      <c r="A99" s="478" t="s">
        <v>205</v>
      </c>
      <c r="B99" s="478" t="s">
        <v>206</v>
      </c>
      <c r="C99" s="478" t="s">
        <v>2366</v>
      </c>
      <c r="D99" s="478" t="s">
        <v>207</v>
      </c>
      <c r="E99" s="479">
        <v>1999</v>
      </c>
      <c r="F99" s="479">
        <v>2010</v>
      </c>
      <c r="G99" s="94">
        <v>6</v>
      </c>
    </row>
    <row r="100" spans="1:7">
      <c r="A100" s="31" t="s">
        <v>208</v>
      </c>
      <c r="B100" s="65" t="s">
        <v>206</v>
      </c>
      <c r="C100" s="478" t="s">
        <v>2366</v>
      </c>
      <c r="D100" s="480" t="s">
        <v>209</v>
      </c>
      <c r="E100" s="479">
        <v>1999</v>
      </c>
      <c r="F100" s="479">
        <v>2010</v>
      </c>
      <c r="G100" s="94">
        <v>6</v>
      </c>
    </row>
    <row r="101" spans="1:7">
      <c r="A101" s="65" t="s">
        <v>210</v>
      </c>
      <c r="B101" s="65" t="s">
        <v>206</v>
      </c>
      <c r="C101" s="478" t="s">
        <v>2366</v>
      </c>
      <c r="D101" s="65" t="s">
        <v>211</v>
      </c>
      <c r="E101" s="481">
        <v>1999</v>
      </c>
      <c r="F101" s="479">
        <v>2010</v>
      </c>
      <c r="G101" s="94">
        <v>6</v>
      </c>
    </row>
    <row r="102" spans="1:7">
      <c r="A102" s="65"/>
      <c r="B102" s="65"/>
      <c r="C102" s="65"/>
      <c r="D102" s="65"/>
      <c r="E102" s="65"/>
      <c r="F102" s="65"/>
      <c r="G102" s="94"/>
    </row>
    <row r="103" spans="1:7">
      <c r="A103" s="31" t="s">
        <v>228</v>
      </c>
      <c r="B103" s="65" t="s">
        <v>206</v>
      </c>
      <c r="C103" s="478" t="s">
        <v>2366</v>
      </c>
      <c r="D103" s="31" t="s">
        <v>229</v>
      </c>
      <c r="E103" s="479">
        <v>1999</v>
      </c>
      <c r="F103" s="479">
        <v>2010</v>
      </c>
      <c r="G103" s="94">
        <v>6</v>
      </c>
    </row>
    <row r="104" spans="1:7">
      <c r="A104" s="478" t="s">
        <v>230</v>
      </c>
      <c r="B104" s="478" t="s">
        <v>206</v>
      </c>
      <c r="C104" s="478" t="s">
        <v>2366</v>
      </c>
      <c r="D104" s="478" t="s">
        <v>231</v>
      </c>
      <c r="E104" s="479">
        <v>1999</v>
      </c>
      <c r="F104" s="479">
        <v>2010</v>
      </c>
      <c r="G104" s="94">
        <v>6</v>
      </c>
    </row>
    <row r="105" spans="1:7">
      <c r="A105" s="478" t="s">
        <v>232</v>
      </c>
      <c r="B105" s="478" t="s">
        <v>206</v>
      </c>
      <c r="C105" s="478" t="s">
        <v>2366</v>
      </c>
      <c r="D105" s="478" t="s">
        <v>233</v>
      </c>
      <c r="E105" s="479">
        <v>1999</v>
      </c>
      <c r="F105" s="479">
        <v>2010</v>
      </c>
      <c r="G105" s="94">
        <v>6</v>
      </c>
    </row>
    <row r="106" spans="1:7">
      <c r="A106" s="428" t="s">
        <v>234</v>
      </c>
      <c r="B106" s="65" t="s">
        <v>206</v>
      </c>
      <c r="C106" s="478" t="s">
        <v>2366</v>
      </c>
      <c r="D106" s="31" t="s">
        <v>235</v>
      </c>
      <c r="E106" s="479">
        <v>1999</v>
      </c>
      <c r="F106" s="479">
        <v>2010</v>
      </c>
      <c r="G106" s="94">
        <v>6</v>
      </c>
    </row>
    <row r="107" spans="1:7">
      <c r="A107" s="65"/>
      <c r="B107" s="65"/>
      <c r="C107" s="65"/>
      <c r="D107" s="65"/>
      <c r="E107" s="65"/>
      <c r="F107" s="65"/>
      <c r="G107" s="94"/>
    </row>
    <row r="108" spans="1:7">
      <c r="A108" s="31" t="s">
        <v>239</v>
      </c>
      <c r="B108" s="65" t="s">
        <v>206</v>
      </c>
      <c r="C108" s="478" t="s">
        <v>2366</v>
      </c>
      <c r="D108" s="31" t="s">
        <v>240</v>
      </c>
      <c r="E108" s="479">
        <v>1999</v>
      </c>
      <c r="F108" s="479">
        <v>2010</v>
      </c>
      <c r="G108" s="94">
        <v>6</v>
      </c>
    </row>
    <row r="109" spans="1:7">
      <c r="A109" s="428" t="s">
        <v>241</v>
      </c>
      <c r="B109" s="478" t="s">
        <v>206</v>
      </c>
      <c r="C109" s="478" t="s">
        <v>2366</v>
      </c>
      <c r="D109" s="478" t="s">
        <v>242</v>
      </c>
      <c r="E109" s="479">
        <v>1999</v>
      </c>
      <c r="F109" s="479">
        <v>2010</v>
      </c>
      <c r="G109" s="94">
        <v>6</v>
      </c>
    </row>
    <row r="110" spans="1:7">
      <c r="A110" s="488" t="s">
        <v>243</v>
      </c>
      <c r="B110" s="478" t="s">
        <v>206</v>
      </c>
      <c r="C110" s="478" t="s">
        <v>2366</v>
      </c>
      <c r="D110" s="478" t="s">
        <v>244</v>
      </c>
      <c r="E110" s="479">
        <v>1999</v>
      </c>
      <c r="F110" s="479">
        <v>2010</v>
      </c>
      <c r="G110" s="94">
        <v>6</v>
      </c>
    </row>
    <row r="111" spans="1:7">
      <c r="A111" s="428" t="s">
        <v>245</v>
      </c>
      <c r="B111" s="65" t="s">
        <v>206</v>
      </c>
      <c r="C111" s="478" t="s">
        <v>2366</v>
      </c>
      <c r="D111" s="31" t="s">
        <v>246</v>
      </c>
      <c r="E111" s="479">
        <v>1999</v>
      </c>
      <c r="F111" s="479">
        <v>2010</v>
      </c>
      <c r="G111" s="94">
        <v>6</v>
      </c>
    </row>
    <row r="112" spans="1:7">
      <c r="A112" s="65"/>
      <c r="B112" s="65"/>
      <c r="C112" s="65"/>
      <c r="D112" s="65"/>
      <c r="E112" s="65"/>
      <c r="F112" s="65"/>
      <c r="G112" s="94"/>
    </row>
    <row r="113" spans="1:7">
      <c r="A113" s="65" t="s">
        <v>247</v>
      </c>
      <c r="B113" s="65" t="s">
        <v>206</v>
      </c>
      <c r="C113" s="478" t="s">
        <v>2366</v>
      </c>
      <c r="D113" s="489" t="s">
        <v>248</v>
      </c>
      <c r="E113" s="479">
        <v>1999</v>
      </c>
      <c r="F113" s="479">
        <v>2010</v>
      </c>
      <c r="G113" s="94">
        <v>6</v>
      </c>
    </row>
    <row r="114" spans="1:7">
      <c r="A114" s="31" t="s">
        <v>249</v>
      </c>
      <c r="B114" s="65" t="s">
        <v>206</v>
      </c>
      <c r="C114" s="478" t="s">
        <v>2366</v>
      </c>
      <c r="D114" s="31" t="s">
        <v>250</v>
      </c>
      <c r="E114" s="479">
        <v>1999</v>
      </c>
      <c r="F114" s="479">
        <v>2010</v>
      </c>
      <c r="G114" s="94">
        <v>6</v>
      </c>
    </row>
    <row r="115" spans="1:7">
      <c r="A115" s="65"/>
      <c r="B115" s="65"/>
      <c r="C115" s="65"/>
      <c r="D115" s="65"/>
      <c r="E115" s="65"/>
      <c r="F115" s="65"/>
      <c r="G115" s="94"/>
    </row>
    <row r="116" spans="1:7">
      <c r="A116" s="478" t="s">
        <v>251</v>
      </c>
      <c r="B116" s="478" t="s">
        <v>206</v>
      </c>
      <c r="C116" s="478" t="s">
        <v>2366</v>
      </c>
      <c r="D116" s="478" t="s">
        <v>252</v>
      </c>
      <c r="E116" s="479">
        <v>1999</v>
      </c>
      <c r="F116" s="479">
        <v>2010</v>
      </c>
      <c r="G116" s="94">
        <v>6</v>
      </c>
    </row>
    <row r="117" spans="1:7">
      <c r="A117" s="31" t="s">
        <v>253</v>
      </c>
      <c r="B117" s="65" t="s">
        <v>206</v>
      </c>
      <c r="C117" s="478" t="s">
        <v>2366</v>
      </c>
      <c r="D117" s="66" t="s">
        <v>254</v>
      </c>
      <c r="E117" s="479">
        <v>1999</v>
      </c>
      <c r="F117" s="479">
        <v>2010</v>
      </c>
      <c r="G117" s="94">
        <v>6</v>
      </c>
    </row>
    <row r="118" spans="1:7">
      <c r="A118" s="31" t="s">
        <v>255</v>
      </c>
      <c r="B118" s="65" t="s">
        <v>206</v>
      </c>
      <c r="C118" s="478" t="s">
        <v>2366</v>
      </c>
      <c r="D118" s="66" t="s">
        <v>256</v>
      </c>
      <c r="E118" s="479">
        <v>1999</v>
      </c>
      <c r="F118" s="479">
        <v>2010</v>
      </c>
      <c r="G118" s="94">
        <v>6</v>
      </c>
    </row>
    <row r="119" spans="1:7">
      <c r="A119" s="478" t="s">
        <v>257</v>
      </c>
      <c r="B119" s="478" t="s">
        <v>206</v>
      </c>
      <c r="C119" s="478" t="s">
        <v>2366</v>
      </c>
      <c r="D119" s="478" t="s">
        <v>258</v>
      </c>
      <c r="E119" s="479">
        <v>1999</v>
      </c>
      <c r="F119" s="479">
        <v>2010</v>
      </c>
      <c r="G119" s="94">
        <v>6</v>
      </c>
    </row>
    <row r="120" spans="1:7">
      <c r="A120" s="478" t="s">
        <v>259</v>
      </c>
      <c r="B120" s="483" t="s">
        <v>206</v>
      </c>
      <c r="C120" s="478" t="s">
        <v>2366</v>
      </c>
      <c r="D120" s="490" t="s">
        <v>260</v>
      </c>
      <c r="E120" s="479">
        <v>1999</v>
      </c>
      <c r="F120" s="479">
        <v>2010</v>
      </c>
      <c r="G120" s="94">
        <v>6</v>
      </c>
    </row>
    <row r="121" spans="1:7">
      <c r="A121" s="31" t="s">
        <v>261</v>
      </c>
      <c r="B121" s="65" t="s">
        <v>206</v>
      </c>
      <c r="C121" s="478" t="s">
        <v>2366</v>
      </c>
      <c r="D121" s="480" t="s">
        <v>262</v>
      </c>
      <c r="E121" s="479">
        <v>1999</v>
      </c>
      <c r="F121" s="479">
        <v>2010</v>
      </c>
      <c r="G121" s="94">
        <v>6</v>
      </c>
    </row>
    <row r="122" spans="1:7">
      <c r="A122" s="31" t="s">
        <v>1481</v>
      </c>
      <c r="B122" s="65" t="s">
        <v>206</v>
      </c>
      <c r="C122" s="478" t="s">
        <v>2366</v>
      </c>
      <c r="D122" s="31" t="s">
        <v>263</v>
      </c>
      <c r="E122" s="479">
        <v>1999</v>
      </c>
      <c r="F122" s="479">
        <v>2010</v>
      </c>
      <c r="G122" s="94">
        <v>6</v>
      </c>
    </row>
    <row r="123" spans="1:7">
      <c r="A123" s="65"/>
      <c r="B123" s="65"/>
      <c r="C123" s="65"/>
      <c r="D123" s="65"/>
      <c r="E123" s="65"/>
      <c r="F123" s="65"/>
      <c r="G123" s="94"/>
    </row>
    <row r="124" spans="1:7">
      <c r="A124" s="65" t="s">
        <v>264</v>
      </c>
      <c r="B124" s="65" t="s">
        <v>206</v>
      </c>
      <c r="C124" s="478" t="s">
        <v>2366</v>
      </c>
      <c r="D124" t="s">
        <v>265</v>
      </c>
      <c r="E124" s="481">
        <v>1999</v>
      </c>
      <c r="F124" s="479">
        <v>2010</v>
      </c>
      <c r="G124" s="94">
        <v>6</v>
      </c>
    </row>
    <row r="125" spans="1:7">
      <c r="A125" s="31" t="s">
        <v>266</v>
      </c>
      <c r="B125" s="65" t="s">
        <v>206</v>
      </c>
      <c r="C125" s="478" t="s">
        <v>2366</v>
      </c>
      <c r="D125" t="s">
        <v>267</v>
      </c>
      <c r="E125" s="479">
        <v>1999</v>
      </c>
      <c r="F125" s="479">
        <v>2010</v>
      </c>
      <c r="G125" s="94">
        <v>6</v>
      </c>
    </row>
    <row r="126" spans="1:7">
      <c r="A126" s="65" t="s">
        <v>268</v>
      </c>
      <c r="B126" s="65" t="s">
        <v>206</v>
      </c>
      <c r="C126" s="478" t="s">
        <v>2366</v>
      </c>
      <c r="D126" t="s">
        <v>269</v>
      </c>
      <c r="E126" s="481">
        <v>1999</v>
      </c>
      <c r="F126" s="479">
        <v>2010</v>
      </c>
      <c r="G126" s="94">
        <v>6</v>
      </c>
    </row>
    <row r="127" spans="1:7">
      <c r="A127" s="65"/>
      <c r="B127" s="65"/>
      <c r="C127" s="65"/>
      <c r="D127" s="65"/>
      <c r="E127" s="65"/>
      <c r="F127" s="65"/>
      <c r="G127" s="94"/>
    </row>
    <row r="128" spans="1:7">
      <c r="A128" s="478" t="s">
        <v>270</v>
      </c>
      <c r="B128" s="478" t="s">
        <v>206</v>
      </c>
      <c r="C128" s="478" t="s">
        <v>2366</v>
      </c>
      <c r="D128" s="483" t="s">
        <v>271</v>
      </c>
      <c r="E128" s="479">
        <v>1999</v>
      </c>
      <c r="F128" s="479">
        <v>2010</v>
      </c>
      <c r="G128" s="94">
        <v>6</v>
      </c>
    </row>
    <row r="129" spans="1:7">
      <c r="A129" s="478" t="s">
        <v>272</v>
      </c>
      <c r="B129" s="478" t="s">
        <v>206</v>
      </c>
      <c r="C129" s="478" t="s">
        <v>2366</v>
      </c>
      <c r="D129" s="478" t="s">
        <v>273</v>
      </c>
      <c r="E129" s="479">
        <v>1999</v>
      </c>
      <c r="F129" s="479">
        <v>2010</v>
      </c>
      <c r="G129" s="94">
        <v>6</v>
      </c>
    </row>
    <row r="130" spans="1:7">
      <c r="A130" s="31" t="s">
        <v>274</v>
      </c>
      <c r="B130" s="65" t="s">
        <v>206</v>
      </c>
      <c r="C130" s="478" t="s">
        <v>2366</v>
      </c>
      <c r="D130" s="31" t="s">
        <v>275</v>
      </c>
      <c r="E130" s="479">
        <v>1999</v>
      </c>
      <c r="F130" s="479">
        <v>2010</v>
      </c>
      <c r="G130" s="94">
        <v>6</v>
      </c>
    </row>
    <row r="131" spans="1:7">
      <c r="A131" s="65" t="s">
        <v>294</v>
      </c>
      <c r="B131" s="65" t="s">
        <v>206</v>
      </c>
      <c r="C131" s="478" t="s">
        <v>2366</v>
      </c>
      <c r="D131" s="65" t="s">
        <v>295</v>
      </c>
      <c r="E131" s="481">
        <v>1999</v>
      </c>
      <c r="F131" s="479">
        <v>2010</v>
      </c>
      <c r="G131" s="94">
        <v>6</v>
      </c>
    </row>
    <row r="132" spans="1:7">
      <c r="A132" s="478" t="s">
        <v>296</v>
      </c>
      <c r="B132" s="478" t="s">
        <v>206</v>
      </c>
      <c r="C132" s="478" t="s">
        <v>2366</v>
      </c>
      <c r="D132" s="483" t="s">
        <v>297</v>
      </c>
      <c r="E132" s="479">
        <v>1999</v>
      </c>
      <c r="F132" s="479">
        <v>2010</v>
      </c>
      <c r="G132" s="94">
        <v>6</v>
      </c>
    </row>
    <row r="133" spans="1:7">
      <c r="A133" s="65"/>
      <c r="B133" s="65"/>
      <c r="C133" s="478"/>
      <c r="D133" s="65"/>
      <c r="E133" s="481"/>
      <c r="F133" s="479"/>
      <c r="G133" s="94"/>
    </row>
    <row r="134" spans="1:7">
      <c r="A134" s="65" t="s">
        <v>298</v>
      </c>
      <c r="B134" s="65" t="s">
        <v>206</v>
      </c>
      <c r="C134" s="478" t="s">
        <v>2366</v>
      </c>
      <c r="D134" t="s">
        <v>299</v>
      </c>
      <c r="E134" s="481">
        <v>1999</v>
      </c>
      <c r="F134" s="479">
        <v>2010</v>
      </c>
      <c r="G134" s="94">
        <v>6</v>
      </c>
    </row>
    <row r="135" spans="1:7">
      <c r="A135" s="65" t="s">
        <v>300</v>
      </c>
      <c r="B135" s="65" t="s">
        <v>206</v>
      </c>
      <c r="C135" s="478" t="s">
        <v>2366</v>
      </c>
      <c r="D135" t="s">
        <v>301</v>
      </c>
      <c r="E135" s="481">
        <v>1999</v>
      </c>
      <c r="F135" s="479">
        <v>2010</v>
      </c>
      <c r="G135" s="94">
        <v>6</v>
      </c>
    </row>
    <row r="136" spans="1:7">
      <c r="A136" s="478" t="s">
        <v>302</v>
      </c>
      <c r="B136" s="478" t="s">
        <v>206</v>
      </c>
      <c r="C136" s="478" t="s">
        <v>2366</v>
      </c>
      <c r="D136" s="483" t="s">
        <v>303</v>
      </c>
      <c r="E136" s="479">
        <v>1999</v>
      </c>
      <c r="F136" s="479">
        <v>2010</v>
      </c>
      <c r="G136" s="94">
        <v>6</v>
      </c>
    </row>
    <row r="137" spans="1:7">
      <c r="A137" s="65"/>
      <c r="B137" s="65"/>
      <c r="C137" s="65"/>
      <c r="D137" s="65"/>
      <c r="E137" s="65"/>
      <c r="F137" s="65"/>
      <c r="G137" s="94"/>
    </row>
    <row r="138" spans="1:7">
      <c r="A138" s="31" t="s">
        <v>304</v>
      </c>
      <c r="B138" s="65" t="s">
        <v>206</v>
      </c>
      <c r="C138" s="478" t="s">
        <v>2366</v>
      </c>
      <c r="D138" s="491" t="s">
        <v>305</v>
      </c>
      <c r="E138" s="479">
        <v>1999</v>
      </c>
      <c r="F138" s="479">
        <v>2010</v>
      </c>
      <c r="G138" s="94">
        <v>6</v>
      </c>
    </row>
    <row r="139" spans="1:7">
      <c r="A139" s="31" t="s">
        <v>306</v>
      </c>
      <c r="B139" s="65" t="s">
        <v>206</v>
      </c>
      <c r="C139" s="478" t="s">
        <v>2366</v>
      </c>
      <c r="D139" s="491" t="s">
        <v>307</v>
      </c>
      <c r="E139" s="479">
        <v>1999</v>
      </c>
      <c r="F139" s="479">
        <v>2010</v>
      </c>
      <c r="G139" s="94">
        <v>6</v>
      </c>
    </row>
    <row r="140" spans="1:7">
      <c r="A140" s="31"/>
      <c r="B140" s="65"/>
      <c r="C140" s="478"/>
      <c r="D140" s="31"/>
      <c r="E140" s="479"/>
      <c r="F140" s="479"/>
      <c r="G140" s="94"/>
    </row>
    <row r="141" spans="1:7">
      <c r="A141" s="474" t="s">
        <v>308</v>
      </c>
      <c r="B141" s="65"/>
      <c r="C141" s="65"/>
      <c r="D141" s="112" t="s">
        <v>309</v>
      </c>
      <c r="E141" s="65"/>
      <c r="F141" s="65"/>
      <c r="G141" s="94"/>
    </row>
    <row r="142" spans="1:7">
      <c r="A142" s="478" t="s">
        <v>310</v>
      </c>
      <c r="B142" s="478" t="s">
        <v>206</v>
      </c>
      <c r="C142" s="478" t="s">
        <v>2366</v>
      </c>
      <c r="D142" s="478" t="s">
        <v>311</v>
      </c>
      <c r="E142" s="479">
        <v>1999</v>
      </c>
      <c r="F142" s="479">
        <v>2010</v>
      </c>
      <c r="G142" s="94">
        <v>6</v>
      </c>
    </row>
    <row r="143" spans="1:7">
      <c r="A143" s="478" t="s">
        <v>312</v>
      </c>
      <c r="B143" s="478" t="s">
        <v>206</v>
      </c>
      <c r="C143" s="478" t="s">
        <v>2366</v>
      </c>
      <c r="D143" s="492" t="s">
        <v>313</v>
      </c>
      <c r="E143" s="479">
        <v>1999</v>
      </c>
      <c r="F143" s="479">
        <v>2010</v>
      </c>
      <c r="G143" s="94">
        <v>6</v>
      </c>
    </row>
    <row r="144" spans="1:7">
      <c r="A144" s="478" t="s">
        <v>314</v>
      </c>
      <c r="B144" s="478" t="s">
        <v>206</v>
      </c>
      <c r="C144" s="478" t="s">
        <v>2366</v>
      </c>
      <c r="D144" s="492" t="s">
        <v>315</v>
      </c>
      <c r="E144" s="479">
        <v>1999</v>
      </c>
      <c r="F144" s="479">
        <v>2010</v>
      </c>
      <c r="G144" s="94">
        <v>6</v>
      </c>
    </row>
    <row r="145" spans="1:7">
      <c r="A145" s="478" t="s">
        <v>316</v>
      </c>
      <c r="B145" s="483" t="s">
        <v>317</v>
      </c>
      <c r="C145" s="478" t="s">
        <v>2366</v>
      </c>
      <c r="D145" s="493" t="s">
        <v>318</v>
      </c>
      <c r="E145" s="479">
        <v>1999</v>
      </c>
      <c r="F145" s="479">
        <v>2010</v>
      </c>
      <c r="G145" s="94">
        <v>6</v>
      </c>
    </row>
    <row r="146" spans="1:7">
      <c r="A146" s="31" t="s">
        <v>319</v>
      </c>
      <c r="B146" s="483" t="s">
        <v>317</v>
      </c>
      <c r="C146" s="478" t="s">
        <v>2366</v>
      </c>
      <c r="D146" t="s">
        <v>320</v>
      </c>
      <c r="E146" s="479">
        <v>1999</v>
      </c>
      <c r="F146" s="479">
        <v>2010</v>
      </c>
      <c r="G146" s="94">
        <v>6</v>
      </c>
    </row>
    <row r="147" spans="1:7">
      <c r="A147" s="478" t="s">
        <v>321</v>
      </c>
      <c r="B147" s="483" t="s">
        <v>317</v>
      </c>
      <c r="C147" s="478" t="s">
        <v>2366</v>
      </c>
      <c r="D147" s="494" t="s">
        <v>322</v>
      </c>
      <c r="E147" s="479">
        <v>1999</v>
      </c>
      <c r="F147" s="479">
        <v>2010</v>
      </c>
      <c r="G147" s="94">
        <v>6</v>
      </c>
    </row>
    <row r="148" spans="1:7">
      <c r="A148" s="31" t="s">
        <v>323</v>
      </c>
      <c r="B148" s="65" t="s">
        <v>206</v>
      </c>
      <c r="C148" s="478" t="s">
        <v>2366</v>
      </c>
      <c r="D148" s="31" t="s">
        <v>324</v>
      </c>
      <c r="E148" s="479">
        <v>1999</v>
      </c>
      <c r="F148" s="479">
        <v>2010</v>
      </c>
      <c r="G148" s="94">
        <v>6</v>
      </c>
    </row>
    <row r="149" spans="1:7">
      <c r="A149" s="31" t="s">
        <v>325</v>
      </c>
      <c r="B149" s="65" t="s">
        <v>206</v>
      </c>
      <c r="C149" s="478" t="s">
        <v>2366</v>
      </c>
      <c r="D149" s="495" t="s">
        <v>326</v>
      </c>
      <c r="E149" s="479">
        <v>1999</v>
      </c>
      <c r="F149" s="479">
        <v>2010</v>
      </c>
      <c r="G149" s="94">
        <v>6</v>
      </c>
    </row>
    <row r="150" spans="1:7">
      <c r="A150" s="478" t="s">
        <v>327</v>
      </c>
      <c r="B150" s="478" t="s">
        <v>206</v>
      </c>
      <c r="C150" s="478" t="s">
        <v>2366</v>
      </c>
      <c r="D150" s="492" t="s">
        <v>328</v>
      </c>
      <c r="E150" s="479">
        <v>1999</v>
      </c>
      <c r="F150" s="479">
        <v>2010</v>
      </c>
      <c r="G150" s="94">
        <v>6</v>
      </c>
    </row>
    <row r="151" spans="1:7">
      <c r="A151" s="478" t="s">
        <v>329</v>
      </c>
      <c r="B151" s="478" t="s">
        <v>206</v>
      </c>
      <c r="C151" s="478" t="s">
        <v>2366</v>
      </c>
      <c r="D151" s="493" t="s">
        <v>330</v>
      </c>
      <c r="E151" s="479">
        <v>1999</v>
      </c>
      <c r="F151" s="479">
        <v>2010</v>
      </c>
      <c r="G151" s="94">
        <v>6</v>
      </c>
    </row>
    <row r="152" spans="1:7">
      <c r="A152" s="31" t="s">
        <v>331</v>
      </c>
      <c r="B152" s="65" t="s">
        <v>206</v>
      </c>
      <c r="C152" s="478" t="s">
        <v>2366</v>
      </c>
      <c r="D152" s="480" t="s">
        <v>332</v>
      </c>
      <c r="E152" s="479">
        <v>1999</v>
      </c>
      <c r="F152" s="479">
        <v>2010</v>
      </c>
      <c r="G152" s="94">
        <v>6</v>
      </c>
    </row>
    <row r="153" spans="1:7">
      <c r="A153" s="31" t="s">
        <v>333</v>
      </c>
      <c r="B153" s="65" t="s">
        <v>206</v>
      </c>
      <c r="C153" s="478" t="s">
        <v>2366</v>
      </c>
      <c r="D153" s="31" t="s">
        <v>334</v>
      </c>
      <c r="E153" s="479">
        <v>1999</v>
      </c>
      <c r="F153" s="479">
        <v>2010</v>
      </c>
      <c r="G153" s="94">
        <v>6</v>
      </c>
    </row>
    <row r="154" spans="1:7">
      <c r="A154" s="31"/>
      <c r="B154" s="65"/>
      <c r="C154" s="478"/>
      <c r="D154" s="31"/>
      <c r="E154" s="479"/>
      <c r="F154" s="479"/>
      <c r="G154" s="94"/>
    </row>
    <row r="155" spans="1:7">
      <c r="A155" s="65" t="s">
        <v>335</v>
      </c>
      <c r="B155" s="65" t="s">
        <v>206</v>
      </c>
      <c r="C155" s="478" t="s">
        <v>2366</v>
      </c>
      <c r="D155" s="485" t="s">
        <v>336</v>
      </c>
      <c r="E155" s="481">
        <v>1999</v>
      </c>
      <c r="F155" s="479">
        <v>2010</v>
      </c>
      <c r="G155" s="94">
        <v>6</v>
      </c>
    </row>
    <row r="156" spans="1:7">
      <c r="A156" s="478" t="s">
        <v>337</v>
      </c>
      <c r="B156" s="478" t="s">
        <v>206</v>
      </c>
      <c r="C156" s="478" t="s">
        <v>2366</v>
      </c>
      <c r="D156" s="496" t="s">
        <v>338</v>
      </c>
      <c r="E156" s="479">
        <v>1999</v>
      </c>
      <c r="F156" s="479">
        <v>2010</v>
      </c>
      <c r="G156" s="94">
        <v>6</v>
      </c>
    </row>
    <row r="157" spans="1:7">
      <c r="A157" s="428" t="s">
        <v>339</v>
      </c>
      <c r="B157" s="65" t="s">
        <v>206</v>
      </c>
      <c r="C157" s="478" t="s">
        <v>2366</v>
      </c>
      <c r="D157" s="497" t="s">
        <v>340</v>
      </c>
      <c r="E157" s="479">
        <v>1999</v>
      </c>
      <c r="F157" s="479">
        <v>2010</v>
      </c>
      <c r="G157" s="94">
        <v>6</v>
      </c>
    </row>
    <row r="158" spans="1:7">
      <c r="A158" s="428" t="s">
        <v>341</v>
      </c>
      <c r="B158" s="65" t="s">
        <v>206</v>
      </c>
      <c r="C158" s="478" t="s">
        <v>2366</v>
      </c>
      <c r="D158" s="498" t="s">
        <v>342</v>
      </c>
      <c r="E158" s="479">
        <v>1999</v>
      </c>
      <c r="F158" s="479">
        <v>2010</v>
      </c>
      <c r="G158" s="94">
        <v>6</v>
      </c>
    </row>
    <row r="159" spans="1:7">
      <c r="A159" s="499" t="s">
        <v>343</v>
      </c>
      <c r="B159" s="478" t="s">
        <v>206</v>
      </c>
      <c r="C159" s="478" t="s">
        <v>2366</v>
      </c>
      <c r="D159" s="493" t="s">
        <v>344</v>
      </c>
      <c r="E159" s="479">
        <v>1999</v>
      </c>
      <c r="F159" s="479">
        <v>2010</v>
      </c>
      <c r="G159" s="94">
        <v>6</v>
      </c>
    </row>
    <row r="160" spans="1:7">
      <c r="A160" s="478" t="s">
        <v>345</v>
      </c>
      <c r="B160" s="478" t="s">
        <v>206</v>
      </c>
      <c r="C160" s="478" t="s">
        <v>2366</v>
      </c>
      <c r="D160" s="492" t="s">
        <v>346</v>
      </c>
      <c r="E160" s="479">
        <v>1999</v>
      </c>
      <c r="F160" s="479">
        <v>2010</v>
      </c>
      <c r="G160" s="94">
        <v>6</v>
      </c>
    </row>
    <row r="161" spans="1:7">
      <c r="A161" s="478" t="s">
        <v>347</v>
      </c>
      <c r="B161" s="478" t="s">
        <v>206</v>
      </c>
      <c r="C161" s="478" t="s">
        <v>2366</v>
      </c>
      <c r="D161" s="492" t="s">
        <v>348</v>
      </c>
      <c r="E161" s="479">
        <v>1999</v>
      </c>
      <c r="F161" s="479">
        <v>2010</v>
      </c>
      <c r="G161" s="94">
        <v>6</v>
      </c>
    </row>
    <row r="162" spans="1:7">
      <c r="A162" s="478"/>
      <c r="B162" s="478"/>
      <c r="C162" s="478"/>
      <c r="D162" s="492"/>
      <c r="E162" s="479"/>
      <c r="F162" s="479"/>
      <c r="G162" s="94"/>
    </row>
    <row r="163" spans="1:7">
      <c r="A163" s="31" t="s">
        <v>2039</v>
      </c>
      <c r="B163" s="65" t="s">
        <v>206</v>
      </c>
      <c r="C163" s="478" t="s">
        <v>2366</v>
      </c>
      <c r="D163" s="480" t="s">
        <v>349</v>
      </c>
      <c r="E163" s="479">
        <v>1999</v>
      </c>
      <c r="F163" s="479">
        <v>2010</v>
      </c>
      <c r="G163" s="94">
        <v>6</v>
      </c>
    </row>
    <row r="164" spans="1:7">
      <c r="A164" s="500" t="s">
        <v>350</v>
      </c>
      <c r="B164" s="483" t="s">
        <v>206</v>
      </c>
      <c r="C164" s="483" t="s">
        <v>2366</v>
      </c>
      <c r="D164" s="500" t="s">
        <v>351</v>
      </c>
      <c r="E164" s="479">
        <v>1999</v>
      </c>
      <c r="F164" s="479">
        <v>2010</v>
      </c>
      <c r="G164" s="94">
        <v>6</v>
      </c>
    </row>
    <row r="165" spans="1:7">
      <c r="A165" s="478" t="s">
        <v>352</v>
      </c>
      <c r="B165" s="478" t="s">
        <v>1823</v>
      </c>
      <c r="C165" s="478" t="s">
        <v>2366</v>
      </c>
      <c r="D165" s="501" t="s">
        <v>353</v>
      </c>
      <c r="E165" s="479">
        <v>1999</v>
      </c>
      <c r="F165" s="479">
        <v>2010</v>
      </c>
      <c r="G165" s="94">
        <v>6</v>
      </c>
    </row>
    <row r="166" spans="1:7">
      <c r="A166" s="478" t="s">
        <v>354</v>
      </c>
      <c r="B166" s="478" t="s">
        <v>1823</v>
      </c>
      <c r="C166" s="478" t="s">
        <v>2366</v>
      </c>
      <c r="D166" s="501" t="s">
        <v>355</v>
      </c>
      <c r="E166" s="479">
        <v>1999</v>
      </c>
      <c r="F166" s="479">
        <v>2010</v>
      </c>
      <c r="G166" s="94">
        <v>6</v>
      </c>
    </row>
    <row r="167" spans="1:7">
      <c r="A167" s="31" t="s">
        <v>356</v>
      </c>
      <c r="B167" s="65" t="s">
        <v>206</v>
      </c>
      <c r="C167" s="478" t="s">
        <v>2366</v>
      </c>
      <c r="D167" s="480" t="s">
        <v>357</v>
      </c>
      <c r="E167" s="479">
        <v>1999</v>
      </c>
      <c r="F167" s="479">
        <v>2010</v>
      </c>
      <c r="G167" s="94">
        <v>6</v>
      </c>
    </row>
    <row r="168" spans="1:7">
      <c r="A168" s="65"/>
      <c r="B168" s="65"/>
      <c r="C168" s="65"/>
      <c r="D168" s="65"/>
      <c r="E168" s="65"/>
      <c r="F168" s="65"/>
      <c r="G168" s="94"/>
    </row>
    <row r="169" spans="1:7">
      <c r="A169" s="502" t="s">
        <v>358</v>
      </c>
      <c r="B169" s="487"/>
      <c r="C169" s="478"/>
      <c r="D169" s="487"/>
      <c r="E169" s="478"/>
      <c r="F169" s="478"/>
      <c r="G169" s="94"/>
    </row>
    <row r="170" spans="1:7">
      <c r="A170" s="31" t="s">
        <v>359</v>
      </c>
      <c r="B170" s="65" t="s">
        <v>360</v>
      </c>
      <c r="C170" s="478" t="s">
        <v>2366</v>
      </c>
      <c r="D170" s="480" t="s">
        <v>320</v>
      </c>
      <c r="E170" s="479">
        <v>1999</v>
      </c>
      <c r="F170" s="479">
        <v>2010</v>
      </c>
      <c r="G170" s="94">
        <v>6</v>
      </c>
    </row>
    <row r="171" spans="1:7">
      <c r="A171" s="31" t="s">
        <v>361</v>
      </c>
      <c r="B171" s="65" t="s">
        <v>360</v>
      </c>
      <c r="C171" s="478" t="s">
        <v>2366</v>
      </c>
      <c r="D171" s="31" t="s">
        <v>362</v>
      </c>
      <c r="E171" s="479">
        <v>1999</v>
      </c>
      <c r="F171" s="479">
        <v>2010</v>
      </c>
      <c r="G171" s="94">
        <v>6</v>
      </c>
    </row>
    <row r="172" spans="1:7">
      <c r="A172" s="31" t="s">
        <v>363</v>
      </c>
      <c r="B172" s="65" t="s">
        <v>360</v>
      </c>
      <c r="C172" s="478" t="s">
        <v>2366</v>
      </c>
      <c r="D172" s="31" t="s">
        <v>364</v>
      </c>
      <c r="E172" s="479">
        <v>1999</v>
      </c>
      <c r="F172" s="479">
        <v>2010</v>
      </c>
      <c r="G172" s="94">
        <v>6</v>
      </c>
    </row>
    <row r="173" spans="1:7">
      <c r="A173" s="478" t="s">
        <v>365</v>
      </c>
      <c r="B173" s="478" t="s">
        <v>360</v>
      </c>
      <c r="C173" s="478" t="s">
        <v>2366</v>
      </c>
      <c r="D173" s="478" t="s">
        <v>366</v>
      </c>
      <c r="E173" s="479">
        <v>1999</v>
      </c>
      <c r="F173" s="479">
        <v>2010</v>
      </c>
      <c r="G173" s="94">
        <v>6</v>
      </c>
    </row>
    <row r="174" spans="1:7">
      <c r="A174" s="478" t="s">
        <v>367</v>
      </c>
      <c r="B174" s="478" t="s">
        <v>360</v>
      </c>
      <c r="C174" s="478" t="s">
        <v>2366</v>
      </c>
      <c r="D174" s="478" t="s">
        <v>368</v>
      </c>
      <c r="E174" s="479">
        <v>1999</v>
      </c>
      <c r="F174" s="479">
        <v>2010</v>
      </c>
      <c r="G174" s="94">
        <v>6</v>
      </c>
    </row>
    <row r="175" spans="1:7">
      <c r="A175" s="478" t="s">
        <v>369</v>
      </c>
      <c r="B175" s="478" t="s">
        <v>360</v>
      </c>
      <c r="C175" s="478" t="s">
        <v>2366</v>
      </c>
      <c r="D175" s="478" t="s">
        <v>370</v>
      </c>
      <c r="E175" s="479">
        <v>1999</v>
      </c>
      <c r="F175" s="479">
        <v>2010</v>
      </c>
      <c r="G175" s="94">
        <v>6</v>
      </c>
    </row>
    <row r="176" spans="1:7">
      <c r="A176" s="478" t="s">
        <v>371</v>
      </c>
      <c r="B176" s="478" t="s">
        <v>360</v>
      </c>
      <c r="C176" s="478" t="s">
        <v>2366</v>
      </c>
      <c r="D176" s="478" t="s">
        <v>372</v>
      </c>
      <c r="E176" s="479">
        <v>1999</v>
      </c>
      <c r="F176" s="479">
        <v>2010</v>
      </c>
      <c r="G176" s="94">
        <v>6</v>
      </c>
    </row>
    <row r="177" spans="1:7">
      <c r="A177" s="478" t="s">
        <v>373</v>
      </c>
      <c r="B177" s="478" t="s">
        <v>360</v>
      </c>
      <c r="C177" s="478" t="s">
        <v>2366</v>
      </c>
      <c r="D177" s="478" t="s">
        <v>374</v>
      </c>
      <c r="E177" s="479">
        <v>1999</v>
      </c>
      <c r="F177" s="479">
        <v>2010</v>
      </c>
      <c r="G177" s="94">
        <v>6</v>
      </c>
    </row>
    <row r="178" spans="1:7">
      <c r="A178" s="478" t="s">
        <v>375</v>
      </c>
      <c r="B178" s="478" t="s">
        <v>360</v>
      </c>
      <c r="C178" s="478" t="s">
        <v>2366</v>
      </c>
      <c r="D178" s="478" t="s">
        <v>376</v>
      </c>
      <c r="E178" s="479">
        <v>1999</v>
      </c>
      <c r="F178" s="479">
        <v>2010</v>
      </c>
      <c r="G178" s="94">
        <v>6</v>
      </c>
    </row>
    <row r="179" spans="1:7">
      <c r="A179" s="31" t="s">
        <v>377</v>
      </c>
      <c r="B179" s="65" t="s">
        <v>360</v>
      </c>
      <c r="C179" s="478" t="s">
        <v>2366</v>
      </c>
      <c r="D179" s="31" t="s">
        <v>378</v>
      </c>
      <c r="E179" s="479">
        <v>1999</v>
      </c>
      <c r="F179" s="479">
        <v>2010</v>
      </c>
      <c r="G179" s="94">
        <v>6</v>
      </c>
    </row>
    <row r="180" spans="1:7">
      <c r="A180" s="31" t="s">
        <v>379</v>
      </c>
      <c r="B180" s="65" t="s">
        <v>360</v>
      </c>
      <c r="C180" s="478" t="s">
        <v>2366</v>
      </c>
      <c r="D180" s="503" t="s">
        <v>380</v>
      </c>
      <c r="E180" s="479">
        <v>1999</v>
      </c>
      <c r="F180" s="479">
        <v>2010</v>
      </c>
      <c r="G180" s="94">
        <v>6</v>
      </c>
    </row>
    <row r="181" spans="1:7">
      <c r="A181" s="478" t="s">
        <v>381</v>
      </c>
      <c r="B181" s="478" t="s">
        <v>360</v>
      </c>
      <c r="C181" s="478" t="s">
        <v>2366</v>
      </c>
      <c r="D181" s="478" t="s">
        <v>382</v>
      </c>
      <c r="E181" s="479">
        <v>1999</v>
      </c>
      <c r="F181" s="479">
        <v>2010</v>
      </c>
      <c r="G181" s="94">
        <v>6</v>
      </c>
    </row>
    <row r="182" spans="1:7">
      <c r="A182" s="478" t="s">
        <v>383</v>
      </c>
      <c r="B182" s="478" t="s">
        <v>360</v>
      </c>
      <c r="C182" s="478" t="s">
        <v>2366</v>
      </c>
      <c r="D182" s="478" t="s">
        <v>384</v>
      </c>
      <c r="E182" s="479">
        <v>1999</v>
      </c>
      <c r="F182" s="479">
        <v>2010</v>
      </c>
      <c r="G182" s="94">
        <v>6</v>
      </c>
    </row>
    <row r="183" spans="1:7">
      <c r="A183" s="478" t="s">
        <v>385</v>
      </c>
      <c r="B183" s="478" t="s">
        <v>360</v>
      </c>
      <c r="C183" s="478" t="s">
        <v>2366</v>
      </c>
      <c r="D183" s="501" t="s">
        <v>386</v>
      </c>
      <c r="E183" s="479">
        <v>1999</v>
      </c>
      <c r="F183" s="479">
        <v>2010</v>
      </c>
      <c r="G183" s="94">
        <v>6</v>
      </c>
    </row>
    <row r="184" spans="1:7">
      <c r="A184" s="65" t="s">
        <v>387</v>
      </c>
      <c r="B184" s="65" t="s">
        <v>360</v>
      </c>
      <c r="C184" s="478" t="s">
        <v>2366</v>
      </c>
      <c r="D184" s="65" t="s">
        <v>388</v>
      </c>
      <c r="E184" s="481">
        <v>1999</v>
      </c>
      <c r="F184" s="479">
        <v>2010</v>
      </c>
      <c r="G184" s="94">
        <v>6</v>
      </c>
    </row>
    <row r="185" spans="1:7">
      <c r="A185" s="478"/>
      <c r="B185" s="478"/>
      <c r="C185" s="478"/>
      <c r="D185" s="504" t="s">
        <v>390</v>
      </c>
      <c r="E185" s="479"/>
      <c r="F185" s="479"/>
      <c r="G185" s="94"/>
    </row>
    <row r="186" spans="1:7">
      <c r="A186" s="31" t="s">
        <v>391</v>
      </c>
      <c r="B186" s="65" t="s">
        <v>360</v>
      </c>
      <c r="C186" s="478" t="s">
        <v>2366</v>
      </c>
      <c r="D186" s="31" t="s">
        <v>392</v>
      </c>
      <c r="E186" s="479">
        <v>1999</v>
      </c>
      <c r="F186" s="479">
        <v>2010</v>
      </c>
      <c r="G186" s="94">
        <v>6</v>
      </c>
    </row>
    <row r="187" spans="1:7">
      <c r="A187" s="31" t="s">
        <v>361</v>
      </c>
      <c r="B187" s="65" t="s">
        <v>360</v>
      </c>
      <c r="C187" s="478" t="s">
        <v>2366</v>
      </c>
      <c r="D187" s="31" t="s">
        <v>393</v>
      </c>
      <c r="E187" s="479">
        <v>1999</v>
      </c>
      <c r="F187" s="479">
        <v>2010</v>
      </c>
      <c r="G187" s="94">
        <v>6</v>
      </c>
    </row>
    <row r="188" spans="1:7">
      <c r="A188" s="31" t="s">
        <v>394</v>
      </c>
      <c r="B188" s="65" t="s">
        <v>360</v>
      </c>
      <c r="C188" s="478" t="s">
        <v>2366</v>
      </c>
      <c r="D188" s="31" t="s">
        <v>395</v>
      </c>
      <c r="E188" s="479">
        <v>1999</v>
      </c>
      <c r="F188" s="479">
        <v>2010</v>
      </c>
      <c r="G188" s="94">
        <v>6</v>
      </c>
    </row>
    <row r="189" spans="1:7">
      <c r="A189" s="478" t="s">
        <v>396</v>
      </c>
      <c r="B189" s="478" t="s">
        <v>360</v>
      </c>
      <c r="C189" s="478" t="s">
        <v>2366</v>
      </c>
      <c r="D189" s="478" t="s">
        <v>397</v>
      </c>
      <c r="E189" s="479">
        <v>1999</v>
      </c>
      <c r="F189" s="479">
        <v>2010</v>
      </c>
      <c r="G189" s="94">
        <v>6</v>
      </c>
    </row>
    <row r="190" spans="1:7">
      <c r="A190" s="478" t="s">
        <v>398</v>
      </c>
      <c r="B190" s="478" t="s">
        <v>360</v>
      </c>
      <c r="C190" s="478" t="s">
        <v>2366</v>
      </c>
      <c r="D190" s="478" t="s">
        <v>399</v>
      </c>
      <c r="E190" s="479">
        <v>1999</v>
      </c>
      <c r="F190" s="479">
        <v>2010</v>
      </c>
      <c r="G190" s="94">
        <v>6</v>
      </c>
    </row>
    <row r="191" spans="1:7">
      <c r="A191" s="478" t="s">
        <v>400</v>
      </c>
      <c r="B191" s="478" t="s">
        <v>360</v>
      </c>
      <c r="C191" s="478" t="s">
        <v>2366</v>
      </c>
      <c r="D191" s="478" t="s">
        <v>401</v>
      </c>
      <c r="E191" s="479">
        <v>1999</v>
      </c>
      <c r="F191" s="479">
        <v>2010</v>
      </c>
      <c r="G191" s="94">
        <v>6</v>
      </c>
    </row>
    <row r="192" spans="1:7">
      <c r="A192" s="478" t="s">
        <v>402</v>
      </c>
      <c r="B192" s="478" t="s">
        <v>360</v>
      </c>
      <c r="C192" s="478" t="s">
        <v>2366</v>
      </c>
      <c r="D192" s="478" t="s">
        <v>403</v>
      </c>
      <c r="E192" s="479">
        <v>1999</v>
      </c>
      <c r="F192" s="479">
        <v>2010</v>
      </c>
      <c r="G192" s="94">
        <v>6</v>
      </c>
    </row>
    <row r="193" spans="1:7">
      <c r="A193" s="478" t="s">
        <v>404</v>
      </c>
      <c r="B193" s="478" t="s">
        <v>360</v>
      </c>
      <c r="C193" s="478" t="s">
        <v>2366</v>
      </c>
      <c r="D193" s="478" t="s">
        <v>405</v>
      </c>
      <c r="E193" s="479">
        <v>1999</v>
      </c>
      <c r="F193" s="479">
        <v>2010</v>
      </c>
      <c r="G193" s="94">
        <v>6</v>
      </c>
    </row>
    <row r="194" spans="1:7">
      <c r="A194" s="478" t="s">
        <v>406</v>
      </c>
      <c r="B194" s="478" t="s">
        <v>360</v>
      </c>
      <c r="C194" s="478" t="s">
        <v>2366</v>
      </c>
      <c r="D194" s="478" t="s">
        <v>407</v>
      </c>
      <c r="E194" s="479">
        <v>1999</v>
      </c>
      <c r="F194" s="479">
        <v>2010</v>
      </c>
      <c r="G194" s="94">
        <v>6</v>
      </c>
    </row>
    <row r="195" spans="1:7">
      <c r="A195" s="31" t="s">
        <v>408</v>
      </c>
      <c r="B195" s="65" t="s">
        <v>360</v>
      </c>
      <c r="C195" s="478" t="s">
        <v>2366</v>
      </c>
      <c r="D195" s="31" t="s">
        <v>409</v>
      </c>
      <c r="E195" s="479">
        <v>1999</v>
      </c>
      <c r="F195" s="479">
        <v>2010</v>
      </c>
      <c r="G195" s="94">
        <v>6</v>
      </c>
    </row>
    <row r="196" spans="1:7">
      <c r="A196" s="31" t="s">
        <v>410</v>
      </c>
      <c r="B196" s="65" t="s">
        <v>360</v>
      </c>
      <c r="C196" s="478" t="s">
        <v>2366</v>
      </c>
      <c r="D196" s="31" t="s">
        <v>411</v>
      </c>
      <c r="E196" s="479">
        <v>1999</v>
      </c>
      <c r="F196" s="479">
        <v>2010</v>
      </c>
      <c r="G196" s="94">
        <v>6</v>
      </c>
    </row>
    <row r="197" spans="1:7">
      <c r="A197" s="478" t="s">
        <v>412</v>
      </c>
      <c r="B197" s="478" t="s">
        <v>360</v>
      </c>
      <c r="C197" s="478" t="s">
        <v>2366</v>
      </c>
      <c r="D197" s="478" t="s">
        <v>413</v>
      </c>
      <c r="E197" s="479">
        <v>1999</v>
      </c>
      <c r="F197" s="479">
        <v>2010</v>
      </c>
      <c r="G197" s="94">
        <v>6</v>
      </c>
    </row>
    <row r="198" spans="1:7">
      <c r="A198" s="478" t="s">
        <v>414</v>
      </c>
      <c r="B198" s="478" t="s">
        <v>360</v>
      </c>
      <c r="C198" s="478" t="s">
        <v>2366</v>
      </c>
      <c r="D198" s="478" t="s">
        <v>415</v>
      </c>
      <c r="E198" s="479">
        <v>1999</v>
      </c>
      <c r="F198" s="479">
        <v>2010</v>
      </c>
      <c r="G198" s="94">
        <v>6</v>
      </c>
    </row>
    <row r="199" spans="1:7">
      <c r="A199" s="65" t="s">
        <v>416</v>
      </c>
      <c r="B199" s="65" t="s">
        <v>360</v>
      </c>
      <c r="C199" s="478" t="s">
        <v>2366</v>
      </c>
      <c r="D199" s="112" t="s">
        <v>417</v>
      </c>
      <c r="E199" s="481">
        <v>1999</v>
      </c>
      <c r="F199" s="479">
        <v>2010</v>
      </c>
      <c r="G199" s="94">
        <v>6</v>
      </c>
    </row>
    <row r="200" spans="1:7">
      <c r="A200" s="478"/>
      <c r="B200" s="478"/>
      <c r="C200" s="478"/>
      <c r="D200" s="505"/>
      <c r="E200" s="479"/>
      <c r="F200" s="479"/>
      <c r="G200" s="94"/>
    </row>
    <row r="201" spans="1:7">
      <c r="A201" s="488" t="s">
        <v>418</v>
      </c>
      <c r="B201" s="65" t="s">
        <v>360</v>
      </c>
      <c r="C201" s="478" t="s">
        <v>2366</v>
      </c>
      <c r="D201" s="506" t="s">
        <v>419</v>
      </c>
      <c r="E201" s="479">
        <v>1999</v>
      </c>
      <c r="F201" s="479">
        <v>2010</v>
      </c>
      <c r="G201" s="94">
        <v>6</v>
      </c>
    </row>
    <row r="202" spans="1:7">
      <c r="A202" s="31" t="s">
        <v>420</v>
      </c>
      <c r="B202" s="65" t="s">
        <v>360</v>
      </c>
      <c r="C202" s="478" t="s">
        <v>2366</v>
      </c>
      <c r="D202" s="31" t="s">
        <v>421</v>
      </c>
      <c r="E202" s="479">
        <v>1999</v>
      </c>
      <c r="F202" s="479">
        <v>2010</v>
      </c>
      <c r="G202" s="94">
        <v>6</v>
      </c>
    </row>
    <row r="203" spans="1:7">
      <c r="A203" s="31" t="s">
        <v>361</v>
      </c>
      <c r="B203" s="65" t="s">
        <v>360</v>
      </c>
      <c r="C203" s="478" t="s">
        <v>2366</v>
      </c>
      <c r="D203" s="31" t="s">
        <v>422</v>
      </c>
      <c r="E203" s="479">
        <v>1999</v>
      </c>
      <c r="F203" s="479">
        <v>2010</v>
      </c>
      <c r="G203" s="94">
        <v>6</v>
      </c>
    </row>
    <row r="204" spans="1:7">
      <c r="A204" s="31" t="s">
        <v>423</v>
      </c>
      <c r="B204" s="65" t="s">
        <v>360</v>
      </c>
      <c r="C204" s="478" t="s">
        <v>2366</v>
      </c>
      <c r="D204" s="31" t="s">
        <v>424</v>
      </c>
      <c r="E204" s="479">
        <v>1999</v>
      </c>
      <c r="F204" s="479">
        <v>2010</v>
      </c>
      <c r="G204" s="94">
        <v>6</v>
      </c>
    </row>
    <row r="205" spans="1:7">
      <c r="A205" s="478" t="s">
        <v>425</v>
      </c>
      <c r="B205" s="478" t="s">
        <v>360</v>
      </c>
      <c r="C205" s="478" t="s">
        <v>2366</v>
      </c>
      <c r="D205" s="478" t="s">
        <v>426</v>
      </c>
      <c r="E205" s="479">
        <v>1999</v>
      </c>
      <c r="F205" s="479">
        <v>2010</v>
      </c>
      <c r="G205" s="94">
        <v>6</v>
      </c>
    </row>
    <row r="206" spans="1:7">
      <c r="A206" s="478" t="s">
        <v>427</v>
      </c>
      <c r="B206" s="478" t="s">
        <v>360</v>
      </c>
      <c r="C206" s="478" t="s">
        <v>2366</v>
      </c>
      <c r="D206" s="478" t="s">
        <v>428</v>
      </c>
      <c r="E206" s="479">
        <v>1999</v>
      </c>
      <c r="F206" s="479">
        <v>2010</v>
      </c>
      <c r="G206" s="94">
        <v>6</v>
      </c>
    </row>
    <row r="207" spans="1:7">
      <c r="A207" s="478" t="s">
        <v>429</v>
      </c>
      <c r="B207" s="478" t="s">
        <v>360</v>
      </c>
      <c r="C207" s="478" t="s">
        <v>2366</v>
      </c>
      <c r="D207" s="478" t="s">
        <v>430</v>
      </c>
      <c r="E207" s="479">
        <v>1999</v>
      </c>
      <c r="F207" s="479">
        <v>2010</v>
      </c>
      <c r="G207" s="94">
        <v>6</v>
      </c>
    </row>
    <row r="208" spans="1:7">
      <c r="A208" s="478" t="s">
        <v>431</v>
      </c>
      <c r="B208" s="478" t="s">
        <v>360</v>
      </c>
      <c r="C208" s="478" t="s">
        <v>2366</v>
      </c>
      <c r="D208" s="478" t="s">
        <v>432</v>
      </c>
      <c r="E208" s="479">
        <v>1999</v>
      </c>
      <c r="F208" s="479">
        <v>2010</v>
      </c>
      <c r="G208" s="94">
        <v>6</v>
      </c>
    </row>
    <row r="209" spans="1:7">
      <c r="A209" s="478" t="s">
        <v>433</v>
      </c>
      <c r="B209" s="478" t="s">
        <v>360</v>
      </c>
      <c r="C209" s="478" t="s">
        <v>2366</v>
      </c>
      <c r="D209" s="478" t="s">
        <v>434</v>
      </c>
      <c r="E209" s="479">
        <v>1999</v>
      </c>
      <c r="F209" s="479">
        <v>2010</v>
      </c>
      <c r="G209" s="94">
        <v>6</v>
      </c>
    </row>
    <row r="210" spans="1:7">
      <c r="A210" s="478" t="s">
        <v>435</v>
      </c>
      <c r="B210" s="478" t="s">
        <v>360</v>
      </c>
      <c r="C210" s="478" t="s">
        <v>2366</v>
      </c>
      <c r="D210" s="478" t="s">
        <v>436</v>
      </c>
      <c r="E210" s="479">
        <v>1999</v>
      </c>
      <c r="F210" s="479">
        <v>2010</v>
      </c>
      <c r="G210" s="94">
        <v>6</v>
      </c>
    </row>
    <row r="211" spans="1:7">
      <c r="A211" s="31" t="s">
        <v>437</v>
      </c>
      <c r="B211" s="65" t="s">
        <v>360</v>
      </c>
      <c r="C211" s="478" t="s">
        <v>2366</v>
      </c>
      <c r="D211" s="31" t="s">
        <v>438</v>
      </c>
      <c r="E211" s="479">
        <v>1999</v>
      </c>
      <c r="F211" s="479">
        <v>2010</v>
      </c>
      <c r="G211" s="94">
        <v>6</v>
      </c>
    </row>
    <row r="212" spans="1:7">
      <c r="A212" s="31" t="s">
        <v>439</v>
      </c>
      <c r="B212" s="65" t="s">
        <v>360</v>
      </c>
      <c r="C212" s="478" t="s">
        <v>2366</v>
      </c>
      <c r="D212" s="31" t="s">
        <v>440</v>
      </c>
      <c r="E212" s="479">
        <v>1999</v>
      </c>
      <c r="F212" s="479">
        <v>2010</v>
      </c>
      <c r="G212" s="94">
        <v>6</v>
      </c>
    </row>
    <row r="213" spans="1:7">
      <c r="A213" s="478" t="s">
        <v>441</v>
      </c>
      <c r="B213" s="478" t="s">
        <v>360</v>
      </c>
      <c r="C213" s="478" t="s">
        <v>2366</v>
      </c>
      <c r="D213" s="478" t="s">
        <v>442</v>
      </c>
      <c r="E213" s="479">
        <v>1999</v>
      </c>
      <c r="F213" s="479">
        <v>2010</v>
      </c>
      <c r="G213" s="94">
        <v>6</v>
      </c>
    </row>
    <row r="214" spans="1:7">
      <c r="A214" s="478" t="s">
        <v>443</v>
      </c>
      <c r="B214" s="478" t="s">
        <v>360</v>
      </c>
      <c r="C214" s="478" t="s">
        <v>2366</v>
      </c>
      <c r="D214" s="478" t="s">
        <v>444</v>
      </c>
      <c r="E214" s="479">
        <v>1999</v>
      </c>
      <c r="F214" s="479">
        <v>2010</v>
      </c>
      <c r="G214" s="94">
        <v>6</v>
      </c>
    </row>
    <row r="215" spans="1:7">
      <c r="A215" s="478" t="s">
        <v>445</v>
      </c>
      <c r="B215" s="478" t="s">
        <v>360</v>
      </c>
      <c r="C215" s="478" t="s">
        <v>2366</v>
      </c>
      <c r="D215" s="478" t="s">
        <v>446</v>
      </c>
      <c r="E215" s="479">
        <v>1999</v>
      </c>
      <c r="F215" s="479">
        <v>2010</v>
      </c>
      <c r="G215" s="94">
        <v>6</v>
      </c>
    </row>
    <row r="216" spans="1:7">
      <c r="A216" s="65" t="s">
        <v>447</v>
      </c>
      <c r="B216" s="65" t="s">
        <v>360</v>
      </c>
      <c r="C216" s="478" t="s">
        <v>2366</v>
      </c>
      <c r="D216" s="65" t="s">
        <v>448</v>
      </c>
      <c r="E216" s="481">
        <v>1999</v>
      </c>
      <c r="F216" s="479">
        <v>2010</v>
      </c>
      <c r="G216" s="94">
        <v>6</v>
      </c>
    </row>
    <row r="217" spans="1:7">
      <c r="A217" s="478"/>
      <c r="B217" s="478"/>
      <c r="C217" s="478"/>
      <c r="D217" s="478"/>
      <c r="E217" s="479"/>
      <c r="F217" s="479"/>
      <c r="G217" s="94"/>
    </row>
    <row r="218" spans="1:7">
      <c r="A218" s="31" t="s">
        <v>449</v>
      </c>
      <c r="B218" s="65" t="s">
        <v>360</v>
      </c>
      <c r="C218" s="478" t="s">
        <v>2366</v>
      </c>
      <c r="D218" s="31" t="s">
        <v>450</v>
      </c>
      <c r="E218" s="479">
        <v>1999</v>
      </c>
      <c r="F218" s="479">
        <v>2010</v>
      </c>
      <c r="G218" s="94">
        <v>6</v>
      </c>
    </row>
    <row r="219" spans="1:7">
      <c r="A219" s="31" t="s">
        <v>361</v>
      </c>
      <c r="B219" s="65" t="s">
        <v>360</v>
      </c>
      <c r="C219" s="478" t="s">
        <v>2366</v>
      </c>
      <c r="D219" s="31" t="s">
        <v>451</v>
      </c>
      <c r="E219" s="479">
        <v>1999</v>
      </c>
      <c r="F219" s="479">
        <v>2010</v>
      </c>
      <c r="G219" s="94">
        <v>6</v>
      </c>
    </row>
    <row r="220" spans="1:7">
      <c r="A220" s="31" t="s">
        <v>452</v>
      </c>
      <c r="B220" s="65" t="s">
        <v>360</v>
      </c>
      <c r="C220" s="478" t="s">
        <v>2366</v>
      </c>
      <c r="D220" s="31" t="s">
        <v>453</v>
      </c>
      <c r="E220" s="479">
        <v>1999</v>
      </c>
      <c r="F220" s="479">
        <v>2010</v>
      </c>
      <c r="G220" s="94">
        <v>6</v>
      </c>
    </row>
    <row r="221" spans="1:7">
      <c r="A221" s="478" t="s">
        <v>454</v>
      </c>
      <c r="B221" s="478" t="s">
        <v>360</v>
      </c>
      <c r="C221" s="478" t="s">
        <v>2366</v>
      </c>
      <c r="D221" s="478" t="s">
        <v>455</v>
      </c>
      <c r="E221" s="479">
        <v>1999</v>
      </c>
      <c r="F221" s="479">
        <v>2010</v>
      </c>
      <c r="G221" s="94">
        <v>6</v>
      </c>
    </row>
    <row r="222" spans="1:7">
      <c r="A222" s="478" t="s">
        <v>456</v>
      </c>
      <c r="B222" s="478" t="s">
        <v>360</v>
      </c>
      <c r="C222" s="478" t="s">
        <v>2366</v>
      </c>
      <c r="D222" s="478" t="s">
        <v>457</v>
      </c>
      <c r="E222" s="479">
        <v>1999</v>
      </c>
      <c r="F222" s="479">
        <v>2010</v>
      </c>
      <c r="G222" s="94">
        <v>6</v>
      </c>
    </row>
    <row r="223" spans="1:7">
      <c r="A223" s="478" t="s">
        <v>458</v>
      </c>
      <c r="B223" s="478" t="s">
        <v>360</v>
      </c>
      <c r="C223" s="478" t="s">
        <v>2366</v>
      </c>
      <c r="D223" s="478" t="s">
        <v>459</v>
      </c>
      <c r="E223" s="479">
        <v>1999</v>
      </c>
      <c r="F223" s="479">
        <v>2010</v>
      </c>
      <c r="G223" s="94">
        <v>6</v>
      </c>
    </row>
    <row r="224" spans="1:7">
      <c r="A224" s="478" t="s">
        <v>460</v>
      </c>
      <c r="B224" s="478" t="s">
        <v>360</v>
      </c>
      <c r="C224" s="478" t="s">
        <v>2366</v>
      </c>
      <c r="D224" s="478" t="s">
        <v>461</v>
      </c>
      <c r="E224" s="479">
        <v>1999</v>
      </c>
      <c r="F224" s="479">
        <v>2010</v>
      </c>
      <c r="G224" s="94">
        <v>6</v>
      </c>
    </row>
    <row r="225" spans="1:7">
      <c r="A225" s="478" t="s">
        <v>462</v>
      </c>
      <c r="B225" s="478" t="s">
        <v>360</v>
      </c>
      <c r="C225" s="478" t="s">
        <v>2366</v>
      </c>
      <c r="D225" s="478" t="s">
        <v>463</v>
      </c>
      <c r="E225" s="479">
        <v>1999</v>
      </c>
      <c r="F225" s="479">
        <v>2010</v>
      </c>
      <c r="G225" s="94">
        <v>6</v>
      </c>
    </row>
    <row r="226" spans="1:7">
      <c r="A226" s="478" t="s">
        <v>464</v>
      </c>
      <c r="B226" s="478" t="s">
        <v>360</v>
      </c>
      <c r="C226" s="478" t="s">
        <v>2366</v>
      </c>
      <c r="D226" s="478" t="s">
        <v>465</v>
      </c>
      <c r="E226" s="479">
        <v>1999</v>
      </c>
      <c r="F226" s="479">
        <v>2010</v>
      </c>
      <c r="G226" s="94">
        <v>6</v>
      </c>
    </row>
    <row r="227" spans="1:7">
      <c r="A227" s="31" t="s">
        <v>466</v>
      </c>
      <c r="B227" s="65" t="s">
        <v>360</v>
      </c>
      <c r="C227" s="478" t="s">
        <v>2366</v>
      </c>
      <c r="D227" s="31" t="s">
        <v>467</v>
      </c>
      <c r="E227" s="479">
        <v>1999</v>
      </c>
      <c r="F227" s="479">
        <v>2010</v>
      </c>
      <c r="G227" s="94">
        <v>6</v>
      </c>
    </row>
    <row r="228" spans="1:7">
      <c r="A228" s="31" t="s">
        <v>468</v>
      </c>
      <c r="B228" s="65" t="s">
        <v>360</v>
      </c>
      <c r="C228" s="478" t="s">
        <v>2366</v>
      </c>
      <c r="D228" s="31" t="s">
        <v>469</v>
      </c>
      <c r="E228" s="479">
        <v>1999</v>
      </c>
      <c r="F228" s="479">
        <v>2010</v>
      </c>
      <c r="G228" s="94">
        <v>6</v>
      </c>
    </row>
    <row r="229" spans="1:7">
      <c r="A229" s="478" t="s">
        <v>470</v>
      </c>
      <c r="B229" s="478" t="s">
        <v>360</v>
      </c>
      <c r="C229" s="478" t="s">
        <v>2366</v>
      </c>
      <c r="D229" s="478" t="s">
        <v>471</v>
      </c>
      <c r="E229" s="479">
        <v>1999</v>
      </c>
      <c r="F229" s="479">
        <v>2010</v>
      </c>
      <c r="G229" s="94">
        <v>6</v>
      </c>
    </row>
    <row r="230" spans="1:7">
      <c r="A230" s="478" t="s">
        <v>472</v>
      </c>
      <c r="B230" s="478" t="s">
        <v>360</v>
      </c>
      <c r="C230" s="478" t="s">
        <v>2366</v>
      </c>
      <c r="D230" s="478" t="s">
        <v>473</v>
      </c>
      <c r="E230" s="479">
        <v>1999</v>
      </c>
      <c r="F230" s="479">
        <v>2010</v>
      </c>
      <c r="G230" s="94">
        <v>6</v>
      </c>
    </row>
    <row r="231" spans="1:7">
      <c r="A231" s="478" t="s">
        <v>474</v>
      </c>
      <c r="B231" s="478" t="s">
        <v>360</v>
      </c>
      <c r="C231" s="478" t="s">
        <v>2366</v>
      </c>
      <c r="D231" s="478" t="s">
        <v>475</v>
      </c>
      <c r="E231" s="479">
        <v>1999</v>
      </c>
      <c r="F231" s="479">
        <v>2010</v>
      </c>
      <c r="G231" s="94">
        <v>6</v>
      </c>
    </row>
    <row r="232" spans="1:7">
      <c r="A232" s="478"/>
      <c r="B232" s="478"/>
      <c r="C232" s="478"/>
      <c r="D232" s="478"/>
      <c r="E232" s="479"/>
      <c r="F232" s="479"/>
      <c r="G232" s="94"/>
    </row>
    <row r="233" spans="1:7">
      <c r="A233" s="478"/>
      <c r="B233" s="478"/>
      <c r="C233" s="478"/>
      <c r="D233" s="478"/>
      <c r="E233" s="479"/>
      <c r="F233" s="479"/>
      <c r="G233" s="94"/>
    </row>
    <row r="234" spans="1:7">
      <c r="A234" s="478" t="s">
        <v>476</v>
      </c>
      <c r="B234" s="478" t="s">
        <v>360</v>
      </c>
      <c r="C234" s="478" t="s">
        <v>2366</v>
      </c>
      <c r="D234" s="493" t="s">
        <v>477</v>
      </c>
      <c r="E234" s="479">
        <v>1999</v>
      </c>
      <c r="F234" s="479">
        <v>2010</v>
      </c>
      <c r="G234" s="94">
        <v>6</v>
      </c>
    </row>
    <row r="235" spans="1:7">
      <c r="A235" s="478" t="s">
        <v>478</v>
      </c>
      <c r="B235" s="478" t="s">
        <v>479</v>
      </c>
      <c r="C235" s="478" t="s">
        <v>2366</v>
      </c>
      <c r="D235" s="493" t="s">
        <v>480</v>
      </c>
      <c r="E235" s="479">
        <v>1999</v>
      </c>
      <c r="F235" s="479">
        <v>2010</v>
      </c>
      <c r="G235" s="94">
        <v>0</v>
      </c>
    </row>
    <row r="236" spans="1:7">
      <c r="A236" s="65"/>
      <c r="B236" s="65"/>
      <c r="C236" s="65"/>
      <c r="D236" s="65"/>
      <c r="E236" s="65"/>
      <c r="F236" s="65"/>
      <c r="G236" s="94"/>
    </row>
    <row r="237" spans="1:7">
      <c r="A237" s="502" t="s">
        <v>481</v>
      </c>
      <c r="B237" s="487"/>
      <c r="C237" s="478"/>
      <c r="D237" s="487"/>
      <c r="E237" s="487"/>
      <c r="F237" s="487"/>
      <c r="G237" s="94"/>
    </row>
    <row r="238" spans="1:7">
      <c r="A238" s="502" t="s">
        <v>482</v>
      </c>
      <c r="B238" s="502"/>
      <c r="C238" s="478"/>
      <c r="D238" s="507" t="s">
        <v>483</v>
      </c>
      <c r="E238" s="502"/>
      <c r="F238" s="502"/>
      <c r="G238" s="94"/>
    </row>
    <row r="239" spans="1:7">
      <c r="A239" s="508" t="s">
        <v>484</v>
      </c>
      <c r="B239" s="478" t="s">
        <v>360</v>
      </c>
      <c r="C239" s="478" t="s">
        <v>2366</v>
      </c>
      <c r="D239" s="116" t="s">
        <v>485</v>
      </c>
      <c r="E239" s="479">
        <v>1999</v>
      </c>
      <c r="F239" s="479">
        <v>2010</v>
      </c>
      <c r="G239" s="94">
        <v>6</v>
      </c>
    </row>
    <row r="240" spans="1:7">
      <c r="A240" s="508" t="s">
        <v>486</v>
      </c>
      <c r="B240" s="478" t="s">
        <v>360</v>
      </c>
      <c r="C240" s="478" t="s">
        <v>2366</v>
      </c>
      <c r="D240" s="488" t="s">
        <v>487</v>
      </c>
      <c r="E240" s="479">
        <v>1999</v>
      </c>
      <c r="F240" s="479">
        <v>2010</v>
      </c>
      <c r="G240" s="94">
        <v>6</v>
      </c>
    </row>
    <row r="241" spans="1:7">
      <c r="A241" s="508" t="s">
        <v>488</v>
      </c>
      <c r="B241" s="478" t="s">
        <v>360</v>
      </c>
      <c r="C241" s="478" t="s">
        <v>2366</v>
      </c>
      <c r="D241" s="488" t="s">
        <v>489</v>
      </c>
      <c r="E241" s="479">
        <v>1999</v>
      </c>
      <c r="F241" s="479">
        <v>2010</v>
      </c>
      <c r="G241" s="94">
        <v>6</v>
      </c>
    </row>
    <row r="242" spans="1:7">
      <c r="A242" s="508" t="s">
        <v>490</v>
      </c>
      <c r="B242" s="478" t="s">
        <v>360</v>
      </c>
      <c r="C242" s="478" t="s">
        <v>2366</v>
      </c>
      <c r="D242" s="488" t="s">
        <v>491</v>
      </c>
      <c r="E242" s="479">
        <v>1999</v>
      </c>
      <c r="F242" s="479">
        <v>2010</v>
      </c>
      <c r="G242" s="94">
        <v>6</v>
      </c>
    </row>
    <row r="243" spans="1:7">
      <c r="A243" s="508" t="s">
        <v>492</v>
      </c>
      <c r="B243" s="478" t="s">
        <v>360</v>
      </c>
      <c r="C243" s="478" t="s">
        <v>2366</v>
      </c>
      <c r="D243" s="506" t="s">
        <v>419</v>
      </c>
      <c r="E243" s="479">
        <v>1999</v>
      </c>
      <c r="F243" s="479">
        <v>2010</v>
      </c>
      <c r="G243" s="94">
        <v>6</v>
      </c>
    </row>
    <row r="244" spans="1:7">
      <c r="A244" s="508" t="s">
        <v>493</v>
      </c>
      <c r="B244" s="478" t="s">
        <v>360</v>
      </c>
      <c r="C244" s="478" t="s">
        <v>2366</v>
      </c>
      <c r="D244" s="509" t="s">
        <v>446</v>
      </c>
      <c r="E244" s="479">
        <v>1999</v>
      </c>
      <c r="F244" s="479">
        <v>2010</v>
      </c>
      <c r="G244" s="94">
        <v>6</v>
      </c>
    </row>
    <row r="245" spans="1:7">
      <c r="A245" s="508" t="s">
        <v>494</v>
      </c>
      <c r="B245" s="478" t="s">
        <v>360</v>
      </c>
      <c r="C245" s="478" t="s">
        <v>2366</v>
      </c>
      <c r="D245" s="509" t="s">
        <v>444</v>
      </c>
      <c r="E245" s="479">
        <v>1999</v>
      </c>
      <c r="F245" s="479">
        <v>2010</v>
      </c>
      <c r="G245" s="94">
        <v>6</v>
      </c>
    </row>
    <row r="246" spans="1:7">
      <c r="A246" s="508" t="s">
        <v>495</v>
      </c>
      <c r="B246" s="478" t="s">
        <v>360</v>
      </c>
      <c r="C246" s="478" t="s">
        <v>2366</v>
      </c>
      <c r="D246" s="116" t="s">
        <v>260</v>
      </c>
      <c r="E246" s="479">
        <v>1999</v>
      </c>
      <c r="F246" s="479">
        <v>2010</v>
      </c>
      <c r="G246" s="94">
        <v>6</v>
      </c>
    </row>
    <row r="247" spans="1:7">
      <c r="A247" s="508" t="s">
        <v>496</v>
      </c>
      <c r="B247" s="478" t="s">
        <v>360</v>
      </c>
      <c r="C247" s="478" t="s">
        <v>2366</v>
      </c>
      <c r="D247" s="510" t="s">
        <v>497</v>
      </c>
      <c r="E247" s="479">
        <v>1999</v>
      </c>
      <c r="F247" s="479">
        <v>2010</v>
      </c>
      <c r="G247" s="94">
        <v>6</v>
      </c>
    </row>
    <row r="248" spans="1:7">
      <c r="A248" s="508" t="s">
        <v>498</v>
      </c>
      <c r="B248" s="478" t="s">
        <v>360</v>
      </c>
      <c r="C248" s="478" t="s">
        <v>2366</v>
      </c>
      <c r="D248" s="510" t="s">
        <v>353</v>
      </c>
      <c r="E248" s="479">
        <v>1999</v>
      </c>
      <c r="F248" s="479">
        <v>2010</v>
      </c>
      <c r="G248" s="94">
        <v>6</v>
      </c>
    </row>
    <row r="249" spans="1:7">
      <c r="A249" s="508" t="s">
        <v>499</v>
      </c>
      <c r="B249" s="478" t="s">
        <v>360</v>
      </c>
      <c r="C249" s="478" t="s">
        <v>2366</v>
      </c>
      <c r="D249" s="510" t="s">
        <v>500</v>
      </c>
      <c r="E249" s="479">
        <v>1999</v>
      </c>
      <c r="F249" s="479">
        <v>2010</v>
      </c>
      <c r="G249" s="94">
        <v>6</v>
      </c>
    </row>
    <row r="250" spans="1:7">
      <c r="A250" s="508" t="s">
        <v>501</v>
      </c>
      <c r="B250" s="478" t="s">
        <v>360</v>
      </c>
      <c r="C250" s="478" t="s">
        <v>2366</v>
      </c>
      <c r="D250" s="488" t="s">
        <v>502</v>
      </c>
      <c r="E250" s="479">
        <v>1999</v>
      </c>
      <c r="F250" s="479">
        <v>2010</v>
      </c>
      <c r="G250" s="94">
        <v>6</v>
      </c>
    </row>
    <row r="251" spans="1:7">
      <c r="A251" s="508" t="s">
        <v>503</v>
      </c>
      <c r="B251" s="478" t="s">
        <v>360</v>
      </c>
      <c r="C251" s="478" t="s">
        <v>2366</v>
      </c>
      <c r="D251" s="488" t="s">
        <v>504</v>
      </c>
      <c r="E251" s="479">
        <v>1999</v>
      </c>
      <c r="F251" s="479">
        <v>2010</v>
      </c>
      <c r="G251" s="94">
        <v>6</v>
      </c>
    </row>
    <row r="252" spans="1:7">
      <c r="A252" s="508" t="s">
        <v>505</v>
      </c>
      <c r="B252" s="478" t="s">
        <v>360</v>
      </c>
      <c r="C252" s="478" t="s">
        <v>2366</v>
      </c>
      <c r="D252" s="31" t="s">
        <v>506</v>
      </c>
      <c r="E252" s="479">
        <v>1999</v>
      </c>
      <c r="F252" s="479">
        <v>2010</v>
      </c>
      <c r="G252" s="94">
        <v>6</v>
      </c>
    </row>
    <row r="253" spans="1:7">
      <c r="A253" s="508" t="s">
        <v>507</v>
      </c>
      <c r="B253" s="478" t="s">
        <v>360</v>
      </c>
      <c r="C253" s="478" t="s">
        <v>2366</v>
      </c>
      <c r="D253" s="511" t="s">
        <v>508</v>
      </c>
      <c r="E253" s="479">
        <v>1999</v>
      </c>
      <c r="F253" s="479">
        <v>2010</v>
      </c>
      <c r="G253" s="94">
        <v>6</v>
      </c>
    </row>
    <row r="254" spans="1:7">
      <c r="A254" s="512" t="s">
        <v>509</v>
      </c>
      <c r="B254" s="512"/>
      <c r="C254" s="478"/>
      <c r="D254" s="512"/>
      <c r="E254" s="512"/>
      <c r="F254" s="512"/>
      <c r="G254" s="94"/>
    </row>
    <row r="255" spans="1:7">
      <c r="A255" s="508" t="s">
        <v>510</v>
      </c>
      <c r="B255" s="478" t="s">
        <v>360</v>
      </c>
      <c r="C255" s="478" t="s">
        <v>2366</v>
      </c>
      <c r="D255" s="116" t="s">
        <v>511</v>
      </c>
      <c r="E255" s="479">
        <v>1999</v>
      </c>
      <c r="F255" s="479">
        <v>2010</v>
      </c>
      <c r="G255" s="94">
        <v>6</v>
      </c>
    </row>
    <row r="256" spans="1:7">
      <c r="A256" s="508" t="s">
        <v>512</v>
      </c>
      <c r="B256" s="478" t="s">
        <v>360</v>
      </c>
      <c r="C256" s="478" t="s">
        <v>2366</v>
      </c>
      <c r="D256" s="31" t="s">
        <v>513</v>
      </c>
      <c r="E256" s="479">
        <v>1999</v>
      </c>
      <c r="F256" s="479">
        <v>2010</v>
      </c>
      <c r="G256" s="94">
        <v>6</v>
      </c>
    </row>
    <row r="257" spans="1:7">
      <c r="A257" s="508" t="s">
        <v>514</v>
      </c>
      <c r="B257" s="478" t="s">
        <v>360</v>
      </c>
      <c r="C257" s="478" t="s">
        <v>2366</v>
      </c>
      <c r="D257" s="513" t="s">
        <v>515</v>
      </c>
      <c r="E257" s="479">
        <v>1999</v>
      </c>
      <c r="F257" s="479">
        <v>2010</v>
      </c>
      <c r="G257" s="94">
        <v>6</v>
      </c>
    </row>
    <row r="258" spans="1:7">
      <c r="A258" s="508" t="s">
        <v>516</v>
      </c>
      <c r="B258" s="478" t="s">
        <v>360</v>
      </c>
      <c r="C258" s="478" t="s">
        <v>2366</v>
      </c>
      <c r="D258" s="488" t="s">
        <v>517</v>
      </c>
      <c r="E258" s="479">
        <v>1999</v>
      </c>
      <c r="F258" s="479">
        <v>2010</v>
      </c>
      <c r="G258" s="94">
        <v>6</v>
      </c>
    </row>
    <row r="259" spans="1:7">
      <c r="A259" s="508" t="s">
        <v>518</v>
      </c>
      <c r="B259" s="478" t="s">
        <v>360</v>
      </c>
      <c r="C259" s="478" t="s">
        <v>2366</v>
      </c>
      <c r="D259" t="s">
        <v>320</v>
      </c>
      <c r="E259" s="479">
        <v>1999</v>
      </c>
      <c r="F259" s="479">
        <v>2010</v>
      </c>
      <c r="G259" s="94">
        <v>6</v>
      </c>
    </row>
    <row r="260" spans="1:7">
      <c r="A260" s="508" t="s">
        <v>519</v>
      </c>
      <c r="B260" s="478" t="s">
        <v>360</v>
      </c>
      <c r="C260" s="478" t="s">
        <v>2366</v>
      </c>
      <c r="D260" s="514" t="s">
        <v>386</v>
      </c>
      <c r="E260" s="479">
        <v>1999</v>
      </c>
      <c r="F260" s="479">
        <v>2010</v>
      </c>
      <c r="G260" s="94">
        <v>6</v>
      </c>
    </row>
    <row r="261" spans="1:7">
      <c r="A261" s="508" t="s">
        <v>520</v>
      </c>
      <c r="B261" s="478" t="s">
        <v>360</v>
      </c>
      <c r="C261" s="478" t="s">
        <v>2366</v>
      </c>
      <c r="D261" s="514" t="s">
        <v>384</v>
      </c>
      <c r="E261" s="479">
        <v>1999</v>
      </c>
      <c r="F261" s="479">
        <v>2010</v>
      </c>
      <c r="G261" s="94">
        <v>6</v>
      </c>
    </row>
    <row r="262" spans="1:7">
      <c r="A262" s="508" t="s">
        <v>521</v>
      </c>
      <c r="B262" s="478" t="s">
        <v>360</v>
      </c>
      <c r="C262" s="478" t="s">
        <v>2366</v>
      </c>
      <c r="D262" s="511" t="s">
        <v>522</v>
      </c>
      <c r="E262" s="479">
        <v>1999</v>
      </c>
      <c r="F262" s="479">
        <v>2010</v>
      </c>
      <c r="G262" s="94">
        <v>6</v>
      </c>
    </row>
    <row r="263" spans="1:7">
      <c r="A263" s="65"/>
      <c r="B263" s="65"/>
      <c r="C263" s="65"/>
      <c r="D263" s="65"/>
      <c r="E263" s="65"/>
      <c r="F263" s="65"/>
      <c r="G263" s="94"/>
    </row>
    <row r="264" spans="1:7">
      <c r="A264" s="512" t="s">
        <v>523</v>
      </c>
      <c r="B264" s="512"/>
      <c r="C264" s="478"/>
      <c r="D264" s="512"/>
      <c r="E264" s="512"/>
      <c r="F264" s="512"/>
      <c r="G264" s="94"/>
    </row>
    <row r="265" spans="1:7">
      <c r="A265" s="508" t="s">
        <v>524</v>
      </c>
      <c r="B265" s="478" t="s">
        <v>360</v>
      </c>
      <c r="C265" s="478" t="s">
        <v>2366</v>
      </c>
      <c r="D265" s="116" t="s">
        <v>525</v>
      </c>
      <c r="E265" s="479">
        <v>1999</v>
      </c>
      <c r="F265" s="479">
        <v>2010</v>
      </c>
      <c r="G265" s="94">
        <v>6</v>
      </c>
    </row>
    <row r="266" spans="1:7">
      <c r="A266" s="508" t="s">
        <v>526</v>
      </c>
      <c r="B266" s="478" t="s">
        <v>360</v>
      </c>
      <c r="C266" s="478" t="s">
        <v>2366</v>
      </c>
      <c r="D266" s="488" t="s">
        <v>529</v>
      </c>
      <c r="E266" s="479">
        <v>1999</v>
      </c>
      <c r="F266" s="479">
        <v>2010</v>
      </c>
      <c r="G266" s="94">
        <v>6</v>
      </c>
    </row>
    <row r="267" spans="1:7">
      <c r="A267" s="508" t="s">
        <v>530</v>
      </c>
      <c r="B267" s="478" t="s">
        <v>360</v>
      </c>
      <c r="C267" s="478" t="s">
        <v>2366</v>
      </c>
      <c r="D267" s="488" t="s">
        <v>531</v>
      </c>
      <c r="E267" s="479">
        <v>1999</v>
      </c>
      <c r="F267" s="479">
        <v>2010</v>
      </c>
      <c r="G267" s="94">
        <v>6</v>
      </c>
    </row>
    <row r="268" spans="1:7">
      <c r="A268" s="508" t="s">
        <v>532</v>
      </c>
      <c r="B268" s="478" t="s">
        <v>360</v>
      </c>
      <c r="C268" s="478" t="s">
        <v>2366</v>
      </c>
      <c r="D268" s="488" t="s">
        <v>533</v>
      </c>
      <c r="E268" s="479">
        <v>1999</v>
      </c>
      <c r="F268" s="479">
        <v>2010</v>
      </c>
      <c r="G268" s="94">
        <v>6</v>
      </c>
    </row>
    <row r="269" spans="1:7">
      <c r="A269" s="508" t="s">
        <v>534</v>
      </c>
      <c r="B269" s="478" t="s">
        <v>360</v>
      </c>
      <c r="C269" s="478" t="s">
        <v>2366</v>
      </c>
      <c r="D269" s="506" t="s">
        <v>535</v>
      </c>
      <c r="E269" s="479">
        <v>1999</v>
      </c>
      <c r="F269" s="479">
        <v>2010</v>
      </c>
      <c r="G269" s="94">
        <v>6</v>
      </c>
    </row>
    <row r="270" spans="1:7">
      <c r="A270" s="508" t="s">
        <v>536</v>
      </c>
      <c r="B270" s="478" t="s">
        <v>360</v>
      </c>
      <c r="C270" s="478" t="s">
        <v>2366</v>
      </c>
      <c r="D270" s="511" t="s">
        <v>322</v>
      </c>
      <c r="E270" s="479">
        <v>1999</v>
      </c>
      <c r="F270" s="479">
        <v>2010</v>
      </c>
      <c r="G270" s="94">
        <v>6</v>
      </c>
    </row>
    <row r="271" spans="1:7">
      <c r="A271" s="508" t="s">
        <v>537</v>
      </c>
      <c r="B271" s="478" t="s">
        <v>360</v>
      </c>
      <c r="C271" s="478" t="s">
        <v>2366</v>
      </c>
      <c r="D271" s="116" t="s">
        <v>415</v>
      </c>
      <c r="E271" s="479">
        <v>1999</v>
      </c>
      <c r="F271" s="479">
        <v>2010</v>
      </c>
      <c r="G271" s="94">
        <v>6</v>
      </c>
    </row>
    <row r="272" spans="1:7">
      <c r="A272" s="508" t="s">
        <v>538</v>
      </c>
      <c r="B272" s="478" t="s">
        <v>360</v>
      </c>
      <c r="C272" s="478" t="s">
        <v>2366</v>
      </c>
      <c r="D272" s="511" t="s">
        <v>539</v>
      </c>
      <c r="E272" s="479">
        <v>1999</v>
      </c>
      <c r="F272" s="479">
        <v>2010</v>
      </c>
      <c r="G272" s="94">
        <v>6</v>
      </c>
    </row>
    <row r="273" spans="1:7">
      <c r="A273" s="508" t="s">
        <v>540</v>
      </c>
      <c r="B273" s="478" t="s">
        <v>360</v>
      </c>
      <c r="C273" s="478" t="s">
        <v>2366</v>
      </c>
      <c r="D273" s="488" t="s">
        <v>541</v>
      </c>
      <c r="E273" s="479">
        <v>1999</v>
      </c>
      <c r="F273" s="479">
        <v>2010</v>
      </c>
      <c r="G273" s="94">
        <v>6</v>
      </c>
    </row>
    <row r="274" spans="1:7">
      <c r="A274" s="508" t="s">
        <v>542</v>
      </c>
      <c r="B274" s="478" t="s">
        <v>360</v>
      </c>
      <c r="C274" s="478" t="s">
        <v>2366</v>
      </c>
      <c r="D274" s="31" t="s">
        <v>355</v>
      </c>
      <c r="E274" s="479">
        <v>1999</v>
      </c>
      <c r="F274" s="479">
        <v>2010</v>
      </c>
      <c r="G274" s="94">
        <v>6</v>
      </c>
    </row>
    <row r="275" spans="1:7">
      <c r="A275" s="508" t="s">
        <v>543</v>
      </c>
      <c r="B275" s="478" t="s">
        <v>360</v>
      </c>
      <c r="C275" s="478" t="s">
        <v>2366</v>
      </c>
      <c r="D275" s="510" t="s">
        <v>544</v>
      </c>
      <c r="E275" s="479">
        <v>1999</v>
      </c>
      <c r="F275" s="479">
        <v>2010</v>
      </c>
      <c r="G275" s="94">
        <v>6</v>
      </c>
    </row>
    <row r="276" spans="1:7">
      <c r="A276" s="508" t="s">
        <v>545</v>
      </c>
      <c r="B276" s="478" t="s">
        <v>360</v>
      </c>
      <c r="C276" s="478" t="s">
        <v>2366</v>
      </c>
      <c r="D276" s="31" t="s">
        <v>546</v>
      </c>
      <c r="E276" s="479">
        <v>1999</v>
      </c>
      <c r="F276" s="479">
        <v>2010</v>
      </c>
      <c r="G276" s="94">
        <v>6</v>
      </c>
    </row>
    <row r="277" spans="1:7">
      <c r="A277" s="508" t="s">
        <v>547</v>
      </c>
      <c r="B277" s="478" t="s">
        <v>360</v>
      </c>
      <c r="C277" s="478" t="s">
        <v>2366</v>
      </c>
      <c r="D277" s="488" t="s">
        <v>548</v>
      </c>
      <c r="E277" s="479">
        <v>1999</v>
      </c>
      <c r="F277" s="479">
        <v>2010</v>
      </c>
      <c r="G277" s="94">
        <v>6</v>
      </c>
    </row>
    <row r="278" spans="1:7">
      <c r="A278" s="508" t="s">
        <v>549</v>
      </c>
      <c r="B278" s="478" t="s">
        <v>360</v>
      </c>
      <c r="C278" s="478" t="s">
        <v>2366</v>
      </c>
      <c r="D278" s="31" t="s">
        <v>550</v>
      </c>
      <c r="E278" s="479">
        <v>1999</v>
      </c>
      <c r="F278" s="479">
        <v>2010</v>
      </c>
      <c r="G278" s="94">
        <v>6</v>
      </c>
    </row>
    <row r="279" spans="1:7">
      <c r="A279" s="508" t="s">
        <v>551</v>
      </c>
      <c r="B279" s="478" t="s">
        <v>360</v>
      </c>
      <c r="C279" s="478" t="s">
        <v>2366</v>
      </c>
      <c r="D279" s="511" t="s">
        <v>552</v>
      </c>
      <c r="E279" s="479">
        <v>1999</v>
      </c>
      <c r="F279" s="479">
        <v>2010</v>
      </c>
      <c r="G279" s="94">
        <v>6</v>
      </c>
    </row>
    <row r="280" spans="1:7">
      <c r="A280" s="512" t="s">
        <v>553</v>
      </c>
      <c r="B280" s="512"/>
      <c r="C280" s="478"/>
      <c r="D280" s="512"/>
      <c r="E280" s="512"/>
      <c r="F280" s="512"/>
      <c r="G280" s="94"/>
    </row>
    <row r="281" spans="1:7">
      <c r="A281" s="508" t="s">
        <v>554</v>
      </c>
      <c r="B281" s="478" t="s">
        <v>360</v>
      </c>
      <c r="C281" s="478" t="s">
        <v>2366</v>
      </c>
      <c r="D281" s="116" t="s">
        <v>555</v>
      </c>
      <c r="E281" s="479">
        <v>1999</v>
      </c>
      <c r="F281" s="479">
        <v>2010</v>
      </c>
      <c r="G281" s="94">
        <v>6</v>
      </c>
    </row>
    <row r="282" spans="1:7">
      <c r="A282" s="508" t="s">
        <v>556</v>
      </c>
      <c r="B282" s="478" t="s">
        <v>360</v>
      </c>
      <c r="C282" s="478" t="s">
        <v>2366</v>
      </c>
      <c r="D282" s="488" t="s">
        <v>557</v>
      </c>
      <c r="E282" s="479">
        <v>1999</v>
      </c>
      <c r="F282" s="479">
        <v>2010</v>
      </c>
      <c r="G282" s="94">
        <v>6</v>
      </c>
    </row>
    <row r="283" spans="1:7">
      <c r="A283" s="508" t="s">
        <v>558</v>
      </c>
      <c r="B283" s="478" t="s">
        <v>360</v>
      </c>
      <c r="C283" s="478" t="s">
        <v>2366</v>
      </c>
      <c r="D283" s="488" t="s">
        <v>559</v>
      </c>
      <c r="E283" s="479">
        <v>1999</v>
      </c>
      <c r="F283" s="479">
        <v>2010</v>
      </c>
      <c r="G283" s="94">
        <v>6</v>
      </c>
    </row>
    <row r="284" spans="1:7">
      <c r="A284" s="508" t="s">
        <v>560</v>
      </c>
      <c r="B284" s="478" t="s">
        <v>360</v>
      </c>
      <c r="C284" s="478" t="s">
        <v>2366</v>
      </c>
      <c r="D284" s="488" t="s">
        <v>561</v>
      </c>
      <c r="E284" s="479">
        <v>1999</v>
      </c>
      <c r="F284" s="479">
        <v>2010</v>
      </c>
      <c r="G284" s="94">
        <v>6</v>
      </c>
    </row>
    <row r="285" spans="1:7">
      <c r="A285" s="508" t="s">
        <v>562</v>
      </c>
      <c r="B285" s="478" t="s">
        <v>360</v>
      </c>
      <c r="C285" s="478" t="s">
        <v>2366</v>
      </c>
      <c r="D285" s="488" t="s">
        <v>563</v>
      </c>
      <c r="E285" s="479">
        <v>1999</v>
      </c>
      <c r="F285" s="479">
        <v>2010</v>
      </c>
      <c r="G285" s="94">
        <v>6</v>
      </c>
    </row>
    <row r="286" spans="1:7">
      <c r="A286" s="508" t="s">
        <v>564</v>
      </c>
      <c r="B286" s="478" t="s">
        <v>360</v>
      </c>
      <c r="C286" s="478" t="s">
        <v>2366</v>
      </c>
      <c r="D286" s="488" t="s">
        <v>565</v>
      </c>
      <c r="E286" s="479">
        <v>1999</v>
      </c>
      <c r="F286" s="479">
        <v>2010</v>
      </c>
      <c r="G286" s="94">
        <v>6</v>
      </c>
    </row>
    <row r="287" spans="1:7">
      <c r="A287" s="508" t="s">
        <v>566</v>
      </c>
      <c r="B287" s="478" t="s">
        <v>360</v>
      </c>
      <c r="C287" s="478" t="s">
        <v>2366</v>
      </c>
      <c r="D287" s="506" t="s">
        <v>567</v>
      </c>
      <c r="E287" s="479">
        <v>1999</v>
      </c>
      <c r="F287" s="479">
        <v>2010</v>
      </c>
      <c r="G287" s="94">
        <v>6</v>
      </c>
    </row>
    <row r="288" spans="1:7">
      <c r="A288" s="508" t="s">
        <v>568</v>
      </c>
      <c r="B288" s="478" t="s">
        <v>360</v>
      </c>
      <c r="C288" s="478" t="s">
        <v>2366</v>
      </c>
      <c r="D288" s="116" t="s">
        <v>475</v>
      </c>
      <c r="E288" s="479">
        <v>1999</v>
      </c>
      <c r="F288" s="479">
        <v>2010</v>
      </c>
      <c r="G288" s="94">
        <v>6</v>
      </c>
    </row>
    <row r="289" spans="1:7">
      <c r="A289" s="508" t="s">
        <v>569</v>
      </c>
      <c r="B289" s="478" t="s">
        <v>360</v>
      </c>
      <c r="C289" s="478" t="s">
        <v>2366</v>
      </c>
      <c r="D289" s="510" t="s">
        <v>570</v>
      </c>
      <c r="E289" s="479">
        <v>1999</v>
      </c>
      <c r="F289" s="479">
        <v>2010</v>
      </c>
      <c r="G289" s="94">
        <v>6</v>
      </c>
    </row>
    <row r="290" spans="1:7">
      <c r="A290" s="508" t="s">
        <v>571</v>
      </c>
      <c r="B290" s="478" t="s">
        <v>360</v>
      </c>
      <c r="C290" s="478" t="s">
        <v>2366</v>
      </c>
      <c r="D290" s="116" t="s">
        <v>473</v>
      </c>
      <c r="E290" s="479">
        <v>1999</v>
      </c>
      <c r="F290" s="479">
        <v>2010</v>
      </c>
      <c r="G290" s="94">
        <v>6</v>
      </c>
    </row>
    <row r="291" spans="1:7">
      <c r="A291" s="508" t="s">
        <v>572</v>
      </c>
      <c r="B291" s="478" t="s">
        <v>360</v>
      </c>
      <c r="C291" s="478" t="s">
        <v>2366</v>
      </c>
      <c r="D291" s="116" t="s">
        <v>573</v>
      </c>
      <c r="E291" s="479">
        <v>1999</v>
      </c>
      <c r="F291" s="479">
        <v>2010</v>
      </c>
      <c r="G291" s="94">
        <v>6</v>
      </c>
    </row>
    <row r="292" spans="1:7">
      <c r="A292" s="508" t="s">
        <v>574</v>
      </c>
      <c r="B292" s="478" t="s">
        <v>360</v>
      </c>
      <c r="C292" s="478" t="s">
        <v>2366</v>
      </c>
      <c r="D292" s="488" t="s">
        <v>575</v>
      </c>
      <c r="E292" s="479">
        <v>1999</v>
      </c>
      <c r="F292" s="479">
        <v>2010</v>
      </c>
      <c r="G292" s="94">
        <v>6</v>
      </c>
    </row>
    <row r="293" spans="1:7">
      <c r="A293" s="508" t="s">
        <v>576</v>
      </c>
      <c r="B293" s="478" t="s">
        <v>360</v>
      </c>
      <c r="C293" s="478" t="s">
        <v>2366</v>
      </c>
      <c r="D293" s="488" t="s">
        <v>577</v>
      </c>
      <c r="E293" s="479">
        <v>1999</v>
      </c>
      <c r="F293" s="479">
        <v>2010</v>
      </c>
      <c r="G293" s="94">
        <v>6</v>
      </c>
    </row>
    <row r="294" spans="1:7">
      <c r="A294" s="508"/>
      <c r="B294" s="478"/>
      <c r="C294" s="478"/>
      <c r="D294" s="488"/>
      <c r="E294" s="479"/>
      <c r="F294" s="479"/>
      <c r="G294" s="94"/>
    </row>
    <row r="295" spans="1:7">
      <c r="A295" s="508" t="s">
        <v>578</v>
      </c>
      <c r="B295" s="478" t="s">
        <v>360</v>
      </c>
      <c r="C295" s="478" t="s">
        <v>2366</v>
      </c>
      <c r="D295" s="488" t="s">
        <v>579</v>
      </c>
      <c r="E295" s="479">
        <v>1999</v>
      </c>
      <c r="F295" s="479">
        <v>2010</v>
      </c>
      <c r="G295" s="94">
        <v>6</v>
      </c>
    </row>
    <row r="296" spans="1:7">
      <c r="A296" s="508" t="s">
        <v>580</v>
      </c>
      <c r="B296" s="65" t="s">
        <v>581</v>
      </c>
      <c r="C296" s="478" t="s">
        <v>2366</v>
      </c>
      <c r="D296" s="485" t="s">
        <v>582</v>
      </c>
      <c r="E296" s="479">
        <v>1999</v>
      </c>
      <c r="F296" s="479">
        <v>2010</v>
      </c>
      <c r="G296" s="94">
        <v>9</v>
      </c>
    </row>
    <row r="297" spans="1:7">
      <c r="A297" s="508" t="s">
        <v>583</v>
      </c>
      <c r="B297" s="65" t="s">
        <v>581</v>
      </c>
      <c r="C297" s="478" t="s">
        <v>2366</v>
      </c>
      <c r="D297" s="485" t="s">
        <v>584</v>
      </c>
      <c r="E297" s="479">
        <v>1999</v>
      </c>
      <c r="F297" s="479">
        <v>2010</v>
      </c>
      <c r="G297" s="94">
        <v>9</v>
      </c>
    </row>
    <row r="298" spans="1:7">
      <c r="A298" s="474" t="s">
        <v>585</v>
      </c>
      <c r="B298" s="65"/>
      <c r="C298" s="478"/>
      <c r="D298" s="65"/>
      <c r="E298" s="65"/>
      <c r="F298" s="65"/>
      <c r="G298" s="94"/>
    </row>
    <row r="299" spans="1:7">
      <c r="A299" s="515" t="s">
        <v>586</v>
      </c>
      <c r="B299" s="508" t="s">
        <v>360</v>
      </c>
      <c r="C299" s="478" t="s">
        <v>2366</v>
      </c>
      <c r="D299" s="516" t="s">
        <v>587</v>
      </c>
      <c r="E299" s="478">
        <v>1999</v>
      </c>
      <c r="F299" s="478">
        <v>2010</v>
      </c>
      <c r="G299" s="94">
        <v>6</v>
      </c>
    </row>
    <row r="300" spans="1:7">
      <c r="A300" s="31" t="s">
        <v>588</v>
      </c>
      <c r="B300" s="65" t="s">
        <v>360</v>
      </c>
      <c r="C300" s="478" t="s">
        <v>2366</v>
      </c>
      <c r="D300" s="31" t="s">
        <v>589</v>
      </c>
      <c r="E300" s="479">
        <v>1999</v>
      </c>
      <c r="F300" s="479">
        <v>2010</v>
      </c>
      <c r="G300" s="94">
        <v>0</v>
      </c>
    </row>
    <row r="301" spans="1:7">
      <c r="A301" s="31" t="s">
        <v>590</v>
      </c>
      <c r="B301" s="65" t="s">
        <v>360</v>
      </c>
      <c r="C301" s="478" t="s">
        <v>2366</v>
      </c>
      <c r="D301" s="31" t="s">
        <v>591</v>
      </c>
      <c r="E301" s="479">
        <v>1999</v>
      </c>
      <c r="F301" s="479">
        <v>2010</v>
      </c>
      <c r="G301" s="94">
        <v>0</v>
      </c>
    </row>
    <row r="302" spans="1:7">
      <c r="A302" s="31" t="s">
        <v>592</v>
      </c>
      <c r="B302" s="65" t="s">
        <v>360</v>
      </c>
      <c r="C302" s="478" t="s">
        <v>2366</v>
      </c>
      <c r="D302" s="31" t="s">
        <v>593</v>
      </c>
      <c r="E302" s="479">
        <v>1999</v>
      </c>
      <c r="F302" s="479">
        <v>2010</v>
      </c>
      <c r="G302" s="94">
        <v>0</v>
      </c>
    </row>
    <row r="303" spans="1:7">
      <c r="A303" s="31"/>
      <c r="B303" s="65"/>
      <c r="C303" s="478"/>
      <c r="D303" s="31"/>
      <c r="E303" s="479"/>
      <c r="F303" s="479"/>
      <c r="G303" s="94"/>
    </row>
    <row r="304" spans="1:7">
      <c r="A304" s="502" t="s">
        <v>594</v>
      </c>
      <c r="B304" s="65"/>
      <c r="C304" s="478"/>
      <c r="D304" s="65"/>
      <c r="E304" s="65"/>
      <c r="F304" s="65"/>
      <c r="G304" s="94"/>
    </row>
    <row r="305" spans="1:7">
      <c r="A305" s="65" t="s">
        <v>595</v>
      </c>
      <c r="B305" s="65" t="s">
        <v>360</v>
      </c>
      <c r="C305" s="478" t="s">
        <v>2366</v>
      </c>
      <c r="D305" s="65" t="s">
        <v>596</v>
      </c>
      <c r="E305" s="481">
        <v>1999</v>
      </c>
      <c r="F305" s="479">
        <v>2010</v>
      </c>
      <c r="G305" s="94">
        <v>6</v>
      </c>
    </row>
    <row r="306" spans="1:7">
      <c r="A306" s="65" t="s">
        <v>597</v>
      </c>
      <c r="B306" s="65" t="s">
        <v>360</v>
      </c>
      <c r="C306" s="478" t="s">
        <v>2366</v>
      </c>
      <c r="D306" s="65" t="s">
        <v>598</v>
      </c>
      <c r="E306" s="481">
        <v>1999</v>
      </c>
      <c r="F306" s="479">
        <v>2010</v>
      </c>
      <c r="G306" s="94">
        <v>6</v>
      </c>
    </row>
    <row r="307" spans="1:7">
      <c r="A307" s="65" t="s">
        <v>599</v>
      </c>
      <c r="B307" s="65" t="s">
        <v>360</v>
      </c>
      <c r="C307" s="478" t="s">
        <v>2366</v>
      </c>
      <c r="D307" s="65" t="s">
        <v>600</v>
      </c>
      <c r="E307" s="481">
        <v>1999</v>
      </c>
      <c r="F307" s="479">
        <v>2010</v>
      </c>
      <c r="G307" s="94">
        <v>6</v>
      </c>
    </row>
    <row r="308" spans="1:7">
      <c r="A308" s="65" t="s">
        <v>597</v>
      </c>
      <c r="B308" s="65" t="s">
        <v>360</v>
      </c>
      <c r="C308" s="478" t="s">
        <v>2366</v>
      </c>
      <c r="D308" s="65" t="s">
        <v>601</v>
      </c>
      <c r="E308" s="481">
        <v>1999</v>
      </c>
      <c r="F308" s="479">
        <v>2010</v>
      </c>
      <c r="G308" s="94">
        <v>6</v>
      </c>
    </row>
    <row r="309" spans="1:7">
      <c r="A309" s="65"/>
      <c r="B309" s="65"/>
      <c r="C309" s="65"/>
      <c r="D309" s="65"/>
      <c r="E309" s="65"/>
      <c r="F309" s="65"/>
      <c r="G309" s="94"/>
    </row>
    <row r="310" spans="1:7">
      <c r="A310" s="502" t="s">
        <v>602</v>
      </c>
      <c r="B310" s="487"/>
      <c r="C310" s="487"/>
      <c r="D310" s="487"/>
      <c r="E310" s="478"/>
      <c r="F310" s="478"/>
      <c r="G310" s="94"/>
    </row>
    <row r="311" spans="1:7">
      <c r="A311" s="478" t="s">
        <v>603</v>
      </c>
      <c r="B311" s="492" t="s">
        <v>604</v>
      </c>
      <c r="C311" s="478" t="s">
        <v>2366</v>
      </c>
      <c r="D311" s="492" t="s">
        <v>605</v>
      </c>
      <c r="E311" s="479">
        <v>1999</v>
      </c>
      <c r="F311" s="479">
        <v>2010</v>
      </c>
      <c r="G311" s="94">
        <v>6</v>
      </c>
    </row>
    <row r="312" spans="1:7">
      <c r="A312" s="478" t="s">
        <v>606</v>
      </c>
      <c r="B312" s="492" t="s">
        <v>604</v>
      </c>
      <c r="C312" s="478" t="s">
        <v>2366</v>
      </c>
      <c r="D312" s="492" t="s">
        <v>607</v>
      </c>
      <c r="E312" s="479">
        <v>1999</v>
      </c>
      <c r="F312" s="479">
        <v>2010</v>
      </c>
      <c r="G312" s="94">
        <v>6</v>
      </c>
    </row>
    <row r="313" spans="1:7">
      <c r="A313" s="478" t="s">
        <v>608</v>
      </c>
      <c r="B313" s="492" t="s">
        <v>604</v>
      </c>
      <c r="C313" s="478" t="s">
        <v>2366</v>
      </c>
      <c r="D313" s="492" t="s">
        <v>609</v>
      </c>
      <c r="E313" s="479">
        <v>1999</v>
      </c>
      <c r="F313" s="479">
        <v>2010</v>
      </c>
      <c r="G313" s="94">
        <v>6</v>
      </c>
    </row>
    <row r="314" spans="1:7">
      <c r="A314" s="478" t="s">
        <v>610</v>
      </c>
      <c r="B314" s="492" t="s">
        <v>604</v>
      </c>
      <c r="C314" s="478" t="s">
        <v>2366</v>
      </c>
      <c r="D314" s="492" t="s">
        <v>611</v>
      </c>
      <c r="E314" s="479">
        <v>1999</v>
      </c>
      <c r="F314" s="479">
        <v>2010</v>
      </c>
      <c r="G314" s="94">
        <v>6</v>
      </c>
    </row>
    <row r="315" spans="1:7">
      <c r="A315" s="478" t="s">
        <v>612</v>
      </c>
      <c r="B315" s="492" t="s">
        <v>604</v>
      </c>
      <c r="C315" s="478" t="s">
        <v>2366</v>
      </c>
      <c r="D315" s="492" t="s">
        <v>613</v>
      </c>
      <c r="E315" s="479">
        <v>1999</v>
      </c>
      <c r="F315" s="479">
        <v>2010</v>
      </c>
      <c r="G315" s="94">
        <v>6</v>
      </c>
    </row>
    <row r="316" spans="1:7">
      <c r="A316" s="478" t="s">
        <v>614</v>
      </c>
      <c r="B316" s="492" t="s">
        <v>604</v>
      </c>
      <c r="C316" s="478" t="s">
        <v>2366</v>
      </c>
      <c r="D316" s="492" t="s">
        <v>615</v>
      </c>
      <c r="E316" s="479">
        <v>1999</v>
      </c>
      <c r="F316" s="479">
        <v>2010</v>
      </c>
      <c r="G316" s="94">
        <v>6</v>
      </c>
    </row>
    <row r="317" spans="1:7">
      <c r="A317" s="517" t="s">
        <v>616</v>
      </c>
      <c r="B317" s="492" t="s">
        <v>604</v>
      </c>
      <c r="C317" s="478" t="s">
        <v>2366</v>
      </c>
      <c r="D317" s="496" t="s">
        <v>617</v>
      </c>
      <c r="E317" s="479">
        <v>1999</v>
      </c>
      <c r="F317" s="479">
        <v>2010</v>
      </c>
      <c r="G317" s="94">
        <v>6</v>
      </c>
    </row>
    <row r="318" spans="1:7">
      <c r="A318" s="478" t="s">
        <v>618</v>
      </c>
      <c r="B318" s="492" t="s">
        <v>604</v>
      </c>
      <c r="C318" s="478" t="s">
        <v>2366</v>
      </c>
      <c r="D318" s="492" t="s">
        <v>619</v>
      </c>
      <c r="E318" s="479">
        <v>1999</v>
      </c>
      <c r="F318" s="479">
        <v>2010</v>
      </c>
      <c r="G318" s="94">
        <v>6</v>
      </c>
    </row>
    <row r="319" spans="1:7">
      <c r="A319" s="478" t="s">
        <v>620</v>
      </c>
      <c r="B319" s="492" t="s">
        <v>604</v>
      </c>
      <c r="C319" s="478" t="s">
        <v>2366</v>
      </c>
      <c r="D319" s="492" t="s">
        <v>621</v>
      </c>
      <c r="E319" s="479">
        <v>1999</v>
      </c>
      <c r="F319" s="479">
        <v>2010</v>
      </c>
      <c r="G319" s="94">
        <v>6</v>
      </c>
    </row>
    <row r="320" spans="1:7">
      <c r="A320" s="478" t="s">
        <v>622</v>
      </c>
      <c r="B320" s="492" t="s">
        <v>604</v>
      </c>
      <c r="C320" s="478" t="s">
        <v>2366</v>
      </c>
      <c r="D320" s="492" t="s">
        <v>623</v>
      </c>
      <c r="E320" s="479">
        <v>1999</v>
      </c>
      <c r="F320" s="479">
        <v>2010</v>
      </c>
      <c r="G320" s="94">
        <v>6</v>
      </c>
    </row>
    <row r="321" spans="1:7">
      <c r="A321" s="478" t="s">
        <v>624</v>
      </c>
      <c r="B321" s="492" t="s">
        <v>604</v>
      </c>
      <c r="C321" s="478" t="s">
        <v>2366</v>
      </c>
      <c r="D321" s="493" t="s">
        <v>625</v>
      </c>
      <c r="E321" s="479">
        <v>1999</v>
      </c>
      <c r="F321" s="479">
        <v>2010</v>
      </c>
      <c r="G321" s="94">
        <v>6</v>
      </c>
    </row>
    <row r="322" spans="1:7">
      <c r="A322" s="478" t="s">
        <v>626</v>
      </c>
      <c r="B322" s="492" t="s">
        <v>604</v>
      </c>
      <c r="C322" s="478" t="s">
        <v>2366</v>
      </c>
      <c r="D322" s="493" t="s">
        <v>627</v>
      </c>
      <c r="E322" s="479">
        <v>1999</v>
      </c>
      <c r="F322" s="479">
        <v>2010</v>
      </c>
      <c r="G322" s="94">
        <v>6</v>
      </c>
    </row>
    <row r="323" spans="1:7">
      <c r="A323" s="478" t="s">
        <v>628</v>
      </c>
      <c r="B323" s="492" t="s">
        <v>604</v>
      </c>
      <c r="C323" s="478" t="s">
        <v>2366</v>
      </c>
      <c r="D323" s="492" t="s">
        <v>629</v>
      </c>
      <c r="E323" s="479">
        <v>1999</v>
      </c>
      <c r="F323" s="479">
        <v>2010</v>
      </c>
      <c r="G323" s="94">
        <v>6</v>
      </c>
    </row>
    <row r="324" spans="1:7">
      <c r="A324" s="478" t="s">
        <v>630</v>
      </c>
      <c r="B324" s="492" t="s">
        <v>604</v>
      </c>
      <c r="C324" s="478" t="s">
        <v>2366</v>
      </c>
      <c r="D324" s="493" t="s">
        <v>631</v>
      </c>
      <c r="E324" s="479">
        <v>1999</v>
      </c>
      <c r="F324" s="479">
        <v>2010</v>
      </c>
      <c r="G324" s="94">
        <v>6</v>
      </c>
    </row>
    <row r="325" spans="1:7">
      <c r="A325" s="478" t="s">
        <v>632</v>
      </c>
      <c r="B325" s="492" t="s">
        <v>604</v>
      </c>
      <c r="C325" s="478" t="s">
        <v>2366</v>
      </c>
      <c r="D325" s="492" t="s">
        <v>633</v>
      </c>
      <c r="E325" s="479">
        <v>1999</v>
      </c>
      <c r="F325" s="479">
        <v>2010</v>
      </c>
      <c r="G325" s="94">
        <v>6</v>
      </c>
    </row>
    <row r="326" spans="1:7">
      <c r="A326" s="502" t="s">
        <v>634</v>
      </c>
      <c r="B326" s="518"/>
      <c r="C326" s="518"/>
      <c r="D326" s="518"/>
      <c r="E326" s="478"/>
      <c r="F326" s="478"/>
      <c r="G326" s="94"/>
    </row>
    <row r="327" spans="1:7">
      <c r="A327" s="478" t="s">
        <v>635</v>
      </c>
      <c r="B327" s="492" t="s">
        <v>604</v>
      </c>
      <c r="C327" s="478" t="s">
        <v>2366</v>
      </c>
      <c r="D327" s="492" t="s">
        <v>636</v>
      </c>
      <c r="E327" s="479">
        <v>1999</v>
      </c>
      <c r="F327" s="479">
        <v>2010</v>
      </c>
      <c r="G327" s="94">
        <v>6</v>
      </c>
    </row>
    <row r="328" spans="1:7">
      <c r="A328" s="478" t="s">
        <v>637</v>
      </c>
      <c r="B328" s="492" t="s">
        <v>604</v>
      </c>
      <c r="C328" s="478" t="s">
        <v>2366</v>
      </c>
      <c r="D328" s="492" t="s">
        <v>638</v>
      </c>
      <c r="E328" s="479">
        <v>1999</v>
      </c>
      <c r="F328" s="479">
        <v>2010</v>
      </c>
      <c r="G328" s="94">
        <v>6</v>
      </c>
    </row>
    <row r="329" spans="1:7">
      <c r="A329" s="478" t="s">
        <v>639</v>
      </c>
      <c r="B329" s="492" t="s">
        <v>604</v>
      </c>
      <c r="C329" s="478" t="s">
        <v>2366</v>
      </c>
      <c r="D329" s="492" t="s">
        <v>640</v>
      </c>
      <c r="E329" s="479">
        <v>1999</v>
      </c>
      <c r="F329" s="479">
        <v>2010</v>
      </c>
      <c r="G329" s="94">
        <v>6</v>
      </c>
    </row>
    <row r="330" spans="1:7">
      <c r="A330" s="478" t="s">
        <v>641</v>
      </c>
      <c r="B330" s="492" t="s">
        <v>604</v>
      </c>
      <c r="C330" s="478" t="s">
        <v>2366</v>
      </c>
      <c r="D330" s="492" t="s">
        <v>642</v>
      </c>
      <c r="E330" s="479">
        <v>1999</v>
      </c>
      <c r="F330" s="479">
        <v>2010</v>
      </c>
      <c r="G330" s="94">
        <v>6</v>
      </c>
    </row>
    <row r="331" spans="1:7">
      <c r="A331" s="478" t="s">
        <v>643</v>
      </c>
      <c r="B331" s="492" t="s">
        <v>604</v>
      </c>
      <c r="C331" s="478" t="s">
        <v>2366</v>
      </c>
      <c r="D331" s="492" t="s">
        <v>644</v>
      </c>
      <c r="E331" s="479">
        <v>1999</v>
      </c>
      <c r="F331" s="479">
        <v>2010</v>
      </c>
      <c r="G331" s="94">
        <v>6</v>
      </c>
    </row>
    <row r="332" spans="1:7">
      <c r="A332" s="478" t="s">
        <v>645</v>
      </c>
      <c r="B332" s="492" t="s">
        <v>604</v>
      </c>
      <c r="C332" s="478" t="s">
        <v>2366</v>
      </c>
      <c r="D332" s="492" t="s">
        <v>646</v>
      </c>
      <c r="E332" s="479">
        <v>1999</v>
      </c>
      <c r="F332" s="479">
        <v>2010</v>
      </c>
      <c r="G332" s="94">
        <v>6</v>
      </c>
    </row>
    <row r="333" spans="1:7">
      <c r="A333" s="517" t="s">
        <v>647</v>
      </c>
      <c r="B333" s="492" t="s">
        <v>604</v>
      </c>
      <c r="C333" s="478" t="s">
        <v>2366</v>
      </c>
      <c r="D333" s="496" t="s">
        <v>648</v>
      </c>
      <c r="E333" s="479">
        <v>1999</v>
      </c>
      <c r="F333" s="479">
        <v>2010</v>
      </c>
      <c r="G333" s="94">
        <v>6</v>
      </c>
    </row>
    <row r="334" spans="1:7">
      <c r="A334" s="478" t="s">
        <v>649</v>
      </c>
      <c r="B334" s="492" t="s">
        <v>604</v>
      </c>
      <c r="C334" s="478" t="s">
        <v>2366</v>
      </c>
      <c r="D334" s="492" t="s">
        <v>650</v>
      </c>
      <c r="E334" s="479">
        <v>1999</v>
      </c>
      <c r="F334" s="479">
        <v>2010</v>
      </c>
      <c r="G334" s="94">
        <v>6</v>
      </c>
    </row>
    <row r="335" spans="1:7">
      <c r="A335" s="478" t="s">
        <v>651</v>
      </c>
      <c r="B335" s="492" t="s">
        <v>604</v>
      </c>
      <c r="C335" s="478" t="s">
        <v>2366</v>
      </c>
      <c r="D335" s="492" t="s">
        <v>652</v>
      </c>
      <c r="E335" s="479">
        <v>1999</v>
      </c>
      <c r="F335" s="479">
        <v>2010</v>
      </c>
      <c r="G335" s="94">
        <v>6</v>
      </c>
    </row>
    <row r="336" spans="1:7">
      <c r="A336" s="478" t="s">
        <v>653</v>
      </c>
      <c r="B336" s="492" t="s">
        <v>604</v>
      </c>
      <c r="C336" s="478" t="s">
        <v>2366</v>
      </c>
      <c r="D336" s="492" t="s">
        <v>654</v>
      </c>
      <c r="E336" s="479">
        <v>1999</v>
      </c>
      <c r="F336" s="479">
        <v>2010</v>
      </c>
      <c r="G336" s="94">
        <v>6</v>
      </c>
    </row>
    <row r="337" spans="1:7">
      <c r="A337" s="478" t="s">
        <v>655</v>
      </c>
      <c r="B337" s="492" t="s">
        <v>604</v>
      </c>
      <c r="C337" s="478" t="s">
        <v>2366</v>
      </c>
      <c r="D337" s="493" t="s">
        <v>660</v>
      </c>
      <c r="E337" s="479">
        <v>1999</v>
      </c>
      <c r="F337" s="479">
        <v>2010</v>
      </c>
      <c r="G337" s="94">
        <v>6</v>
      </c>
    </row>
    <row r="338" spans="1:7">
      <c r="A338" s="478" t="s">
        <v>661</v>
      </c>
      <c r="B338" s="492" t="s">
        <v>604</v>
      </c>
      <c r="C338" s="478" t="s">
        <v>2366</v>
      </c>
      <c r="D338" s="493" t="s">
        <v>662</v>
      </c>
      <c r="E338" s="479">
        <v>1999</v>
      </c>
      <c r="F338" s="479">
        <v>2010</v>
      </c>
      <c r="G338" s="94">
        <v>6</v>
      </c>
    </row>
    <row r="339" spans="1:7">
      <c r="A339" s="478" t="s">
        <v>663</v>
      </c>
      <c r="B339" s="492" t="s">
        <v>604</v>
      </c>
      <c r="C339" s="478" t="s">
        <v>2366</v>
      </c>
      <c r="D339" s="492" t="s">
        <v>664</v>
      </c>
      <c r="E339" s="479">
        <v>1999</v>
      </c>
      <c r="F339" s="479">
        <v>2010</v>
      </c>
      <c r="G339" s="94">
        <v>6</v>
      </c>
    </row>
    <row r="340" spans="1:7">
      <c r="A340" s="478" t="s">
        <v>665</v>
      </c>
      <c r="B340" s="492" t="s">
        <v>604</v>
      </c>
      <c r="C340" s="478" t="s">
        <v>2366</v>
      </c>
      <c r="D340" s="492" t="s">
        <v>666</v>
      </c>
      <c r="E340" s="479">
        <v>1999</v>
      </c>
      <c r="F340" s="479">
        <v>2010</v>
      </c>
      <c r="G340" s="94">
        <v>6</v>
      </c>
    </row>
    <row r="341" spans="1:7">
      <c r="A341" s="478" t="s">
        <v>667</v>
      </c>
      <c r="B341" s="492" t="s">
        <v>604</v>
      </c>
      <c r="C341" s="478" t="s">
        <v>2366</v>
      </c>
      <c r="D341" s="492" t="s">
        <v>668</v>
      </c>
      <c r="E341" s="479">
        <v>1999</v>
      </c>
      <c r="F341" s="479">
        <v>2010</v>
      </c>
      <c r="G341" s="94">
        <v>6</v>
      </c>
    </row>
    <row r="342" spans="1:7">
      <c r="A342" s="500" t="s">
        <v>669</v>
      </c>
      <c r="B342" s="492" t="s">
        <v>604</v>
      </c>
      <c r="C342" s="478" t="s">
        <v>2366</v>
      </c>
      <c r="D342" s="500" t="s">
        <v>670</v>
      </c>
      <c r="E342" s="479">
        <v>1999</v>
      </c>
      <c r="F342" s="479">
        <v>2010</v>
      </c>
      <c r="G342" s="94">
        <v>0</v>
      </c>
    </row>
    <row r="343" spans="1:7">
      <c r="A343" s="478" t="s">
        <v>671</v>
      </c>
      <c r="B343" s="492" t="s">
        <v>604</v>
      </c>
      <c r="C343" s="478" t="s">
        <v>2366</v>
      </c>
      <c r="D343" s="493" t="s">
        <v>672</v>
      </c>
      <c r="E343" s="479">
        <v>1999</v>
      </c>
      <c r="F343" s="479">
        <v>2010</v>
      </c>
      <c r="G343" s="94">
        <v>0</v>
      </c>
    </row>
    <row r="344" spans="1:7">
      <c r="A344" s="500" t="s">
        <v>673</v>
      </c>
      <c r="B344" s="492" t="s">
        <v>604</v>
      </c>
      <c r="C344" s="478" t="s">
        <v>2366</v>
      </c>
      <c r="D344" s="500" t="s">
        <v>674</v>
      </c>
      <c r="E344" s="479">
        <v>1999</v>
      </c>
      <c r="F344" s="479">
        <v>2010</v>
      </c>
      <c r="G344" s="94">
        <v>0</v>
      </c>
    </row>
    <row r="345" spans="1:7">
      <c r="A345" s="478" t="s">
        <v>675</v>
      </c>
      <c r="B345" s="492" t="s">
        <v>604</v>
      </c>
      <c r="C345" s="478" t="s">
        <v>2366</v>
      </c>
      <c r="D345" s="493" t="s">
        <v>676</v>
      </c>
      <c r="E345" s="479">
        <v>1999</v>
      </c>
      <c r="F345" s="479">
        <v>2010</v>
      </c>
      <c r="G345" s="94">
        <v>0</v>
      </c>
    </row>
    <row r="346" spans="1:7">
      <c r="A346" s="502" t="s">
        <v>677</v>
      </c>
      <c r="B346" s="45"/>
      <c r="C346" s="478"/>
      <c r="D346" s="72"/>
      <c r="E346" s="65"/>
      <c r="F346" s="65"/>
      <c r="G346" s="94"/>
    </row>
    <row r="347" spans="1:7">
      <c r="A347" s="65" t="s">
        <v>678</v>
      </c>
      <c r="B347" s="65" t="s">
        <v>604</v>
      </c>
      <c r="C347" s="478" t="s">
        <v>2366</v>
      </c>
      <c r="D347" s="65" t="s">
        <v>679</v>
      </c>
      <c r="E347" s="481">
        <v>1999</v>
      </c>
      <c r="F347" s="479">
        <v>2010</v>
      </c>
      <c r="G347" s="94">
        <v>0</v>
      </c>
    </row>
    <row r="348" spans="1:7">
      <c r="A348" s="65" t="s">
        <v>680</v>
      </c>
      <c r="B348" s="65" t="s">
        <v>604</v>
      </c>
      <c r="C348" s="478" t="s">
        <v>2366</v>
      </c>
      <c r="D348" s="65" t="s">
        <v>681</v>
      </c>
      <c r="E348" s="481">
        <v>1999</v>
      </c>
      <c r="F348" s="479">
        <v>2010</v>
      </c>
      <c r="G348" s="94">
        <v>0</v>
      </c>
    </row>
    <row r="349" spans="1:7">
      <c r="A349" s="65" t="s">
        <v>682</v>
      </c>
      <c r="B349" s="65" t="s">
        <v>604</v>
      </c>
      <c r="C349" s="478" t="s">
        <v>2366</v>
      </c>
      <c r="D349" s="65" t="s">
        <v>683</v>
      </c>
      <c r="E349" s="481">
        <v>1999</v>
      </c>
      <c r="F349" s="479">
        <v>2010</v>
      </c>
      <c r="G349" s="94">
        <v>0</v>
      </c>
    </row>
    <row r="350" spans="1:7">
      <c r="A350" s="65" t="s">
        <v>684</v>
      </c>
      <c r="B350" s="65" t="s">
        <v>604</v>
      </c>
      <c r="C350" s="478" t="s">
        <v>2366</v>
      </c>
      <c r="D350" s="65" t="s">
        <v>685</v>
      </c>
      <c r="E350" s="481">
        <v>1999</v>
      </c>
      <c r="F350" s="479">
        <v>2010</v>
      </c>
      <c r="G350" s="94">
        <v>0</v>
      </c>
    </row>
    <row r="351" spans="1:7">
      <c r="A351" s="65" t="s">
        <v>686</v>
      </c>
      <c r="B351" s="65" t="s">
        <v>604</v>
      </c>
      <c r="C351" s="478" t="s">
        <v>2366</v>
      </c>
      <c r="D351" s="65" t="s">
        <v>687</v>
      </c>
      <c r="E351" s="481">
        <v>1999</v>
      </c>
      <c r="F351" s="479">
        <v>2010</v>
      </c>
      <c r="G351" s="94">
        <v>0</v>
      </c>
    </row>
    <row r="352" spans="1:7">
      <c r="A352" s="65" t="s">
        <v>688</v>
      </c>
      <c r="B352" s="65" t="s">
        <v>604</v>
      </c>
      <c r="C352" s="478" t="s">
        <v>2366</v>
      </c>
      <c r="D352" s="65" t="s">
        <v>689</v>
      </c>
      <c r="E352" s="481">
        <v>1999</v>
      </c>
      <c r="F352" s="479">
        <v>2010</v>
      </c>
      <c r="G352" s="94">
        <v>0</v>
      </c>
    </row>
    <row r="353" spans="1:7">
      <c r="A353" s="65" t="s">
        <v>690</v>
      </c>
      <c r="B353" s="65" t="s">
        <v>604</v>
      </c>
      <c r="C353" s="478" t="s">
        <v>2366</v>
      </c>
      <c r="D353" s="65" t="s">
        <v>691</v>
      </c>
      <c r="E353" s="481">
        <v>1999</v>
      </c>
      <c r="F353" s="479">
        <v>2010</v>
      </c>
      <c r="G353" s="94">
        <v>0</v>
      </c>
    </row>
    <row r="354" spans="1:7">
      <c r="A354" s="65" t="s">
        <v>692</v>
      </c>
      <c r="B354" s="65" t="s">
        <v>604</v>
      </c>
      <c r="C354" s="478" t="s">
        <v>2366</v>
      </c>
      <c r="D354" s="65" t="s">
        <v>693</v>
      </c>
      <c r="E354" s="481">
        <v>1999</v>
      </c>
      <c r="F354" s="479">
        <v>2010</v>
      </c>
      <c r="G354" s="94">
        <v>0</v>
      </c>
    </row>
    <row r="355" spans="1:7">
      <c r="A355" s="65" t="s">
        <v>694</v>
      </c>
      <c r="B355" s="65" t="s">
        <v>604</v>
      </c>
      <c r="C355" s="478" t="s">
        <v>2366</v>
      </c>
      <c r="D355" s="65" t="s">
        <v>695</v>
      </c>
      <c r="E355" s="481">
        <v>1999</v>
      </c>
      <c r="F355" s="479">
        <v>2010</v>
      </c>
      <c r="G355" s="94">
        <v>0</v>
      </c>
    </row>
    <row r="356" spans="1:7">
      <c r="A356" s="65" t="s">
        <v>696</v>
      </c>
      <c r="B356" s="65" t="s">
        <v>604</v>
      </c>
      <c r="C356" s="478" t="s">
        <v>2366</v>
      </c>
      <c r="D356" s="65" t="s">
        <v>697</v>
      </c>
      <c r="E356" s="481">
        <v>1999</v>
      </c>
      <c r="F356" s="479">
        <v>2010</v>
      </c>
      <c r="G356" s="94">
        <v>0</v>
      </c>
    </row>
    <row r="357" spans="1:7">
      <c r="A357" s="65" t="s">
        <v>698</v>
      </c>
      <c r="B357" s="65" t="s">
        <v>604</v>
      </c>
      <c r="C357" s="478" t="s">
        <v>2366</v>
      </c>
      <c r="D357" s="65" t="s">
        <v>699</v>
      </c>
      <c r="E357" s="481">
        <v>1999</v>
      </c>
      <c r="F357" s="479">
        <v>2010</v>
      </c>
      <c r="G357" s="94">
        <v>0</v>
      </c>
    </row>
    <row r="358" spans="1:7">
      <c r="A358" s="65" t="s">
        <v>700</v>
      </c>
      <c r="B358" s="65" t="s">
        <v>604</v>
      </c>
      <c r="C358" s="478" t="s">
        <v>2366</v>
      </c>
      <c r="D358" s="65" t="s">
        <v>701</v>
      </c>
      <c r="E358" s="481">
        <v>1999</v>
      </c>
      <c r="F358" s="479">
        <v>2010</v>
      </c>
      <c r="G358" s="94">
        <v>0</v>
      </c>
    </row>
    <row r="359" spans="1:7">
      <c r="A359" s="65" t="s">
        <v>702</v>
      </c>
      <c r="B359" s="65" t="s">
        <v>604</v>
      </c>
      <c r="C359" s="478" t="s">
        <v>2366</v>
      </c>
      <c r="D359" s="65" t="s">
        <v>703</v>
      </c>
      <c r="E359" s="481">
        <v>1999</v>
      </c>
      <c r="F359" s="479">
        <v>2010</v>
      </c>
      <c r="G359" s="94">
        <v>0</v>
      </c>
    </row>
    <row r="360" spans="1:7">
      <c r="A360" s="65" t="s">
        <v>704</v>
      </c>
      <c r="B360" s="65" t="s">
        <v>604</v>
      </c>
      <c r="C360" s="478" t="s">
        <v>2366</v>
      </c>
      <c r="D360" s="65" t="s">
        <v>705</v>
      </c>
      <c r="E360" s="481">
        <v>1999</v>
      </c>
      <c r="F360" s="479">
        <v>2010</v>
      </c>
      <c r="G360" s="94">
        <v>0</v>
      </c>
    </row>
    <row r="361" spans="1:7">
      <c r="A361" s="65" t="s">
        <v>706</v>
      </c>
      <c r="B361" s="65" t="s">
        <v>604</v>
      </c>
      <c r="C361" s="478" t="s">
        <v>2366</v>
      </c>
      <c r="D361" s="65" t="s">
        <v>707</v>
      </c>
      <c r="E361" s="481">
        <v>1999</v>
      </c>
      <c r="F361" s="479">
        <v>2010</v>
      </c>
      <c r="G361" s="94">
        <v>0</v>
      </c>
    </row>
    <row r="362" spans="1:7">
      <c r="A362" s="65" t="s">
        <v>708</v>
      </c>
      <c r="B362" s="65" t="s">
        <v>604</v>
      </c>
      <c r="C362" s="478" t="s">
        <v>2366</v>
      </c>
      <c r="D362" s="65" t="s">
        <v>709</v>
      </c>
      <c r="E362" s="481">
        <v>1999</v>
      </c>
      <c r="F362" s="479">
        <v>2010</v>
      </c>
      <c r="G362" s="94">
        <v>6</v>
      </c>
    </row>
    <row r="363" spans="1:7">
      <c r="A363" s="65" t="s">
        <v>710</v>
      </c>
      <c r="B363" s="65" t="s">
        <v>604</v>
      </c>
      <c r="C363" s="478" t="s">
        <v>2366</v>
      </c>
      <c r="D363" s="65" t="s">
        <v>711</v>
      </c>
      <c r="E363" s="481">
        <v>1999</v>
      </c>
      <c r="F363" s="479">
        <v>2010</v>
      </c>
      <c r="G363" s="94">
        <v>0</v>
      </c>
    </row>
    <row r="364" spans="1:7">
      <c r="A364" s="65" t="s">
        <v>712</v>
      </c>
      <c r="B364" s="65" t="s">
        <v>604</v>
      </c>
      <c r="C364" s="478" t="s">
        <v>2366</v>
      </c>
      <c r="D364" s="65" t="s">
        <v>719</v>
      </c>
      <c r="E364" s="481">
        <v>1999</v>
      </c>
      <c r="F364" s="479">
        <v>2010</v>
      </c>
      <c r="G364" s="94">
        <v>6</v>
      </c>
    </row>
    <row r="365" spans="1:7">
      <c r="A365" s="65" t="s">
        <v>720</v>
      </c>
      <c r="B365" s="65" t="s">
        <v>604</v>
      </c>
      <c r="C365" s="478" t="s">
        <v>2366</v>
      </c>
      <c r="D365" s="65" t="s">
        <v>721</v>
      </c>
      <c r="E365" s="481">
        <v>1999</v>
      </c>
      <c r="F365" s="479">
        <v>2010</v>
      </c>
      <c r="G365" s="94">
        <v>0</v>
      </c>
    </row>
    <row r="366" spans="1:7">
      <c r="A366" s="474" t="s">
        <v>722</v>
      </c>
      <c r="B366" s="65"/>
      <c r="C366" s="478"/>
      <c r="D366" s="65"/>
      <c r="E366" s="65"/>
      <c r="F366" s="65"/>
      <c r="G366" s="94"/>
    </row>
    <row r="367" spans="1:7">
      <c r="A367" s="519" t="s">
        <v>723</v>
      </c>
      <c r="B367" s="65" t="s">
        <v>604</v>
      </c>
      <c r="C367" s="478" t="s">
        <v>2366</v>
      </c>
      <c r="D367" s="519" t="s">
        <v>724</v>
      </c>
      <c r="E367" s="479">
        <v>1999</v>
      </c>
      <c r="F367" s="479">
        <v>2010</v>
      </c>
      <c r="G367" s="94">
        <v>0</v>
      </c>
    </row>
    <row r="368" spans="1:7">
      <c r="A368" s="519" t="s">
        <v>725</v>
      </c>
      <c r="B368" s="65" t="s">
        <v>604</v>
      </c>
      <c r="C368" s="478" t="s">
        <v>2366</v>
      </c>
      <c r="D368" s="519" t="s">
        <v>726</v>
      </c>
      <c r="E368" s="479">
        <v>1999</v>
      </c>
      <c r="F368" s="479">
        <v>2010</v>
      </c>
      <c r="G368" s="94">
        <v>0</v>
      </c>
    </row>
    <row r="369" spans="1:7">
      <c r="A369" s="31" t="s">
        <v>727</v>
      </c>
      <c r="B369" s="65" t="s">
        <v>604</v>
      </c>
      <c r="C369" s="478" t="s">
        <v>2366</v>
      </c>
      <c r="D369" s="480" t="s">
        <v>728</v>
      </c>
      <c r="E369" s="479">
        <v>1999</v>
      </c>
      <c r="F369" s="479">
        <v>2010</v>
      </c>
      <c r="G369" s="94">
        <v>0</v>
      </c>
    </row>
    <row r="370" spans="1:7">
      <c r="A370" s="474" t="s">
        <v>729</v>
      </c>
      <c r="B370" s="65"/>
      <c r="C370" s="478"/>
      <c r="D370" s="65"/>
      <c r="E370" s="65"/>
      <c r="F370" s="65"/>
      <c r="G370" s="94"/>
    </row>
    <row r="371" spans="1:7">
      <c r="A371" s="31" t="s">
        <v>694</v>
      </c>
      <c r="B371" s="65" t="s">
        <v>604</v>
      </c>
      <c r="C371" s="478" t="s">
        <v>2366</v>
      </c>
      <c r="D371" s="520" t="s">
        <v>730</v>
      </c>
      <c r="E371" s="479">
        <v>1999</v>
      </c>
      <c r="F371" s="479">
        <v>2010</v>
      </c>
      <c r="G371" s="94">
        <v>0</v>
      </c>
    </row>
    <row r="372" spans="1:7">
      <c r="A372" s="31" t="s">
        <v>731</v>
      </c>
      <c r="B372" s="65" t="s">
        <v>604</v>
      </c>
      <c r="C372" s="478" t="s">
        <v>2366</v>
      </c>
      <c r="D372" s="520" t="s">
        <v>732</v>
      </c>
      <c r="E372" s="479">
        <v>1999</v>
      </c>
      <c r="F372" s="479">
        <v>2010</v>
      </c>
      <c r="G372" s="94">
        <v>0</v>
      </c>
    </row>
    <row r="373" spans="1:7">
      <c r="A373" s="31" t="s">
        <v>733</v>
      </c>
      <c r="B373" s="65" t="s">
        <v>604</v>
      </c>
      <c r="C373" s="478" t="s">
        <v>2366</v>
      </c>
      <c r="D373" s="520" t="s">
        <v>734</v>
      </c>
      <c r="E373" s="479">
        <v>1999</v>
      </c>
      <c r="F373" s="479">
        <v>2010</v>
      </c>
      <c r="G373" s="94">
        <v>0</v>
      </c>
    </row>
    <row r="374" spans="1:7">
      <c r="A374" s="31" t="s">
        <v>735</v>
      </c>
      <c r="B374" s="65" t="s">
        <v>604</v>
      </c>
      <c r="C374" s="478" t="s">
        <v>2366</v>
      </c>
      <c r="D374" s="520" t="s">
        <v>736</v>
      </c>
      <c r="E374" s="479">
        <v>1999</v>
      </c>
      <c r="F374" s="479">
        <v>2010</v>
      </c>
      <c r="G374" s="94">
        <v>0</v>
      </c>
    </row>
    <row r="375" spans="1:7">
      <c r="A375" s="31" t="s">
        <v>737</v>
      </c>
      <c r="B375" s="65" t="s">
        <v>604</v>
      </c>
      <c r="C375" s="478" t="s">
        <v>2366</v>
      </c>
      <c r="D375" s="521" t="s">
        <v>738</v>
      </c>
      <c r="E375" s="479">
        <v>1999</v>
      </c>
      <c r="F375" s="479">
        <v>2010</v>
      </c>
      <c r="G375" s="94">
        <v>0</v>
      </c>
    </row>
    <row r="376" spans="1:7">
      <c r="A376" s="31" t="s">
        <v>739</v>
      </c>
      <c r="B376" s="65" t="s">
        <v>604</v>
      </c>
      <c r="C376" s="478" t="s">
        <v>2366</v>
      </c>
      <c r="D376" s="520" t="s">
        <v>740</v>
      </c>
      <c r="E376" s="479">
        <v>1999</v>
      </c>
      <c r="F376" s="479">
        <v>2010</v>
      </c>
      <c r="G376" s="94">
        <v>0</v>
      </c>
    </row>
    <row r="377" spans="1:7">
      <c r="A377" s="31" t="s">
        <v>741</v>
      </c>
      <c r="B377" s="65" t="s">
        <v>604</v>
      </c>
      <c r="C377" s="478" t="s">
        <v>2366</v>
      </c>
      <c r="D377" s="520" t="s">
        <v>742</v>
      </c>
      <c r="E377" s="479">
        <v>1999</v>
      </c>
      <c r="F377" s="479">
        <v>2010</v>
      </c>
      <c r="G377" s="94">
        <v>0</v>
      </c>
    </row>
    <row r="378" spans="1:7">
      <c r="A378" s="31" t="s">
        <v>743</v>
      </c>
      <c r="B378" s="65" t="s">
        <v>604</v>
      </c>
      <c r="C378" s="478" t="s">
        <v>2366</v>
      </c>
      <c r="D378" s="520" t="s">
        <v>744</v>
      </c>
      <c r="E378" s="479">
        <v>1999</v>
      </c>
      <c r="F378" s="479">
        <v>2010</v>
      </c>
      <c r="G378" s="94">
        <v>0</v>
      </c>
    </row>
    <row r="379" spans="1:7">
      <c r="A379" s="31" t="s">
        <v>745</v>
      </c>
      <c r="B379" s="65" t="s">
        <v>604</v>
      </c>
      <c r="C379" s="478" t="s">
        <v>2366</v>
      </c>
      <c r="D379" s="520" t="s">
        <v>746</v>
      </c>
      <c r="E379" s="479">
        <v>1999</v>
      </c>
      <c r="F379" s="479">
        <v>2010</v>
      </c>
      <c r="G379" s="94">
        <v>0</v>
      </c>
    </row>
    <row r="380" spans="1:7">
      <c r="A380" s="31" t="s">
        <v>747</v>
      </c>
      <c r="B380" s="65" t="s">
        <v>604</v>
      </c>
      <c r="C380" s="478" t="s">
        <v>2366</v>
      </c>
      <c r="D380" s="520" t="s">
        <v>748</v>
      </c>
      <c r="E380" s="479">
        <v>1999</v>
      </c>
      <c r="F380" s="479">
        <v>2010</v>
      </c>
      <c r="G380" s="94">
        <v>0</v>
      </c>
    </row>
    <row r="381" spans="1:7">
      <c r="A381" s="31" t="s">
        <v>688</v>
      </c>
      <c r="B381" s="65" t="s">
        <v>604</v>
      </c>
      <c r="C381" s="478" t="s">
        <v>2366</v>
      </c>
      <c r="D381" s="520" t="s">
        <v>749</v>
      </c>
      <c r="E381" s="479">
        <v>1999</v>
      </c>
      <c r="F381" s="479">
        <v>2010</v>
      </c>
      <c r="G381" s="94">
        <v>0</v>
      </c>
    </row>
    <row r="382" spans="1:7">
      <c r="A382" s="31"/>
      <c r="B382" s="65"/>
      <c r="C382" s="478"/>
      <c r="D382" s="520"/>
      <c r="E382" s="479"/>
      <c r="F382" s="479"/>
      <c r="G382" s="94"/>
    </row>
    <row r="383" spans="1:7">
      <c r="A383" s="518" t="s">
        <v>750</v>
      </c>
      <c r="B383" s="522"/>
      <c r="C383" s="522"/>
      <c r="D383" s="522"/>
      <c r="E383" s="478"/>
      <c r="F383" s="478"/>
      <c r="G383" s="94"/>
    </row>
    <row r="384" spans="1:7">
      <c r="A384" s="478" t="s">
        <v>1183</v>
      </c>
      <c r="B384" s="478" t="s">
        <v>581</v>
      </c>
      <c r="C384" s="478" t="s">
        <v>2366</v>
      </c>
      <c r="D384" s="493" t="s">
        <v>1184</v>
      </c>
      <c r="E384" s="479">
        <v>1999</v>
      </c>
      <c r="F384" s="479">
        <v>2010</v>
      </c>
      <c r="G384" s="94">
        <v>9</v>
      </c>
    </row>
    <row r="385" spans="1:7">
      <c r="A385" s="478" t="s">
        <v>1185</v>
      </c>
      <c r="B385" s="478" t="s">
        <v>581</v>
      </c>
      <c r="C385" s="478" t="s">
        <v>2366</v>
      </c>
      <c r="D385" s="493" t="s">
        <v>1186</v>
      </c>
      <c r="E385" s="479">
        <v>1999</v>
      </c>
      <c r="F385" s="479">
        <v>2010</v>
      </c>
      <c r="G385" s="94">
        <v>9</v>
      </c>
    </row>
    <row r="386" spans="1:7">
      <c r="A386" s="65" t="s">
        <v>1187</v>
      </c>
      <c r="B386" s="65" t="s">
        <v>581</v>
      </c>
      <c r="C386" s="478" t="s">
        <v>2366</v>
      </c>
      <c r="D386" s="112" t="s">
        <v>1188</v>
      </c>
      <c r="E386" s="479">
        <v>1999</v>
      </c>
      <c r="F386" s="479">
        <v>2010</v>
      </c>
      <c r="G386" s="94">
        <v>9</v>
      </c>
    </row>
    <row r="387" spans="1:7">
      <c r="A387" s="519" t="s">
        <v>1189</v>
      </c>
      <c r="B387" s="65" t="s">
        <v>581</v>
      </c>
      <c r="C387" s="478" t="s">
        <v>2366</v>
      </c>
      <c r="D387" s="519" t="s">
        <v>1190</v>
      </c>
      <c r="E387" s="479">
        <v>1999</v>
      </c>
      <c r="F387" s="479">
        <v>2010</v>
      </c>
      <c r="G387" s="94">
        <v>9</v>
      </c>
    </row>
    <row r="388" spans="1:7">
      <c r="A388" s="478" t="s">
        <v>1191</v>
      </c>
      <c r="B388" s="478" t="s">
        <v>581</v>
      </c>
      <c r="C388" s="478" t="s">
        <v>2366</v>
      </c>
      <c r="D388" s="492" t="s">
        <v>1192</v>
      </c>
      <c r="E388" s="479">
        <v>1999</v>
      </c>
      <c r="F388" s="479">
        <v>2010</v>
      </c>
      <c r="G388" s="94">
        <v>9</v>
      </c>
    </row>
    <row r="389" spans="1:7">
      <c r="A389" s="478" t="s">
        <v>1193</v>
      </c>
      <c r="B389" s="478" t="s">
        <v>581</v>
      </c>
      <c r="C389" s="478" t="s">
        <v>2366</v>
      </c>
      <c r="D389" s="492" t="s">
        <v>1194</v>
      </c>
      <c r="E389" s="479">
        <v>1999</v>
      </c>
      <c r="F389" s="479">
        <v>2010</v>
      </c>
      <c r="G389" s="94">
        <v>9</v>
      </c>
    </row>
    <row r="390" spans="1:7">
      <c r="A390" s="478" t="s">
        <v>1195</v>
      </c>
      <c r="B390" s="478" t="s">
        <v>581</v>
      </c>
      <c r="C390" s="478" t="s">
        <v>2366</v>
      </c>
      <c r="D390" s="492" t="s">
        <v>1196</v>
      </c>
      <c r="E390" s="479">
        <v>1999</v>
      </c>
      <c r="F390" s="479">
        <v>2010</v>
      </c>
      <c r="G390" s="94">
        <v>9</v>
      </c>
    </row>
    <row r="391" spans="1:7">
      <c r="A391" s="65" t="s">
        <v>1197</v>
      </c>
      <c r="B391" s="65" t="s">
        <v>581</v>
      </c>
      <c r="C391" s="478" t="s">
        <v>2366</v>
      </c>
      <c r="D391" s="485" t="s">
        <v>1198</v>
      </c>
      <c r="E391" s="481">
        <v>1999</v>
      </c>
      <c r="F391" s="479">
        <v>2010</v>
      </c>
      <c r="G391" s="94">
        <v>9</v>
      </c>
    </row>
    <row r="392" spans="1:7">
      <c r="A392" s="31" t="s">
        <v>1199</v>
      </c>
      <c r="B392" s="65" t="s">
        <v>581</v>
      </c>
      <c r="C392" s="478" t="s">
        <v>2366</v>
      </c>
      <c r="D392" s="480" t="s">
        <v>1200</v>
      </c>
      <c r="E392" s="479">
        <v>1999</v>
      </c>
      <c r="F392" s="479">
        <v>2010</v>
      </c>
      <c r="G392" s="94">
        <v>9</v>
      </c>
    </row>
    <row r="393" spans="1:7">
      <c r="A393" s="519" t="s">
        <v>1201</v>
      </c>
      <c r="B393" s="65" t="s">
        <v>581</v>
      </c>
      <c r="C393" s="478" t="s">
        <v>2366</v>
      </c>
      <c r="D393" s="519" t="s">
        <v>1206</v>
      </c>
      <c r="E393" s="479">
        <v>1999</v>
      </c>
      <c r="F393" s="479">
        <v>2010</v>
      </c>
      <c r="G393" s="94">
        <v>9</v>
      </c>
    </row>
    <row r="394" spans="1:7">
      <c r="A394" s="478"/>
      <c r="B394" s="478"/>
      <c r="C394" s="478"/>
      <c r="D394" s="492"/>
      <c r="E394" s="479"/>
      <c r="F394" s="479"/>
      <c r="G394" s="94"/>
    </row>
    <row r="395" spans="1:7">
      <c r="A395" s="478" t="s">
        <v>1207</v>
      </c>
      <c r="B395" s="478" t="s">
        <v>581</v>
      </c>
      <c r="C395" s="478" t="s">
        <v>2366</v>
      </c>
      <c r="D395" s="492" t="s">
        <v>1208</v>
      </c>
      <c r="E395" s="479">
        <v>1999</v>
      </c>
      <c r="F395" s="479">
        <v>2010</v>
      </c>
      <c r="G395" s="94">
        <v>9</v>
      </c>
    </row>
    <row r="396" spans="1:7">
      <c r="A396" s="478" t="s">
        <v>1209</v>
      </c>
      <c r="B396" s="478" t="s">
        <v>581</v>
      </c>
      <c r="C396" s="478" t="s">
        <v>2366</v>
      </c>
      <c r="D396" s="492" t="s">
        <v>1210</v>
      </c>
      <c r="E396" s="479">
        <v>1999</v>
      </c>
      <c r="F396" s="479">
        <v>2010</v>
      </c>
      <c r="G396" s="94">
        <v>9</v>
      </c>
    </row>
    <row r="397" spans="1:7">
      <c r="A397" s="478" t="s">
        <v>1211</v>
      </c>
      <c r="B397" s="478" t="s">
        <v>581</v>
      </c>
      <c r="C397" s="478" t="s">
        <v>2366</v>
      </c>
      <c r="D397" s="492" t="s">
        <v>1212</v>
      </c>
      <c r="E397" s="479">
        <v>1999</v>
      </c>
      <c r="F397" s="479">
        <v>2010</v>
      </c>
      <c r="G397" s="94">
        <v>9</v>
      </c>
    </row>
    <row r="398" spans="1:7">
      <c r="A398" s="478" t="s">
        <v>1213</v>
      </c>
      <c r="B398" s="478" t="s">
        <v>581</v>
      </c>
      <c r="C398" s="478" t="s">
        <v>2366</v>
      </c>
      <c r="D398" s="492" t="s">
        <v>1214</v>
      </c>
      <c r="E398" s="479">
        <v>1999</v>
      </c>
      <c r="F398" s="479">
        <v>2010</v>
      </c>
      <c r="G398" s="94">
        <v>9</v>
      </c>
    </row>
    <row r="399" spans="1:7">
      <c r="A399" s="478" t="s">
        <v>1215</v>
      </c>
      <c r="B399" s="478" t="s">
        <v>581</v>
      </c>
      <c r="C399" s="478" t="s">
        <v>2366</v>
      </c>
      <c r="D399" s="492" t="s">
        <v>1216</v>
      </c>
      <c r="E399" s="479">
        <v>1999</v>
      </c>
      <c r="F399" s="479">
        <v>2010</v>
      </c>
      <c r="G399" s="94">
        <v>9</v>
      </c>
    </row>
    <row r="400" spans="1:7">
      <c r="A400" s="478" t="s">
        <v>1217</v>
      </c>
      <c r="B400" s="478" t="s">
        <v>581</v>
      </c>
      <c r="C400" s="478" t="s">
        <v>2366</v>
      </c>
      <c r="D400" t="s">
        <v>1218</v>
      </c>
      <c r="E400" s="479">
        <v>1999</v>
      </c>
      <c r="F400" s="479">
        <v>2010</v>
      </c>
      <c r="G400" s="94">
        <v>9</v>
      </c>
    </row>
    <row r="401" spans="1:7">
      <c r="A401" s="478" t="s">
        <v>1219</v>
      </c>
      <c r="B401" s="478" t="s">
        <v>581</v>
      </c>
      <c r="C401" s="478" t="s">
        <v>2366</v>
      </c>
      <c r="D401" s="492" t="s">
        <v>1220</v>
      </c>
      <c r="E401" s="479">
        <v>1999</v>
      </c>
      <c r="F401" s="479">
        <v>2010</v>
      </c>
      <c r="G401" s="94">
        <v>9</v>
      </c>
    </row>
    <row r="402" spans="1:7">
      <c r="A402" s="478" t="s">
        <v>1221</v>
      </c>
      <c r="B402" s="478" t="s">
        <v>581</v>
      </c>
      <c r="C402" s="478" t="s">
        <v>2366</v>
      </c>
      <c r="D402" s="493" t="s">
        <v>1239</v>
      </c>
      <c r="E402" s="479">
        <v>1999</v>
      </c>
      <c r="F402" s="479">
        <v>2010</v>
      </c>
      <c r="G402" s="94">
        <v>9</v>
      </c>
    </row>
    <row r="403" spans="1:7">
      <c r="A403" s="65" t="s">
        <v>1240</v>
      </c>
      <c r="B403" s="65" t="s">
        <v>581</v>
      </c>
      <c r="C403" s="478" t="s">
        <v>2366</v>
      </c>
      <c r="D403" s="485" t="s">
        <v>1241</v>
      </c>
      <c r="E403" s="479">
        <v>1999</v>
      </c>
      <c r="F403" s="479">
        <v>2010</v>
      </c>
      <c r="G403" s="94">
        <v>9</v>
      </c>
    </row>
    <row r="404" spans="1:7">
      <c r="A404" s="478" t="s">
        <v>1242</v>
      </c>
      <c r="B404" s="478" t="s">
        <v>581</v>
      </c>
      <c r="C404" s="478" t="s">
        <v>2366</v>
      </c>
      <c r="D404" s="493" t="s">
        <v>1243</v>
      </c>
      <c r="E404" s="479">
        <v>1999</v>
      </c>
      <c r="F404" s="479">
        <v>2010</v>
      </c>
      <c r="G404" s="94">
        <v>9</v>
      </c>
    </row>
    <row r="405" spans="1:7">
      <c r="A405" s="478" t="s">
        <v>1244</v>
      </c>
      <c r="B405" s="478" t="s">
        <v>581</v>
      </c>
      <c r="C405" s="478" t="s">
        <v>2366</v>
      </c>
      <c r="D405" s="492" t="s">
        <v>1245</v>
      </c>
      <c r="E405" s="479">
        <v>1999</v>
      </c>
      <c r="F405" s="479">
        <v>2010</v>
      </c>
      <c r="G405" s="94">
        <v>9</v>
      </c>
    </row>
    <row r="406" spans="1:7">
      <c r="A406" s="31" t="s">
        <v>1246</v>
      </c>
      <c r="B406" s="65" t="s">
        <v>581</v>
      </c>
      <c r="C406" s="478" t="s">
        <v>2366</v>
      </c>
      <c r="D406" s="480" t="s">
        <v>1247</v>
      </c>
      <c r="E406" s="479">
        <v>1999</v>
      </c>
      <c r="F406" s="479">
        <v>2010</v>
      </c>
      <c r="G406" s="94">
        <v>9</v>
      </c>
    </row>
    <row r="407" spans="1:7">
      <c r="A407" s="478" t="s">
        <v>1248</v>
      </c>
      <c r="B407" s="478" t="s">
        <v>581</v>
      </c>
      <c r="C407" s="478" t="s">
        <v>2366</v>
      </c>
      <c r="D407" s="492" t="s">
        <v>1249</v>
      </c>
      <c r="E407" s="479">
        <v>1999</v>
      </c>
      <c r="F407" s="479">
        <v>2010</v>
      </c>
      <c r="G407" s="94">
        <v>9</v>
      </c>
    </row>
    <row r="408" spans="1:7">
      <c r="A408" s="65" t="s">
        <v>1250</v>
      </c>
      <c r="B408" s="65" t="s">
        <v>581</v>
      </c>
      <c r="C408" s="478" t="s">
        <v>2366</v>
      </c>
      <c r="D408" s="65" t="s">
        <v>1251</v>
      </c>
      <c r="E408" s="479">
        <v>1999</v>
      </c>
      <c r="F408" s="479">
        <v>2010</v>
      </c>
      <c r="G408" s="94">
        <v>9</v>
      </c>
    </row>
    <row r="409" spans="1:7">
      <c r="A409" s="478"/>
      <c r="B409" s="478"/>
      <c r="C409" s="478"/>
      <c r="D409" s="492"/>
      <c r="E409" s="479"/>
      <c r="F409" s="479"/>
      <c r="G409" s="94"/>
    </row>
    <row r="410" spans="1:7">
      <c r="A410" s="474" t="s">
        <v>1252</v>
      </c>
      <c r="B410" s="65"/>
      <c r="C410" s="478"/>
      <c r="D410" s="65"/>
      <c r="E410" s="65"/>
      <c r="F410" s="65"/>
      <c r="G410" s="94"/>
    </row>
    <row r="411" spans="1:7">
      <c r="A411" s="65" t="s">
        <v>1253</v>
      </c>
      <c r="B411" s="65" t="s">
        <v>581</v>
      </c>
      <c r="C411" s="478" t="s">
        <v>2366</v>
      </c>
      <c r="D411" s="65" t="s">
        <v>1254</v>
      </c>
      <c r="E411" s="481">
        <v>1999</v>
      </c>
      <c r="F411" s="479">
        <v>2010</v>
      </c>
      <c r="G411" s="94">
        <v>9</v>
      </c>
    </row>
    <row r="412" spans="1:7">
      <c r="A412" s="65" t="s">
        <v>1255</v>
      </c>
      <c r="B412" s="65" t="s">
        <v>581</v>
      </c>
      <c r="C412" s="478" t="s">
        <v>2366</v>
      </c>
      <c r="D412" s="485" t="s">
        <v>1256</v>
      </c>
      <c r="E412" s="479">
        <v>1999</v>
      </c>
      <c r="F412" s="479">
        <v>2010</v>
      </c>
      <c r="G412" s="94">
        <v>9</v>
      </c>
    </row>
    <row r="413" spans="1:7">
      <c r="A413" s="31" t="s">
        <v>1257</v>
      </c>
      <c r="B413" s="65" t="s">
        <v>581</v>
      </c>
      <c r="C413" s="478" t="s">
        <v>2366</v>
      </c>
      <c r="D413" s="116" t="s">
        <v>1258</v>
      </c>
      <c r="E413" s="479">
        <v>1999</v>
      </c>
      <c r="F413" s="479">
        <v>2010</v>
      </c>
      <c r="G413" s="94">
        <v>9</v>
      </c>
    </row>
    <row r="414" spans="1:7">
      <c r="A414" s="31" t="s">
        <v>1259</v>
      </c>
      <c r="B414" s="65" t="s">
        <v>581</v>
      </c>
      <c r="C414" s="478" t="s">
        <v>2366</v>
      </c>
      <c r="D414" s="116" t="s">
        <v>1260</v>
      </c>
      <c r="E414" s="479">
        <v>1999</v>
      </c>
      <c r="F414" s="479">
        <v>2010</v>
      </c>
      <c r="G414" s="94">
        <v>9</v>
      </c>
    </row>
    <row r="415" spans="1:7">
      <c r="A415" s="31"/>
      <c r="B415" s="65"/>
      <c r="C415" s="478"/>
      <c r="D415" s="116"/>
      <c r="E415" s="479"/>
      <c r="F415" s="479"/>
      <c r="G415" s="94"/>
    </row>
    <row r="416" spans="1:7">
      <c r="A416" s="31" t="s">
        <v>1261</v>
      </c>
      <c r="B416" s="65" t="s">
        <v>581</v>
      </c>
      <c r="C416" s="478" t="s">
        <v>2366</v>
      </c>
      <c r="D416" s="116" t="s">
        <v>1262</v>
      </c>
      <c r="E416" s="479">
        <v>1999</v>
      </c>
      <c r="F416" s="479">
        <v>2010</v>
      </c>
      <c r="G416" s="94">
        <v>9</v>
      </c>
    </row>
    <row r="417" spans="1:7">
      <c r="A417" s="478" t="s">
        <v>1263</v>
      </c>
      <c r="B417" s="478" t="s">
        <v>581</v>
      </c>
      <c r="C417" s="478" t="s">
        <v>2366</v>
      </c>
      <c r="D417" s="493" t="s">
        <v>1264</v>
      </c>
      <c r="E417" s="479">
        <v>1999</v>
      </c>
      <c r="F417" s="479">
        <v>2010</v>
      </c>
      <c r="G417" s="94">
        <v>9</v>
      </c>
    </row>
    <row r="418" spans="1:7">
      <c r="A418" s="31" t="s">
        <v>1265</v>
      </c>
      <c r="B418" s="65" t="s">
        <v>581</v>
      </c>
      <c r="C418" s="478" t="s">
        <v>2366</v>
      </c>
      <c r="D418" s="116" t="s">
        <v>1266</v>
      </c>
      <c r="E418" s="479">
        <v>1999</v>
      </c>
      <c r="F418" s="479">
        <v>2010</v>
      </c>
      <c r="G418" s="94">
        <v>9</v>
      </c>
    </row>
    <row r="419" spans="1:7">
      <c r="A419" s="31" t="s">
        <v>1267</v>
      </c>
      <c r="B419" s="65" t="s">
        <v>581</v>
      </c>
      <c r="C419" s="478" t="s">
        <v>2366</v>
      </c>
      <c r="D419" s="116" t="s">
        <v>1268</v>
      </c>
      <c r="E419" s="479">
        <v>1999</v>
      </c>
      <c r="F419" s="479">
        <v>2010</v>
      </c>
      <c r="G419" s="94">
        <v>9</v>
      </c>
    </row>
    <row r="420" spans="1:7">
      <c r="A420" s="65"/>
      <c r="B420" s="65"/>
      <c r="C420" s="65"/>
      <c r="D420" s="65"/>
      <c r="E420" s="65"/>
      <c r="F420" s="65"/>
      <c r="G420" s="94"/>
    </row>
    <row r="421" spans="1:7">
      <c r="A421" s="474" t="s">
        <v>1269</v>
      </c>
      <c r="B421" s="65"/>
      <c r="C421" s="478"/>
      <c r="D421" s="65"/>
      <c r="G421" s="94"/>
    </row>
    <row r="422" spans="1:7">
      <c r="A422" s="478" t="s">
        <v>1270</v>
      </c>
      <c r="B422" s="478" t="s">
        <v>581</v>
      </c>
      <c r="C422" s="478" t="s">
        <v>2366</v>
      </c>
      <c r="D422" s="492" t="s">
        <v>1271</v>
      </c>
      <c r="E422" s="479">
        <v>1999</v>
      </c>
      <c r="F422" s="479">
        <v>2010</v>
      </c>
      <c r="G422" s="94">
        <v>6</v>
      </c>
    </row>
    <row r="423" spans="1:7">
      <c r="A423" s="478" t="s">
        <v>1272</v>
      </c>
      <c r="B423" s="478" t="s">
        <v>581</v>
      </c>
      <c r="C423" s="478" t="s">
        <v>2366</v>
      </c>
      <c r="D423" s="493" t="s">
        <v>1273</v>
      </c>
      <c r="E423" s="479">
        <v>1999</v>
      </c>
      <c r="F423" s="479">
        <v>2010</v>
      </c>
      <c r="G423" s="94">
        <v>9</v>
      </c>
    </row>
    <row r="424" spans="1:7">
      <c r="A424" s="65"/>
      <c r="B424" s="65"/>
      <c r="C424" s="65"/>
      <c r="D424" s="65"/>
      <c r="E424" s="65"/>
      <c r="F424" s="65"/>
      <c r="G424" s="94"/>
    </row>
    <row r="425" spans="1:7">
      <c r="A425" s="478" t="s">
        <v>1274</v>
      </c>
      <c r="B425" s="478" t="s">
        <v>581</v>
      </c>
      <c r="C425" s="478" t="s">
        <v>2366</v>
      </c>
      <c r="D425" s="493" t="s">
        <v>1275</v>
      </c>
      <c r="E425" s="479">
        <v>1999</v>
      </c>
      <c r="F425" s="479">
        <v>2010</v>
      </c>
      <c r="G425" s="94">
        <v>9</v>
      </c>
    </row>
    <row r="426" spans="1:7">
      <c r="A426" s="31" t="s">
        <v>1276</v>
      </c>
      <c r="B426" s="65" t="s">
        <v>581</v>
      </c>
      <c r="C426" s="478" t="s">
        <v>2366</v>
      </c>
      <c r="D426" s="116" t="s">
        <v>1277</v>
      </c>
      <c r="E426" s="479">
        <v>1999</v>
      </c>
      <c r="F426" s="479">
        <v>2010</v>
      </c>
      <c r="G426" s="94">
        <v>9</v>
      </c>
    </row>
    <row r="427" spans="1:7">
      <c r="A427" s="31" t="s">
        <v>1278</v>
      </c>
      <c r="B427" s="65" t="s">
        <v>581</v>
      </c>
      <c r="C427" s="478" t="s">
        <v>2366</v>
      </c>
      <c r="D427" s="116" t="s">
        <v>1279</v>
      </c>
      <c r="E427" s="479">
        <v>1999</v>
      </c>
      <c r="F427" s="479">
        <v>2010</v>
      </c>
      <c r="G427" s="94">
        <v>9</v>
      </c>
    </row>
    <row r="428" spans="1:7">
      <c r="A428" s="65"/>
      <c r="B428" s="65"/>
      <c r="C428" s="65"/>
      <c r="D428" s="65"/>
      <c r="E428" s="65"/>
      <c r="F428" s="65"/>
      <c r="G428" s="94"/>
    </row>
    <row r="429" spans="1:7">
      <c r="A429" s="474" t="s">
        <v>1280</v>
      </c>
      <c r="B429" s="65"/>
      <c r="C429" s="478"/>
      <c r="D429" s="65"/>
      <c r="E429" s="65"/>
      <c r="F429" s="65"/>
      <c r="G429" s="94"/>
    </row>
    <row r="430" spans="1:7">
      <c r="A430" s="31" t="s">
        <v>1281</v>
      </c>
      <c r="B430" s="65" t="s">
        <v>604</v>
      </c>
      <c r="C430" s="478" t="s">
        <v>2366</v>
      </c>
      <c r="D430" s="66" t="s">
        <v>1282</v>
      </c>
      <c r="E430" s="479">
        <v>1999</v>
      </c>
      <c r="F430" s="479">
        <v>2010</v>
      </c>
      <c r="G430" s="94">
        <v>0</v>
      </c>
    </row>
    <row r="431" spans="1:7">
      <c r="A431" s="31" t="s">
        <v>1283</v>
      </c>
      <c r="B431" s="65" t="s">
        <v>604</v>
      </c>
      <c r="C431" s="478" t="s">
        <v>2366</v>
      </c>
      <c r="D431" s="66" t="s">
        <v>1284</v>
      </c>
      <c r="E431" s="479">
        <v>1999</v>
      </c>
      <c r="F431" s="479">
        <v>2010</v>
      </c>
      <c r="G431" s="94">
        <v>0</v>
      </c>
    </row>
    <row r="432" spans="1:7">
      <c r="A432" s="31" t="s">
        <v>1285</v>
      </c>
      <c r="B432" s="65" t="s">
        <v>604</v>
      </c>
      <c r="C432" s="478" t="s">
        <v>2366</v>
      </c>
      <c r="D432" s="66" t="s">
        <v>1286</v>
      </c>
      <c r="E432" s="479">
        <v>1999</v>
      </c>
      <c r="F432" s="479">
        <v>2010</v>
      </c>
      <c r="G432" s="94">
        <v>0</v>
      </c>
    </row>
    <row r="433" spans="1:7">
      <c r="A433" s="31" t="s">
        <v>1287</v>
      </c>
      <c r="B433" s="65" t="s">
        <v>604</v>
      </c>
      <c r="C433" s="478" t="s">
        <v>2366</v>
      </c>
      <c r="D433" s="66" t="s">
        <v>1288</v>
      </c>
      <c r="E433" s="479">
        <v>1999</v>
      </c>
      <c r="F433" s="479">
        <v>2010</v>
      </c>
      <c r="G433" s="94">
        <v>0</v>
      </c>
    </row>
    <row r="434" spans="1:7">
      <c r="A434" s="31" t="s">
        <v>1289</v>
      </c>
      <c r="B434" s="65" t="s">
        <v>604</v>
      </c>
      <c r="C434" s="478" t="s">
        <v>2366</v>
      </c>
      <c r="D434" s="485" t="s">
        <v>1290</v>
      </c>
      <c r="E434" s="479">
        <v>1999</v>
      </c>
      <c r="F434" s="479">
        <v>2010</v>
      </c>
      <c r="G434" s="94">
        <v>0</v>
      </c>
    </row>
    <row r="435" spans="1:7">
      <c r="A435" s="31" t="s">
        <v>1291</v>
      </c>
      <c r="B435" s="65" t="s">
        <v>604</v>
      </c>
      <c r="C435" s="478" t="s">
        <v>2366</v>
      </c>
      <c r="D435" s="66" t="s">
        <v>1292</v>
      </c>
      <c r="E435" s="479">
        <v>1999</v>
      </c>
      <c r="F435" s="479">
        <v>2010</v>
      </c>
      <c r="G435" s="94">
        <v>0</v>
      </c>
    </row>
    <row r="436" spans="1:7">
      <c r="A436" s="31" t="s">
        <v>1293</v>
      </c>
      <c r="B436" s="65" t="s">
        <v>604</v>
      </c>
      <c r="C436" s="478" t="s">
        <v>2366</v>
      </c>
      <c r="D436" s="66" t="s">
        <v>1294</v>
      </c>
      <c r="E436" s="479">
        <v>1999</v>
      </c>
      <c r="F436" s="479">
        <v>2010</v>
      </c>
      <c r="G436" s="94">
        <v>0</v>
      </c>
    </row>
    <row r="437" spans="1:7">
      <c r="A437" s="474" t="s">
        <v>1295</v>
      </c>
      <c r="B437" s="65"/>
      <c r="C437" s="478"/>
      <c r="D437" s="65"/>
      <c r="E437" s="65"/>
      <c r="F437" s="65"/>
      <c r="G437" s="94"/>
    </row>
    <row r="438" spans="1:7">
      <c r="A438" s="523" t="s">
        <v>741</v>
      </c>
      <c r="B438" s="65" t="s">
        <v>604</v>
      </c>
      <c r="C438" s="478" t="s">
        <v>2366</v>
      </c>
      <c r="D438" s="524" t="s">
        <v>1296</v>
      </c>
      <c r="E438" s="479">
        <v>1999</v>
      </c>
      <c r="F438" s="479">
        <v>2010</v>
      </c>
      <c r="G438" s="94">
        <v>0</v>
      </c>
    </row>
    <row r="439" spans="1:7">
      <c r="A439" s="523" t="s">
        <v>743</v>
      </c>
      <c r="B439" s="65" t="s">
        <v>604</v>
      </c>
      <c r="C439" s="478" t="s">
        <v>2366</v>
      </c>
      <c r="D439" s="524" t="s">
        <v>1297</v>
      </c>
      <c r="E439" s="479">
        <v>1999</v>
      </c>
      <c r="F439" s="479">
        <v>2010</v>
      </c>
      <c r="G439" s="94">
        <v>0</v>
      </c>
    </row>
    <row r="440" spans="1:7">
      <c r="A440" s="523" t="s">
        <v>745</v>
      </c>
      <c r="B440" s="65" t="s">
        <v>604</v>
      </c>
      <c r="C440" s="478" t="s">
        <v>2366</v>
      </c>
      <c r="D440" s="524" t="s">
        <v>1298</v>
      </c>
      <c r="E440" s="479">
        <v>1999</v>
      </c>
      <c r="F440" s="479">
        <v>2010</v>
      </c>
      <c r="G440" s="94">
        <v>0</v>
      </c>
    </row>
    <row r="441" spans="1:7">
      <c r="A441" s="523" t="s">
        <v>747</v>
      </c>
      <c r="B441" s="65" t="s">
        <v>604</v>
      </c>
      <c r="C441" s="478" t="s">
        <v>2366</v>
      </c>
      <c r="D441" s="524" t="s">
        <v>1299</v>
      </c>
      <c r="E441" s="479">
        <v>1999</v>
      </c>
      <c r="F441" s="479">
        <v>2010</v>
      </c>
      <c r="G441" s="94">
        <v>0</v>
      </c>
    </row>
    <row r="442" spans="1:7">
      <c r="A442" s="523" t="s">
        <v>1300</v>
      </c>
      <c r="B442" s="65" t="s">
        <v>604</v>
      </c>
      <c r="C442" s="478" t="s">
        <v>2366</v>
      </c>
      <c r="D442" s="524" t="s">
        <v>1301</v>
      </c>
      <c r="E442" s="479">
        <v>1999</v>
      </c>
      <c r="F442" s="479">
        <v>2010</v>
      </c>
      <c r="G442" s="94">
        <v>0</v>
      </c>
    </row>
    <row r="443" spans="1:7">
      <c r="A443" s="523" t="s">
        <v>1302</v>
      </c>
      <c r="B443" s="65" t="s">
        <v>604</v>
      </c>
      <c r="C443" s="478" t="s">
        <v>2366</v>
      </c>
      <c r="D443" s="524" t="s">
        <v>1303</v>
      </c>
      <c r="E443" s="479">
        <v>1999</v>
      </c>
      <c r="F443" s="479">
        <v>2010</v>
      </c>
      <c r="G443" s="94">
        <v>0</v>
      </c>
    </row>
    <row r="444" spans="1:7">
      <c r="A444" s="523" t="s">
        <v>1293</v>
      </c>
      <c r="B444" s="65" t="s">
        <v>604</v>
      </c>
      <c r="C444" s="478" t="s">
        <v>2366</v>
      </c>
      <c r="D444" s="524" t="s">
        <v>1304</v>
      </c>
      <c r="E444" s="479">
        <v>1999</v>
      </c>
      <c r="F444" s="479">
        <v>2010</v>
      </c>
      <c r="G444" s="94">
        <v>0</v>
      </c>
    </row>
    <row r="445" spans="1:7">
      <c r="A445" s="478"/>
      <c r="B445" s="478"/>
      <c r="C445" s="478"/>
      <c r="D445" s="492"/>
      <c r="E445" s="479"/>
      <c r="F445" s="479"/>
      <c r="G445" s="94"/>
    </row>
    <row r="446" spans="1:7">
      <c r="A446" s="474" t="s">
        <v>1305</v>
      </c>
      <c r="B446" s="522"/>
      <c r="C446" s="522"/>
      <c r="D446" s="522"/>
      <c r="E446" s="478"/>
      <c r="F446" s="478"/>
      <c r="G446" s="94"/>
    </row>
    <row r="447" spans="1:7">
      <c r="A447" s="519" t="s">
        <v>1306</v>
      </c>
      <c r="B447" s="65" t="s">
        <v>1307</v>
      </c>
      <c r="C447" s="478" t="s">
        <v>2366</v>
      </c>
      <c r="D447" s="519" t="s">
        <v>1308</v>
      </c>
      <c r="E447" s="479">
        <v>1999</v>
      </c>
      <c r="F447" s="479">
        <v>2010</v>
      </c>
      <c r="G447" s="94">
        <v>9</v>
      </c>
    </row>
    <row r="448" spans="1:7">
      <c r="A448" s="500" t="s">
        <v>1309</v>
      </c>
      <c r="B448" s="478" t="s">
        <v>1307</v>
      </c>
      <c r="C448" s="478" t="s">
        <v>2366</v>
      </c>
      <c r="D448" s="500" t="s">
        <v>1310</v>
      </c>
      <c r="E448" s="479">
        <v>1999</v>
      </c>
      <c r="F448" s="479">
        <v>2010</v>
      </c>
      <c r="G448" s="94">
        <v>9</v>
      </c>
    </row>
    <row r="449" spans="1:7">
      <c r="A449" s="525" t="s">
        <v>1311</v>
      </c>
      <c r="B449" s="478" t="s">
        <v>1307</v>
      </c>
      <c r="C449" s="478" t="s">
        <v>2366</v>
      </c>
      <c r="D449" s="500" t="s">
        <v>1312</v>
      </c>
      <c r="E449" s="479">
        <v>1999</v>
      </c>
      <c r="F449" s="479">
        <v>2010</v>
      </c>
      <c r="G449" s="94">
        <v>9</v>
      </c>
    </row>
    <row r="450" spans="1:7">
      <c r="A450" s="526" t="s">
        <v>1313</v>
      </c>
      <c r="B450" s="478" t="s">
        <v>1307</v>
      </c>
      <c r="C450" s="478" t="s">
        <v>2366</v>
      </c>
      <c r="D450" s="492" t="s">
        <v>1314</v>
      </c>
      <c r="E450" s="479">
        <v>1999</v>
      </c>
      <c r="F450" s="479">
        <v>2010</v>
      </c>
      <c r="G450" s="94">
        <v>9</v>
      </c>
    </row>
    <row r="451" spans="1:7">
      <c r="A451" s="500" t="s">
        <v>1315</v>
      </c>
      <c r="B451" s="478" t="s">
        <v>1307</v>
      </c>
      <c r="C451" s="478" t="s">
        <v>2366</v>
      </c>
      <c r="D451" s="500" t="s">
        <v>1316</v>
      </c>
      <c r="E451" s="479">
        <v>1999</v>
      </c>
      <c r="F451" s="479">
        <v>2010</v>
      </c>
      <c r="G451" s="94">
        <v>9</v>
      </c>
    </row>
    <row r="452" spans="1:7">
      <c r="A452" s="525" t="s">
        <v>1318</v>
      </c>
      <c r="B452" s="65" t="s">
        <v>1307</v>
      </c>
      <c r="C452" s="478" t="s">
        <v>2366</v>
      </c>
      <c r="D452" s="519" t="s">
        <v>1319</v>
      </c>
      <c r="E452" s="479">
        <v>1999</v>
      </c>
      <c r="F452" s="479">
        <v>2010</v>
      </c>
      <c r="G452" s="94">
        <v>9</v>
      </c>
    </row>
    <row r="453" spans="1:7">
      <c r="A453" s="65"/>
      <c r="B453" s="65"/>
      <c r="C453" s="65"/>
      <c r="D453" s="65"/>
      <c r="E453" s="65"/>
      <c r="F453" s="65"/>
      <c r="G453" s="94"/>
    </row>
    <row r="454" spans="1:7">
      <c r="A454" s="527" t="s">
        <v>1320</v>
      </c>
      <c r="B454" s="478" t="s">
        <v>1307</v>
      </c>
      <c r="C454" s="478" t="s">
        <v>2366</v>
      </c>
      <c r="D454" s="492" t="s">
        <v>1321</v>
      </c>
      <c r="E454" s="479">
        <v>1999</v>
      </c>
      <c r="F454" s="479">
        <v>2010</v>
      </c>
      <c r="G454" s="94">
        <v>9</v>
      </c>
    </row>
    <row r="455" spans="1:7">
      <c r="A455" s="519" t="s">
        <v>1322</v>
      </c>
      <c r="B455" s="65" t="s">
        <v>1307</v>
      </c>
      <c r="C455" s="478" t="s">
        <v>2366</v>
      </c>
      <c r="D455" s="519" t="s">
        <v>1323</v>
      </c>
      <c r="E455" s="479">
        <v>1999</v>
      </c>
      <c r="F455" s="479">
        <v>2010</v>
      </c>
      <c r="G455" s="94">
        <v>9</v>
      </c>
    </row>
    <row r="456" spans="1:7">
      <c r="A456" s="519" t="s">
        <v>1324</v>
      </c>
      <c r="B456" s="65" t="s">
        <v>1307</v>
      </c>
      <c r="C456" s="478" t="s">
        <v>2366</v>
      </c>
      <c r="D456" s="519" t="s">
        <v>1325</v>
      </c>
      <c r="E456" s="479">
        <v>1999</v>
      </c>
      <c r="F456" s="479">
        <v>2010</v>
      </c>
      <c r="G456" s="94">
        <v>9</v>
      </c>
    </row>
    <row r="457" spans="1:7">
      <c r="A457" s="65"/>
      <c r="B457" s="65"/>
      <c r="C457" s="65"/>
      <c r="D457" s="65"/>
      <c r="E457" s="65"/>
      <c r="F457" s="65"/>
      <c r="G457" s="94"/>
    </row>
    <row r="458" spans="1:7">
      <c r="A458" s="500" t="s">
        <v>1326</v>
      </c>
      <c r="B458" s="478" t="s">
        <v>1307</v>
      </c>
      <c r="C458" s="478" t="s">
        <v>2366</v>
      </c>
      <c r="D458" s="500" t="s">
        <v>1327</v>
      </c>
      <c r="E458" s="479">
        <v>1999</v>
      </c>
      <c r="F458" s="479">
        <v>2010</v>
      </c>
      <c r="G458" s="94">
        <v>9</v>
      </c>
    </row>
    <row r="459" spans="1:7">
      <c r="A459" s="31" t="s">
        <v>1328</v>
      </c>
      <c r="B459" s="65" t="s">
        <v>1307</v>
      </c>
      <c r="C459" s="478" t="s">
        <v>2366</v>
      </c>
      <c r="D459" s="480" t="s">
        <v>1329</v>
      </c>
      <c r="E459" s="479">
        <v>1999</v>
      </c>
      <c r="F459" s="479">
        <v>2010</v>
      </c>
      <c r="G459" s="94">
        <v>9</v>
      </c>
    </row>
    <row r="460" spans="1:7">
      <c r="A460" s="31" t="s">
        <v>1330</v>
      </c>
      <c r="B460" s="65" t="s">
        <v>1307</v>
      </c>
      <c r="C460" s="478" t="s">
        <v>2366</v>
      </c>
      <c r="D460" s="480" t="s">
        <v>1331</v>
      </c>
      <c r="E460" s="479">
        <v>1999</v>
      </c>
      <c r="F460" s="479">
        <v>2010</v>
      </c>
      <c r="G460" s="94">
        <v>9</v>
      </c>
    </row>
    <row r="461" spans="1:7">
      <c r="A461" s="519" t="s">
        <v>1332</v>
      </c>
      <c r="B461" s="65" t="s">
        <v>1307</v>
      </c>
      <c r="C461" s="478" t="s">
        <v>2366</v>
      </c>
      <c r="D461" s="519" t="s">
        <v>1333</v>
      </c>
      <c r="E461" s="479">
        <v>1999</v>
      </c>
      <c r="F461" s="479">
        <v>2010</v>
      </c>
      <c r="G461" s="94">
        <v>9</v>
      </c>
    </row>
    <row r="462" spans="1:7">
      <c r="A462" s="31"/>
      <c r="B462" s="65"/>
      <c r="C462" s="478"/>
      <c r="D462" s="116"/>
      <c r="E462" s="479"/>
      <c r="F462" s="479"/>
      <c r="G462" s="94"/>
    </row>
    <row r="463" spans="1:7">
      <c r="A463" s="528" t="s">
        <v>1334</v>
      </c>
      <c r="B463" s="65"/>
      <c r="C463" s="478"/>
      <c r="D463" s="116"/>
      <c r="E463" s="479"/>
      <c r="F463" s="479"/>
      <c r="G463" s="94"/>
    </row>
    <row r="464" spans="1:7">
      <c r="A464" s="31" t="s">
        <v>1335</v>
      </c>
      <c r="B464" s="65" t="s">
        <v>1307</v>
      </c>
      <c r="C464" s="478" t="s">
        <v>2366</v>
      </c>
      <c r="D464" s="480" t="s">
        <v>1336</v>
      </c>
      <c r="E464" s="479">
        <v>1999</v>
      </c>
      <c r="F464" s="479">
        <v>2010</v>
      </c>
      <c r="G464" s="94">
        <v>9</v>
      </c>
    </row>
    <row r="465" spans="1:7">
      <c r="A465" s="478" t="s">
        <v>1337</v>
      </c>
      <c r="B465" s="478" t="s">
        <v>1307</v>
      </c>
      <c r="C465" s="478" t="s">
        <v>2366</v>
      </c>
      <c r="D465" s="493" t="s">
        <v>1338</v>
      </c>
      <c r="E465" s="479">
        <v>1999</v>
      </c>
      <c r="F465" s="479">
        <v>2010</v>
      </c>
      <c r="G465" s="94">
        <v>9</v>
      </c>
    </row>
    <row r="466" spans="1:7">
      <c r="A466" s="478" t="s">
        <v>1339</v>
      </c>
      <c r="B466" s="478" t="s">
        <v>1307</v>
      </c>
      <c r="C466" s="478" t="s">
        <v>2366</v>
      </c>
      <c r="D466" s="492" t="s">
        <v>1340</v>
      </c>
      <c r="E466" s="479">
        <v>1999</v>
      </c>
      <c r="F466" s="479">
        <v>2010</v>
      </c>
      <c r="G466" s="94">
        <v>9</v>
      </c>
    </row>
    <row r="467" spans="1:7">
      <c r="A467" s="527" t="s">
        <v>1341</v>
      </c>
      <c r="B467" s="478" t="s">
        <v>1307</v>
      </c>
      <c r="C467" s="478" t="s">
        <v>2366</v>
      </c>
      <c r="D467" s="492" t="s">
        <v>1342</v>
      </c>
      <c r="E467" s="479">
        <v>1999</v>
      </c>
      <c r="F467" s="479">
        <v>2010</v>
      </c>
      <c r="G467" s="94">
        <v>9</v>
      </c>
    </row>
    <row r="468" spans="1:7">
      <c r="A468" s="478" t="s">
        <v>1343</v>
      </c>
      <c r="B468" s="478" t="s">
        <v>1307</v>
      </c>
      <c r="C468" s="478" t="s">
        <v>2366</v>
      </c>
      <c r="D468" s="492" t="s">
        <v>1344</v>
      </c>
      <c r="E468" s="479">
        <v>1999</v>
      </c>
      <c r="F468" s="479">
        <v>2010</v>
      </c>
      <c r="G468" s="94">
        <v>9</v>
      </c>
    </row>
    <row r="469" spans="1:7">
      <c r="A469" s="31" t="s">
        <v>1345</v>
      </c>
      <c r="B469" s="65" t="s">
        <v>1307</v>
      </c>
      <c r="C469" s="478" t="s">
        <v>2366</v>
      </c>
      <c r="D469" s="116" t="s">
        <v>1346</v>
      </c>
      <c r="E469" s="479">
        <v>1999</v>
      </c>
      <c r="F469" s="479">
        <v>2010</v>
      </c>
      <c r="G469" s="94">
        <v>9</v>
      </c>
    </row>
    <row r="470" spans="1:7">
      <c r="A470" s="478" t="s">
        <v>1347</v>
      </c>
      <c r="B470" s="478" t="s">
        <v>1307</v>
      </c>
      <c r="C470" s="478" t="s">
        <v>2366</v>
      </c>
      <c r="D470" s="492" t="s">
        <v>1348</v>
      </c>
      <c r="E470" s="479">
        <v>1999</v>
      </c>
      <c r="F470" s="479">
        <v>2010</v>
      </c>
      <c r="G470" s="94">
        <v>9</v>
      </c>
    </row>
    <row r="471" spans="1:7">
      <c r="A471" s="31" t="s">
        <v>1349</v>
      </c>
      <c r="B471" s="65" t="s">
        <v>1307</v>
      </c>
      <c r="C471" s="478" t="s">
        <v>2366</v>
      </c>
      <c r="D471" s="485" t="s">
        <v>1350</v>
      </c>
      <c r="E471" s="479">
        <v>1999</v>
      </c>
      <c r="F471" s="479">
        <v>2010</v>
      </c>
      <c r="G471" s="94">
        <v>9</v>
      </c>
    </row>
    <row r="472" spans="1:7">
      <c r="A472" s="31" t="s">
        <v>1351</v>
      </c>
      <c r="B472" s="65" t="s">
        <v>1307</v>
      </c>
      <c r="C472" s="478" t="s">
        <v>2366</v>
      </c>
      <c r="D472" s="480" t="s">
        <v>1352</v>
      </c>
      <c r="E472" s="479">
        <v>1999</v>
      </c>
      <c r="F472" s="479">
        <v>2010</v>
      </c>
      <c r="G472" s="94">
        <v>9</v>
      </c>
    </row>
    <row r="473" spans="1:7">
      <c r="A473" s="478" t="s">
        <v>1353</v>
      </c>
      <c r="B473" s="478" t="s">
        <v>1307</v>
      </c>
      <c r="C473" s="478" t="s">
        <v>2366</v>
      </c>
      <c r="D473" s="492" t="s">
        <v>1354</v>
      </c>
      <c r="E473" s="479">
        <v>1999</v>
      </c>
      <c r="F473" s="479">
        <v>2010</v>
      </c>
      <c r="G473" s="94">
        <v>9</v>
      </c>
    </row>
    <row r="474" spans="1:7">
      <c r="A474" s="31" t="s">
        <v>1355</v>
      </c>
      <c r="B474" s="65" t="s">
        <v>1307</v>
      </c>
      <c r="C474" s="478" t="s">
        <v>2366</v>
      </c>
      <c r="D474" s="480" t="s">
        <v>1356</v>
      </c>
      <c r="E474" s="479">
        <v>1999</v>
      </c>
      <c r="F474" s="479">
        <v>2010</v>
      </c>
      <c r="G474" s="94">
        <v>9</v>
      </c>
    </row>
    <row r="475" spans="1:7">
      <c r="A475" s="478" t="s">
        <v>1357</v>
      </c>
      <c r="B475" s="478" t="s">
        <v>1307</v>
      </c>
      <c r="C475" s="478" t="s">
        <v>2366</v>
      </c>
      <c r="D475" s="493" t="s">
        <v>1358</v>
      </c>
      <c r="E475" s="479">
        <v>1999</v>
      </c>
      <c r="F475" s="479">
        <v>2010</v>
      </c>
      <c r="G475" s="94">
        <v>6</v>
      </c>
    </row>
    <row r="476" spans="1:7">
      <c r="A476" s="65"/>
      <c r="B476" s="65"/>
      <c r="C476" s="65"/>
      <c r="D476" s="65"/>
      <c r="E476" s="65"/>
      <c r="F476" s="65"/>
      <c r="G476" s="94"/>
    </row>
    <row r="477" spans="1:7">
      <c r="A477" s="474" t="s">
        <v>1359</v>
      </c>
      <c r="B477" s="65"/>
      <c r="C477" s="478"/>
      <c r="D477" s="65"/>
      <c r="E477" s="65"/>
      <c r="F477" s="65"/>
      <c r="G477" s="94"/>
    </row>
    <row r="478" spans="1:7">
      <c r="A478" s="529" t="s">
        <v>1360</v>
      </c>
      <c r="B478" s="65" t="s">
        <v>1307</v>
      </c>
      <c r="C478" s="478" t="s">
        <v>2366</v>
      </c>
      <c r="D478" s="530" t="s">
        <v>1361</v>
      </c>
      <c r="E478" s="479">
        <v>1999</v>
      </c>
      <c r="F478" s="479">
        <v>2010</v>
      </c>
      <c r="G478" s="94">
        <v>0</v>
      </c>
    </row>
    <row r="479" spans="1:7">
      <c r="A479" s="529" t="s">
        <v>1362</v>
      </c>
      <c r="B479" s="65" t="s">
        <v>1307</v>
      </c>
      <c r="C479" s="478" t="s">
        <v>2366</v>
      </c>
      <c r="D479" s="530" t="s">
        <v>1363</v>
      </c>
      <c r="E479" s="479">
        <v>1999</v>
      </c>
      <c r="F479" s="479">
        <v>2010</v>
      </c>
      <c r="G479" s="94">
        <v>0</v>
      </c>
    </row>
    <row r="480" spans="1:7">
      <c r="A480" s="531" t="s">
        <v>1364</v>
      </c>
      <c r="B480" s="65" t="s">
        <v>1307</v>
      </c>
      <c r="C480" s="478" t="s">
        <v>2366</v>
      </c>
      <c r="D480" s="532" t="s">
        <v>1365</v>
      </c>
      <c r="E480" s="479">
        <v>1999</v>
      </c>
      <c r="F480" s="479">
        <v>2010</v>
      </c>
      <c r="G480" s="94">
        <v>0</v>
      </c>
    </row>
    <row r="481" spans="1:7">
      <c r="A481" s="529" t="s">
        <v>1366</v>
      </c>
      <c r="B481" s="65" t="s">
        <v>1307</v>
      </c>
      <c r="C481" s="478" t="s">
        <v>2366</v>
      </c>
      <c r="D481" s="530" t="s">
        <v>1367</v>
      </c>
      <c r="E481" s="479">
        <v>1999</v>
      </c>
      <c r="F481" s="479">
        <v>2010</v>
      </c>
      <c r="G481" s="94">
        <v>0</v>
      </c>
    </row>
    <row r="482" spans="1:7">
      <c r="A482" s="529" t="s">
        <v>1368</v>
      </c>
      <c r="B482" s="65" t="s">
        <v>1307</v>
      </c>
      <c r="C482" s="478" t="s">
        <v>2366</v>
      </c>
      <c r="D482" s="530" t="s">
        <v>1369</v>
      </c>
      <c r="E482" s="479">
        <v>1999</v>
      </c>
      <c r="F482" s="479">
        <v>2010</v>
      </c>
      <c r="G482" s="94">
        <v>0</v>
      </c>
    </row>
    <row r="483" spans="1:7">
      <c r="A483" s="65" t="s">
        <v>1370</v>
      </c>
      <c r="B483" s="65" t="s">
        <v>1307</v>
      </c>
      <c r="C483" s="478" t="s">
        <v>2366</v>
      </c>
      <c r="D483" s="485" t="s">
        <v>1371</v>
      </c>
      <c r="E483" s="481">
        <v>1999</v>
      </c>
      <c r="F483" s="479">
        <v>2010</v>
      </c>
      <c r="G483" s="94">
        <v>0</v>
      </c>
    </row>
    <row r="484" spans="1:7">
      <c r="A484" s="65" t="s">
        <v>1372</v>
      </c>
      <c r="B484" s="65" t="s">
        <v>1307</v>
      </c>
      <c r="C484" s="478" t="s">
        <v>2366</v>
      </c>
      <c r="D484" s="485" t="s">
        <v>1373</v>
      </c>
      <c r="E484" s="481">
        <v>1999</v>
      </c>
      <c r="F484" s="479">
        <v>2010</v>
      </c>
      <c r="G484" s="94">
        <v>0</v>
      </c>
    </row>
    <row r="485" spans="1:7">
      <c r="A485" s="474" t="s">
        <v>1374</v>
      </c>
      <c r="B485" s="65"/>
      <c r="C485" s="478"/>
      <c r="D485" s="65"/>
      <c r="E485" s="65"/>
      <c r="F485" s="65"/>
      <c r="G485" s="94"/>
    </row>
    <row r="486" spans="1:7">
      <c r="A486" s="65" t="s">
        <v>1375</v>
      </c>
      <c r="B486" s="65" t="s">
        <v>1307</v>
      </c>
      <c r="C486" s="478" t="s">
        <v>2366</v>
      </c>
      <c r="D486" s="65" t="s">
        <v>1376</v>
      </c>
      <c r="E486" s="481">
        <v>1999</v>
      </c>
      <c r="F486" s="479">
        <v>2010</v>
      </c>
      <c r="G486" s="94">
        <v>0</v>
      </c>
    </row>
    <row r="487" spans="1:7">
      <c r="A487" s="65" t="s">
        <v>1360</v>
      </c>
      <c r="B487" s="65" t="s">
        <v>1307</v>
      </c>
      <c r="C487" s="478" t="s">
        <v>2366</v>
      </c>
      <c r="D487" s="65" t="s">
        <v>1377</v>
      </c>
      <c r="E487" s="481">
        <v>1999</v>
      </c>
      <c r="F487" s="479">
        <v>2010</v>
      </c>
      <c r="G487" s="94">
        <v>0</v>
      </c>
    </row>
    <row r="488" spans="1:7">
      <c r="A488" s="65" t="s">
        <v>1362</v>
      </c>
      <c r="B488" s="65" t="s">
        <v>1307</v>
      </c>
      <c r="C488" s="478" t="s">
        <v>2366</v>
      </c>
      <c r="D488" s="65" t="s">
        <v>1378</v>
      </c>
      <c r="E488" s="481">
        <v>1999</v>
      </c>
      <c r="F488" s="479">
        <v>2010</v>
      </c>
      <c r="G488" s="94">
        <v>0</v>
      </c>
    </row>
    <row r="489" spans="1:7">
      <c r="A489" s="65" t="s">
        <v>1379</v>
      </c>
      <c r="B489" s="65" t="s">
        <v>1307</v>
      </c>
      <c r="C489" s="478" t="s">
        <v>2366</v>
      </c>
      <c r="D489" s="65" t="s">
        <v>1380</v>
      </c>
      <c r="E489" s="481">
        <v>1999</v>
      </c>
      <c r="F489" s="479">
        <v>2010</v>
      </c>
      <c r="G489" s="94">
        <v>0</v>
      </c>
    </row>
    <row r="490" spans="1:7">
      <c r="A490" s="65" t="s">
        <v>1366</v>
      </c>
      <c r="B490" s="65" t="s">
        <v>1307</v>
      </c>
      <c r="C490" s="478" t="s">
        <v>2366</v>
      </c>
      <c r="D490" s="65" t="s">
        <v>1381</v>
      </c>
      <c r="E490" s="481">
        <v>1999</v>
      </c>
      <c r="F490" s="479">
        <v>2010</v>
      </c>
      <c r="G490" s="94">
        <v>0</v>
      </c>
    </row>
    <row r="491" spans="1:7">
      <c r="A491" s="65" t="s">
        <v>1372</v>
      </c>
      <c r="B491" s="65" t="s">
        <v>1307</v>
      </c>
      <c r="C491" s="478" t="s">
        <v>2366</v>
      </c>
      <c r="D491" s="65" t="s">
        <v>1382</v>
      </c>
      <c r="E491" s="481">
        <v>1999</v>
      </c>
      <c r="F491" s="479">
        <v>2010</v>
      </c>
      <c r="G491" s="94">
        <v>0</v>
      </c>
    </row>
    <row r="492" spans="1:7">
      <c r="A492" s="65" t="s">
        <v>1368</v>
      </c>
      <c r="B492" s="65" t="s">
        <v>1307</v>
      </c>
      <c r="C492" s="478" t="s">
        <v>2366</v>
      </c>
      <c r="D492" s="65" t="s">
        <v>1383</v>
      </c>
      <c r="E492" s="481">
        <v>1999</v>
      </c>
      <c r="F492" s="479">
        <v>2010</v>
      </c>
      <c r="G492" s="94">
        <v>0</v>
      </c>
    </row>
    <row r="493" spans="1:7">
      <c r="A493" s="65"/>
      <c r="B493" s="65"/>
      <c r="C493" s="65"/>
      <c r="D493" s="65"/>
      <c r="E493" s="65"/>
      <c r="F493" s="65"/>
      <c r="G493" s="94"/>
    </row>
    <row r="494" spans="1:7">
      <c r="A494" s="528" t="s">
        <v>1384</v>
      </c>
      <c r="B494" s="65"/>
      <c r="C494" s="478"/>
      <c r="D494" s="31"/>
      <c r="E494" s="65"/>
      <c r="F494" s="65"/>
      <c r="G494" s="94"/>
    </row>
    <row r="495" spans="1:7">
      <c r="A495" s="31" t="s">
        <v>1385</v>
      </c>
      <c r="B495" s="65" t="s">
        <v>1711</v>
      </c>
      <c r="C495" s="478" t="s">
        <v>2366</v>
      </c>
      <c r="D495" s="65" t="s">
        <v>1386</v>
      </c>
      <c r="E495" s="479">
        <v>1999</v>
      </c>
      <c r="F495" s="479">
        <v>2010</v>
      </c>
      <c r="G495" s="94">
        <v>0</v>
      </c>
    </row>
    <row r="496" spans="1:7">
      <c r="A496" s="478" t="s">
        <v>1387</v>
      </c>
      <c r="B496" s="533" t="s">
        <v>1711</v>
      </c>
      <c r="C496" s="478" t="s">
        <v>2366</v>
      </c>
      <c r="D496" s="483" t="s">
        <v>1388</v>
      </c>
      <c r="E496" s="479">
        <v>1999</v>
      </c>
      <c r="F496" s="479">
        <v>2010</v>
      </c>
      <c r="G496" s="94">
        <v>0</v>
      </c>
    </row>
    <row r="497" spans="1:7">
      <c r="A497" s="31" t="s">
        <v>1389</v>
      </c>
      <c r="B497" s="65" t="s">
        <v>1711</v>
      </c>
      <c r="C497" s="478" t="s">
        <v>2366</v>
      </c>
      <c r="D497" s="31" t="s">
        <v>1390</v>
      </c>
      <c r="E497" s="481">
        <v>1999</v>
      </c>
      <c r="F497" s="479">
        <v>2010</v>
      </c>
      <c r="G497" s="94">
        <v>0</v>
      </c>
    </row>
    <row r="498" spans="1:7">
      <c r="A498" s="31" t="s">
        <v>1391</v>
      </c>
      <c r="B498" s="65" t="s">
        <v>1711</v>
      </c>
      <c r="C498" s="478" t="s">
        <v>2366</v>
      </c>
      <c r="D498" s="31" t="s">
        <v>1392</v>
      </c>
      <c r="E498" s="481">
        <v>1999</v>
      </c>
      <c r="F498" s="479">
        <v>2010</v>
      </c>
      <c r="G498" s="94">
        <v>0</v>
      </c>
    </row>
    <row r="499" spans="1:7">
      <c r="A499" s="31" t="s">
        <v>1393</v>
      </c>
      <c r="B499" s="65" t="s">
        <v>1711</v>
      </c>
      <c r="C499" s="478" t="s">
        <v>2366</v>
      </c>
      <c r="D499" s="31" t="s">
        <v>1394</v>
      </c>
      <c r="E499" s="481">
        <v>1999</v>
      </c>
      <c r="F499" s="479">
        <v>2010</v>
      </c>
      <c r="G499" s="94">
        <v>0</v>
      </c>
    </row>
    <row r="500" spans="1:7">
      <c r="A500" s="31" t="s">
        <v>1395</v>
      </c>
      <c r="B500" s="65" t="s">
        <v>1711</v>
      </c>
      <c r="C500" s="478" t="s">
        <v>2366</v>
      </c>
      <c r="D500" s="31" t="s">
        <v>1396</v>
      </c>
      <c r="E500" s="481">
        <v>1999</v>
      </c>
      <c r="F500" s="479">
        <v>2010</v>
      </c>
      <c r="G500" s="94">
        <v>0</v>
      </c>
    </row>
    <row r="501" spans="1:7">
      <c r="A501" s="31" t="s">
        <v>1397</v>
      </c>
      <c r="B501" s="65" t="s">
        <v>1711</v>
      </c>
      <c r="C501" s="478" t="s">
        <v>2366</v>
      </c>
      <c r="D501" s="480" t="s">
        <v>1398</v>
      </c>
      <c r="E501" s="481">
        <v>1999</v>
      </c>
      <c r="F501" s="479">
        <v>2010</v>
      </c>
      <c r="G501" s="94">
        <v>0</v>
      </c>
    </row>
    <row r="502" spans="1:7">
      <c r="A502" s="523" t="s">
        <v>1399</v>
      </c>
      <c r="B502" s="65" t="s">
        <v>1711</v>
      </c>
      <c r="C502" s="478" t="s">
        <v>2366</v>
      </c>
      <c r="D502" s="534" t="s">
        <v>1400</v>
      </c>
      <c r="E502" s="479">
        <v>1999</v>
      </c>
      <c r="F502" s="479">
        <v>2010</v>
      </c>
      <c r="G502" s="94">
        <v>0</v>
      </c>
    </row>
    <row r="503" spans="1:7">
      <c r="A503" s="65"/>
      <c r="B503" s="65"/>
      <c r="C503" s="65"/>
      <c r="D503" s="65"/>
      <c r="E503" s="65"/>
      <c r="F503" s="65"/>
      <c r="G503" s="94"/>
    </row>
    <row r="504" spans="1:7">
      <c r="A504" s="65" t="s">
        <v>1401</v>
      </c>
      <c r="B504" s="485" t="s">
        <v>604</v>
      </c>
      <c r="C504" s="478" t="s">
        <v>2366</v>
      </c>
      <c r="D504" s="65" t="s">
        <v>1402</v>
      </c>
      <c r="E504" s="479">
        <v>1999</v>
      </c>
      <c r="F504" s="479">
        <v>2010</v>
      </c>
      <c r="G504" s="94">
        <v>0</v>
      </c>
    </row>
    <row r="505" spans="1:7">
      <c r="A505" s="65" t="s">
        <v>1403</v>
      </c>
      <c r="B505" s="485" t="s">
        <v>604</v>
      </c>
      <c r="C505" s="478" t="s">
        <v>2366</v>
      </c>
      <c r="D505" s="65" t="s">
        <v>1404</v>
      </c>
      <c r="E505" s="479">
        <v>1999</v>
      </c>
      <c r="F505" s="479">
        <v>2010</v>
      </c>
      <c r="G505" s="94">
        <v>0</v>
      </c>
    </row>
    <row r="506" spans="1:7">
      <c r="A506" s="65"/>
      <c r="B506" s="65"/>
      <c r="C506" s="65"/>
      <c r="D506" s="65"/>
      <c r="E506" s="65"/>
      <c r="F506" s="65"/>
      <c r="G506" s="94"/>
    </row>
    <row r="507" spans="1:7">
      <c r="A507" s="528" t="s">
        <v>1405</v>
      </c>
      <c r="B507" s="65"/>
      <c r="C507" s="478"/>
      <c r="D507" s="65"/>
      <c r="E507" s="65"/>
      <c r="F507" s="65"/>
      <c r="G507" s="94"/>
    </row>
    <row r="508" spans="1:7">
      <c r="A508" s="478" t="s">
        <v>1406</v>
      </c>
      <c r="B508" s="478" t="s">
        <v>1711</v>
      </c>
      <c r="C508" s="478" t="s">
        <v>2366</v>
      </c>
      <c r="D508" s="478" t="s">
        <v>1407</v>
      </c>
      <c r="E508" s="479">
        <v>1999</v>
      </c>
      <c r="F508" s="479">
        <v>2010</v>
      </c>
      <c r="G508" s="94">
        <v>3</v>
      </c>
    </row>
    <row r="509" spans="1:7">
      <c r="A509" s="478" t="s">
        <v>1408</v>
      </c>
      <c r="B509" s="478" t="s">
        <v>1711</v>
      </c>
      <c r="C509" s="478" t="s">
        <v>2366</v>
      </c>
      <c r="D509" s="478" t="s">
        <v>1409</v>
      </c>
      <c r="E509" s="479">
        <v>1999</v>
      </c>
      <c r="F509" s="479">
        <v>2010</v>
      </c>
      <c r="G509" s="94">
        <v>3</v>
      </c>
    </row>
    <row r="510" spans="1:7">
      <c r="A510" s="478" t="s">
        <v>1410</v>
      </c>
      <c r="B510" s="478" t="s">
        <v>1711</v>
      </c>
      <c r="C510" s="478" t="s">
        <v>2366</v>
      </c>
      <c r="D510" s="478" t="s">
        <v>1411</v>
      </c>
      <c r="E510" s="479">
        <v>1999</v>
      </c>
      <c r="F510" s="479">
        <v>2010</v>
      </c>
      <c r="G510" s="94">
        <v>0</v>
      </c>
    </row>
    <row r="511" spans="1:7">
      <c r="A511" s="478" t="s">
        <v>1412</v>
      </c>
      <c r="B511" s="535" t="s">
        <v>479</v>
      </c>
      <c r="C511" s="478" t="s">
        <v>2366</v>
      </c>
      <c r="D511" s="478" t="s">
        <v>1413</v>
      </c>
      <c r="E511" s="479">
        <v>1999</v>
      </c>
      <c r="F511" s="479">
        <v>2010</v>
      </c>
      <c r="G511" s="94">
        <v>0</v>
      </c>
    </row>
    <row r="512" spans="1:7">
      <c r="A512" s="65"/>
      <c r="B512" s="65"/>
      <c r="C512" s="65"/>
      <c r="D512" s="65"/>
      <c r="E512" s="65"/>
      <c r="F512" s="65"/>
      <c r="G512" s="94"/>
    </row>
    <row r="513" spans="1:7">
      <c r="A513" s="528" t="s">
        <v>1414</v>
      </c>
      <c r="B513" s="65"/>
      <c r="C513" s="65"/>
      <c r="D513" s="65"/>
      <c r="E513" s="65"/>
      <c r="F513" s="65"/>
      <c r="G513" s="94"/>
    </row>
    <row r="514" spans="1:7">
      <c r="A514" s="31" t="s">
        <v>1415</v>
      </c>
      <c r="B514" s="65" t="s">
        <v>1711</v>
      </c>
      <c r="C514" s="478" t="s">
        <v>2366</v>
      </c>
      <c r="D514" s="31" t="s">
        <v>1416</v>
      </c>
      <c r="E514" s="481">
        <v>1999</v>
      </c>
      <c r="F514" s="479">
        <v>2010</v>
      </c>
      <c r="G514" s="94">
        <v>0</v>
      </c>
    </row>
    <row r="515" spans="1:7">
      <c r="A515" s="31" t="s">
        <v>741</v>
      </c>
      <c r="B515" s="65" t="s">
        <v>1711</v>
      </c>
      <c r="C515" s="478" t="s">
        <v>2366</v>
      </c>
      <c r="D515" s="31" t="s">
        <v>1417</v>
      </c>
      <c r="E515" s="481">
        <v>1999</v>
      </c>
      <c r="F515" s="479">
        <v>2010</v>
      </c>
      <c r="G515" s="94">
        <v>0</v>
      </c>
    </row>
    <row r="516" spans="1:7">
      <c r="A516" s="31" t="s">
        <v>743</v>
      </c>
      <c r="B516" s="65" t="s">
        <v>1711</v>
      </c>
      <c r="C516" s="478" t="s">
        <v>2366</v>
      </c>
      <c r="D516" s="31" t="s">
        <v>1418</v>
      </c>
      <c r="E516" s="481">
        <v>1999</v>
      </c>
      <c r="F516" s="479">
        <v>2010</v>
      </c>
      <c r="G516" s="94">
        <v>0</v>
      </c>
    </row>
    <row r="517" spans="1:7">
      <c r="A517" s="31" t="s">
        <v>745</v>
      </c>
      <c r="B517" s="65" t="s">
        <v>1711</v>
      </c>
      <c r="C517" s="478" t="s">
        <v>2366</v>
      </c>
      <c r="D517" s="31" t="s">
        <v>1419</v>
      </c>
      <c r="E517" s="481">
        <v>1999</v>
      </c>
      <c r="F517" s="479">
        <v>2010</v>
      </c>
      <c r="G517" s="94">
        <v>0</v>
      </c>
    </row>
    <row r="518" spans="1:7">
      <c r="A518" s="31"/>
      <c r="B518" s="65"/>
      <c r="C518" s="478"/>
      <c r="D518" s="31"/>
      <c r="E518" s="481"/>
      <c r="F518" s="479"/>
      <c r="G518" s="94"/>
    </row>
    <row r="519" spans="1:7">
      <c r="A519" s="523" t="s">
        <v>1424</v>
      </c>
      <c r="B519" s="65" t="s">
        <v>1711</v>
      </c>
      <c r="C519" s="478" t="s">
        <v>2366</v>
      </c>
      <c r="D519" s="523" t="s">
        <v>1425</v>
      </c>
      <c r="E519" s="479">
        <v>1999</v>
      </c>
      <c r="F519" s="479">
        <v>2010</v>
      </c>
      <c r="G519" s="94">
        <v>0</v>
      </c>
    </row>
    <row r="520" spans="1:7">
      <c r="A520" s="65"/>
      <c r="B520" s="65"/>
      <c r="C520" s="65"/>
      <c r="D520" s="65"/>
      <c r="E520" s="65"/>
      <c r="F520" s="65"/>
      <c r="G520" s="94"/>
    </row>
    <row r="521" spans="1:7">
      <c r="A521" s="502" t="s">
        <v>1426</v>
      </c>
      <c r="B521" s="487"/>
      <c r="C521" s="487"/>
      <c r="D521" s="487"/>
      <c r="E521" s="478"/>
      <c r="F521" s="478"/>
      <c r="G521" s="94"/>
    </row>
    <row r="522" spans="1:7">
      <c r="A522" s="478" t="s">
        <v>1427</v>
      </c>
      <c r="B522" s="533" t="s">
        <v>1428</v>
      </c>
      <c r="C522" s="478" t="s">
        <v>2366</v>
      </c>
      <c r="D522" s="478" t="s">
        <v>1429</v>
      </c>
      <c r="E522" s="479">
        <v>1999</v>
      </c>
      <c r="F522" s="479">
        <v>2010</v>
      </c>
      <c r="G522" s="94">
        <v>6</v>
      </c>
    </row>
    <row r="523" spans="1:7">
      <c r="A523" s="478" t="s">
        <v>1430</v>
      </c>
      <c r="B523" s="535" t="s">
        <v>479</v>
      </c>
      <c r="C523" s="478" t="s">
        <v>2366</v>
      </c>
      <c r="D523" s="478" t="s">
        <v>1431</v>
      </c>
      <c r="E523" s="479">
        <v>1999</v>
      </c>
      <c r="F523" s="479">
        <v>2010</v>
      </c>
      <c r="G523" s="94">
        <v>0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9"/>
  <dimension ref="A2:K41"/>
  <sheetViews>
    <sheetView topLeftCell="A17" zoomScale="75" workbookViewId="0">
      <selection sqref="A1:A44"/>
    </sheetView>
  </sheetViews>
  <sheetFormatPr defaultRowHeight="12.75"/>
  <cols>
    <col min="1" max="1" width="38.7109375" customWidth="1"/>
    <col min="2" max="2" width="11.28515625" customWidth="1"/>
    <col min="4" max="4" width="7.28515625" bestFit="1" customWidth="1"/>
    <col min="5" max="5" width="8.28515625" customWidth="1"/>
    <col min="6" max="6" width="8.140625" customWidth="1"/>
    <col min="52" max="52" width="0.140625" customWidth="1"/>
  </cols>
  <sheetData>
    <row r="2" spans="1:8" s="183" customFormat="1">
      <c r="B2" s="360">
        <f>RESULTS!D1</f>
        <v>2000</v>
      </c>
      <c r="C2" s="360">
        <f>RESULTS!E1</f>
        <v>2001</v>
      </c>
      <c r="D2" s="360">
        <f>RESULTS!F1</f>
        <v>2002</v>
      </c>
      <c r="E2" s="360">
        <f>RESULTS!G1</f>
        <v>2003</v>
      </c>
      <c r="F2" s="360">
        <f>RESULTS!H1</f>
        <v>2004</v>
      </c>
      <c r="G2" s="360">
        <f>RESULTS!I1</f>
        <v>2005</v>
      </c>
      <c r="H2" s="360">
        <f>RESULTS!J1</f>
        <v>2006</v>
      </c>
    </row>
    <row r="3" spans="1:8" ht="28.9" customHeight="1">
      <c r="A3" s="361" t="s">
        <v>2062</v>
      </c>
      <c r="B3" s="94"/>
      <c r="C3" s="94"/>
      <c r="D3" s="94"/>
      <c r="E3" s="94"/>
      <c r="F3" s="94"/>
      <c r="G3" s="94"/>
      <c r="H3" s="94"/>
    </row>
    <row r="4" spans="1:8">
      <c r="A4" s="362" t="s">
        <v>1817</v>
      </c>
      <c r="B4" s="161">
        <f>RESULTS!D52</f>
        <v>3.5999999999999997E-2</v>
      </c>
      <c r="C4" s="161">
        <f>RESULTS!E52</f>
        <v>4.3227519678949194E-2</v>
      </c>
      <c r="D4" s="161">
        <f>RESULTS!F52</f>
        <v>3.7790259229561786E-2</v>
      </c>
      <c r="E4" s="161">
        <f>RESULTS!G52</f>
        <v>4.0641904976608974E-2</v>
      </c>
      <c r="F4" s="161" t="e">
        <f>RESULTS!H52</f>
        <v>#VALUE!</v>
      </c>
      <c r="G4" s="161" t="e">
        <f>RESULTS!I52</f>
        <v>#VALUE!</v>
      </c>
      <c r="H4" s="161" t="e">
        <f>RESULTS!J52</f>
        <v>#VALUE!</v>
      </c>
    </row>
    <row r="5" spans="1:8">
      <c r="A5" s="362" t="s">
        <v>2063</v>
      </c>
      <c r="B5" s="45">
        <f>RESULTS!D53</f>
        <v>0.27900000000000003</v>
      </c>
      <c r="C5" s="45">
        <f>RESULTS!E53</f>
        <v>0.24900000000000011</v>
      </c>
      <c r="D5" s="45">
        <f>RESULTS!F53</f>
        <v>0.17199999999999993</v>
      </c>
      <c r="E5" s="45">
        <f>RESULTS!G53</f>
        <v>0.13299999999999979</v>
      </c>
      <c r="F5" s="45">
        <f>RESULTS!H53</f>
        <v>-1</v>
      </c>
      <c r="G5" s="45" t="e">
        <f>RESULTS!I53</f>
        <v>#DIV/0!</v>
      </c>
      <c r="H5" s="45" t="e">
        <f>RESULTS!J53</f>
        <v>#DIV/0!</v>
      </c>
    </row>
    <row r="6" spans="1:8">
      <c r="A6" s="362" t="s">
        <v>1535</v>
      </c>
      <c r="B6" s="363">
        <f>'1-2-3'!I14</f>
        <v>1</v>
      </c>
      <c r="C6" s="363">
        <f>'1-2-3'!J14</f>
        <v>1.2490000000000001</v>
      </c>
      <c r="D6" s="363">
        <f>'1-2-3'!K14</f>
        <v>1.4638280000000001</v>
      </c>
      <c r="E6" s="363">
        <f>'1-2-3'!L14</f>
        <v>1.6585171240000001</v>
      </c>
      <c r="F6" s="363">
        <f>'1-2-3'!M14</f>
        <v>1.6585171240000001</v>
      </c>
      <c r="G6" s="363">
        <f>'1-2-3'!N14</f>
        <v>1.6585171240000001</v>
      </c>
      <c r="H6" s="363">
        <f>'1-2-3'!O14</f>
        <v>1.6585171240000001</v>
      </c>
    </row>
    <row r="7" spans="1:8">
      <c r="A7" s="362" t="s">
        <v>2064</v>
      </c>
      <c r="B7" s="363">
        <f>SCENARIO!D82</f>
        <v>1</v>
      </c>
      <c r="C7" s="363">
        <f>SCENARIO!E82</f>
        <v>1.2490000000000001</v>
      </c>
      <c r="D7" s="363">
        <f>SCENARIO!F82</f>
        <v>1.4638280000000001</v>
      </c>
      <c r="E7" s="363">
        <f>SCENARIO!G82</f>
        <v>1.6585171240000001</v>
      </c>
      <c r="F7" s="363">
        <f>SCENARIO!H82</f>
        <v>1.6585171240000001</v>
      </c>
      <c r="G7" s="363">
        <f>SCENARIO!I82</f>
        <v>1.6585171240000001</v>
      </c>
      <c r="H7" s="363">
        <f>SCENARIO!J82</f>
        <v>1.6585171240000001</v>
      </c>
    </row>
    <row r="8" spans="1:8">
      <c r="A8" s="362" t="s">
        <v>2085</v>
      </c>
      <c r="B8" s="363">
        <f>'1-2-3'!I80</f>
        <v>3.1107999303994176</v>
      </c>
      <c r="C8" s="363">
        <f>'1-2-3'!J80</f>
        <v>3.5636739472709342</v>
      </c>
      <c r="D8" s="363">
        <f>'1-2-3'!K80</f>
        <v>4.5878431979609955</v>
      </c>
      <c r="E8" s="363">
        <f>'1-2-3'!L80</f>
        <v>5.2511573824081905</v>
      </c>
      <c r="F8" s="363">
        <f>'1-2-3'!M80</f>
        <v>0</v>
      </c>
      <c r="G8" s="363">
        <f>'1-2-3'!N80</f>
        <v>0</v>
      </c>
      <c r="H8" s="363">
        <f>'1-2-3'!O80</f>
        <v>0</v>
      </c>
    </row>
    <row r="9" spans="1:8">
      <c r="A9" s="362" t="s">
        <v>2086</v>
      </c>
      <c r="B9" s="363">
        <f>SCENARIO!D81</f>
        <v>3.1107999999999998</v>
      </c>
      <c r="C9" s="363">
        <f>SCENARIO!E81</f>
        <v>3.8853892000000001</v>
      </c>
      <c r="D9" s="363">
        <f>SCENARIO!F81</f>
        <v>4.5536761424000005</v>
      </c>
      <c r="E9" s="363">
        <f>SCENARIO!G81</f>
        <v>5.1593150693391996</v>
      </c>
      <c r="F9" s="363">
        <f>SCENARIO!H81</f>
        <v>5.1593150693391996</v>
      </c>
      <c r="G9" s="363">
        <f>SCENARIO!I81</f>
        <v>5.1593150693391996</v>
      </c>
      <c r="H9" s="363">
        <f>SCENARIO!J81</f>
        <v>5.1593150693391996</v>
      </c>
    </row>
    <row r="10" spans="1:8">
      <c r="A10" s="362" t="s">
        <v>2087</v>
      </c>
      <c r="B10" s="45">
        <f>SCENARIO!D84</f>
        <v>0.2</v>
      </c>
      <c r="C10" s="45">
        <f>SCENARIO!E84</f>
        <v>7.999999999999996E-2</v>
      </c>
      <c r="D10" s="45">
        <f>SCENARIO!F84</f>
        <v>-6.6784771432541329E-2</v>
      </c>
      <c r="E10" s="45">
        <f>SCENARIO!G84</f>
        <v>8.3437543420869786E-3</v>
      </c>
      <c r="F10" s="45" t="e">
        <f>SCENARIO!H84</f>
        <v>#VALUE!</v>
      </c>
      <c r="G10" s="45" t="e">
        <f>SCENARIO!I84</f>
        <v>#DIV/0!</v>
      </c>
      <c r="H10" s="45" t="e">
        <f>SCENARIO!J84</f>
        <v>#DIV/0!</v>
      </c>
    </row>
    <row r="11" spans="1:8">
      <c r="A11" s="362" t="s">
        <v>2088</v>
      </c>
      <c r="B11" s="363">
        <f>'1-2-3'!I36</f>
        <v>1</v>
      </c>
      <c r="C11" s="363">
        <f>'1-2-3'!J36</f>
        <v>1.08</v>
      </c>
      <c r="D11" s="363">
        <f>'1-2-3'!K36</f>
        <v>1.0078724468528555</v>
      </c>
      <c r="E11" s="363">
        <f>'1-2-3'!L36</f>
        <v>1.0162818869575538</v>
      </c>
      <c r="F11" s="363" t="e">
        <f>'1-2-3'!M36</f>
        <v>#VALUE!</v>
      </c>
      <c r="G11" s="363" t="e">
        <f>'1-2-3'!N36</f>
        <v>#VALUE!</v>
      </c>
      <c r="H11" s="363" t="e">
        <f>'1-2-3'!O36</f>
        <v>#VALUE!</v>
      </c>
    </row>
    <row r="12" spans="1:8" s="366" customFormat="1">
      <c r="A12" s="364" t="s">
        <v>2105</v>
      </c>
      <c r="B12" s="365">
        <f t="shared" ref="B12:H12" si="0">B9*B11</f>
        <v>3.1107999999999998</v>
      </c>
      <c r="C12" s="365">
        <f t="shared" si="0"/>
        <v>4.1962203360000006</v>
      </c>
      <c r="D12" s="365">
        <f t="shared" si="0"/>
        <v>4.5895247158161609</v>
      </c>
      <c r="E12" s="365">
        <f t="shared" si="0"/>
        <v>5.2433184540765847</v>
      </c>
      <c r="F12" s="365" t="e">
        <f t="shared" si="0"/>
        <v>#VALUE!</v>
      </c>
      <c r="G12" s="365" t="e">
        <f t="shared" si="0"/>
        <v>#VALUE!</v>
      </c>
      <c r="H12" s="365" t="e">
        <f t="shared" si="0"/>
        <v>#VALUE!</v>
      </c>
    </row>
    <row r="13" spans="1:8" s="366" customFormat="1">
      <c r="A13" s="364" t="s">
        <v>2089</v>
      </c>
      <c r="B13" s="365">
        <f t="shared" ref="B13:H13" si="1">B8*B11</f>
        <v>3.1107999303994176</v>
      </c>
      <c r="C13" s="365">
        <f t="shared" si="1"/>
        <v>3.8487678630526094</v>
      </c>
      <c r="D13" s="365">
        <f t="shared" si="1"/>
        <v>4.6239607497061783</v>
      </c>
      <c r="E13" s="365">
        <f t="shared" si="1"/>
        <v>5.336656133304885</v>
      </c>
      <c r="F13" s="365" t="e">
        <f t="shared" si="1"/>
        <v>#VALUE!</v>
      </c>
      <c r="G13" s="365" t="e">
        <f t="shared" si="1"/>
        <v>#VALUE!</v>
      </c>
      <c r="H13" s="365" t="e">
        <f t="shared" si="1"/>
        <v>#VALUE!</v>
      </c>
    </row>
    <row r="14" spans="1:8" s="152" customFormat="1">
      <c r="A14" s="367" t="s">
        <v>1644</v>
      </c>
      <c r="B14" s="363">
        <f>'1-2-3'!I59</f>
        <v>3.1107999294364252</v>
      </c>
      <c r="C14" s="363">
        <f>'1-2-3'!J59</f>
        <v>3.8487678630526094</v>
      </c>
      <c r="D14" s="363">
        <f>'1-2-3'!K59</f>
        <v>4.6239607497061721</v>
      </c>
      <c r="E14" s="363">
        <f>'1-2-3'!L59</f>
        <v>5.3366561333048859</v>
      </c>
      <c r="F14" s="363">
        <f>'1-2-3'!M59</f>
        <v>0</v>
      </c>
      <c r="G14" s="363">
        <f>'1-2-3'!N59</f>
        <v>0</v>
      </c>
      <c r="H14" s="363">
        <f>'1-2-3'!O59</f>
        <v>0</v>
      </c>
    </row>
    <row r="15" spans="1:8">
      <c r="A15" s="368" t="s">
        <v>2090</v>
      </c>
      <c r="B15" s="369"/>
      <c r="C15" s="45">
        <f t="shared" ref="C15:H15" si="2">(C14-B14)/B14</f>
        <v>0.23722770681362326</v>
      </c>
      <c r="D15" s="45">
        <f t="shared" si="2"/>
        <v>0.2014132611361826</v>
      </c>
      <c r="E15" s="45">
        <f t="shared" si="2"/>
        <v>0.15413093280344167</v>
      </c>
      <c r="F15" s="45">
        <f t="shared" si="2"/>
        <v>-1</v>
      </c>
      <c r="G15" s="45" t="e">
        <f t="shared" si="2"/>
        <v>#DIV/0!</v>
      </c>
      <c r="H15" s="45" t="e">
        <f t="shared" si="2"/>
        <v>#DIV/0!</v>
      </c>
    </row>
    <row r="16" spans="1:8">
      <c r="A16" s="368" t="s">
        <v>1653</v>
      </c>
      <c r="B16" s="369">
        <f>'1-2-3'!I62</f>
        <v>1.0000000029602947</v>
      </c>
      <c r="C16" s="369">
        <f>'1-2-3'!J62</f>
        <v>1.2551587069997305</v>
      </c>
      <c r="D16" s="369">
        <f>'1-2-3'!K62</f>
        <v>1.451872726624811</v>
      </c>
      <c r="E16" s="369">
        <f>'1-2-3'!L62</f>
        <v>1.628088814764693</v>
      </c>
      <c r="F16" s="369">
        <f>'1-2-3'!M62</f>
        <v>0</v>
      </c>
      <c r="G16" s="369">
        <f>'1-2-3'!N62</f>
        <v>0</v>
      </c>
      <c r="H16" s="369">
        <f>'1-2-3'!O62</f>
        <v>0</v>
      </c>
    </row>
    <row r="17" spans="1:11">
      <c r="A17" s="368" t="s">
        <v>2091</v>
      </c>
      <c r="B17" s="369"/>
      <c r="C17" s="45">
        <f t="shared" ref="C17:H17" si="3">(C16-B16)/B16</f>
        <v>0.2551587032840909</v>
      </c>
      <c r="D17" s="45">
        <f t="shared" si="3"/>
        <v>0.15672441941250281</v>
      </c>
      <c r="E17" s="45">
        <f t="shared" si="3"/>
        <v>0.12137158093019214</v>
      </c>
      <c r="F17" s="45">
        <f t="shared" si="3"/>
        <v>-1</v>
      </c>
      <c r="G17" s="45" t="e">
        <f t="shared" si="3"/>
        <v>#DIV/0!</v>
      </c>
      <c r="H17" s="45" t="e">
        <f t="shared" si="3"/>
        <v>#DIV/0!</v>
      </c>
    </row>
    <row r="18" spans="1:11">
      <c r="A18" s="368" t="s">
        <v>2092</v>
      </c>
      <c r="B18" s="369">
        <f t="shared" ref="B18:H18" si="4">B14/B16</f>
        <v>3.1107999202275409</v>
      </c>
      <c r="C18" s="369">
        <f t="shared" si="4"/>
        <v>3.0663595301446094</v>
      </c>
      <c r="D18" s="369">
        <f t="shared" si="4"/>
        <v>3.1848251330235802</v>
      </c>
      <c r="E18" s="369">
        <f t="shared" si="4"/>
        <v>3.2778654855362976</v>
      </c>
      <c r="F18" s="369" t="e">
        <f t="shared" si="4"/>
        <v>#DIV/0!</v>
      </c>
      <c r="G18" s="369" t="e">
        <f t="shared" si="4"/>
        <v>#DIV/0!</v>
      </c>
      <c r="H18" s="369" t="e">
        <f t="shared" si="4"/>
        <v>#DIV/0!</v>
      </c>
    </row>
    <row r="19" spans="1:11">
      <c r="A19" s="2" t="s">
        <v>2093</v>
      </c>
      <c r="B19" s="369">
        <f>'1-2-3'!I58/'1-2-3'!I62</f>
        <v>3.5586618753357047</v>
      </c>
      <c r="C19" s="369">
        <f>'1-2-3'!J58/'1-2-3'!J62</f>
        <v>3.1172885221420028</v>
      </c>
      <c r="D19" s="369">
        <f>'1-2-3'!K58/'1-2-3'!K62</f>
        <v>3.4894612932356801</v>
      </c>
      <c r="E19" s="369">
        <f>'1-2-3'!L58/'1-2-3'!L62</f>
        <v>3.55193569288741</v>
      </c>
      <c r="F19" s="369" t="e">
        <f>'1-2-3'!M58/'1-2-3'!M62</f>
        <v>#DIV/0!</v>
      </c>
      <c r="G19" s="369" t="e">
        <f>'1-2-3'!N58/'1-2-3'!N62</f>
        <v>#DIV/0!</v>
      </c>
      <c r="H19" s="369" t="e">
        <f>'1-2-3'!O58/'1-2-3'!O62</f>
        <v>#DIV/0!</v>
      </c>
    </row>
    <row r="20" spans="1:11">
      <c r="A20" t="s">
        <v>2094</v>
      </c>
      <c r="B20" s="37">
        <f>'1-2-3'!I14/'1-2-3'!I62</f>
        <v>0.99999999703970532</v>
      </c>
      <c r="C20" s="37">
        <f>'1-2-3'!J14/'1-2-3'!J62</f>
        <v>0.99509328424733479</v>
      </c>
      <c r="D20" s="37">
        <f>'1-2-3'!K14/'1-2-3'!K62</f>
        <v>1.0082343811244265</v>
      </c>
      <c r="E20" s="37">
        <f>'1-2-3'!L14/'1-2-3'!L62</f>
        <v>1.0186895880368203</v>
      </c>
      <c r="F20" s="37" t="e">
        <f>'1-2-3'!M14/'1-2-3'!M62</f>
        <v>#DIV/0!</v>
      </c>
      <c r="G20" s="37" t="e">
        <f>'1-2-3'!N14/'1-2-3'!N62</f>
        <v>#DIV/0!</v>
      </c>
      <c r="H20" s="37" t="e">
        <f>'1-2-3'!O14/'1-2-3'!O62</f>
        <v>#DIV/0!</v>
      </c>
    </row>
    <row r="21" spans="1:11">
      <c r="A21" s="36" t="s">
        <v>2095</v>
      </c>
      <c r="E21" t="s">
        <v>1448</v>
      </c>
    </row>
    <row r="22" spans="1:11">
      <c r="A22" t="s">
        <v>2096</v>
      </c>
      <c r="B22" s="161">
        <f>'1-2-3'!I49/'1-2-3'!I13</f>
        <v>0.11072406199821774</v>
      </c>
      <c r="C22" s="161">
        <f>'1-2-3'!J49/'1-2-3'!J13</f>
        <v>0.11009671055483247</v>
      </c>
      <c r="D22" s="161">
        <f>'1-2-3'!K49/'1-2-3'!K13</f>
        <v>0.11174631344843067</v>
      </c>
      <c r="E22" s="161">
        <f>'1-2-3'!L49/'1-2-3'!L13</f>
        <v>0.11299215909499967</v>
      </c>
      <c r="F22" s="161" t="e">
        <f>'1-2-3'!M49/'1-2-3'!M13</f>
        <v>#VALUE!</v>
      </c>
      <c r="G22" s="161" t="e">
        <f>'1-2-3'!N49/'1-2-3'!N13</f>
        <v>#VALUE!</v>
      </c>
      <c r="H22" s="161" t="e">
        <f>'1-2-3'!O49/'1-2-3'!O13</f>
        <v>#VALUE!</v>
      </c>
    </row>
    <row r="23" spans="1:11">
      <c r="A23" t="s">
        <v>2097</v>
      </c>
      <c r="B23" s="161">
        <f>'1-2-3'!I50/'1-2-3'!I54</f>
        <v>0.13312581381766031</v>
      </c>
      <c r="C23" s="161">
        <f>'1-2-3'!J50/'1-2-3'!J54</f>
        <v>0.13888283635874579</v>
      </c>
      <c r="D23" s="161">
        <f>'1-2-3'!K50/'1-2-3'!K54</f>
        <v>0.13395536473590566</v>
      </c>
      <c r="E23" s="161">
        <f>'1-2-3'!L50/'1-2-3'!L54</f>
        <v>0.13320537635482929</v>
      </c>
      <c r="F23" s="161" t="e">
        <f>'1-2-3'!M50/'1-2-3'!M54</f>
        <v>#DIV/0!</v>
      </c>
      <c r="G23" s="161" t="e">
        <f>'1-2-3'!N50/'1-2-3'!N54</f>
        <v>#DIV/0!</v>
      </c>
      <c r="H23" s="161" t="e">
        <f>'1-2-3'!O50/'1-2-3'!O54</f>
        <v>#DIV/0!</v>
      </c>
    </row>
    <row r="24" spans="1:11">
      <c r="A24" t="s">
        <v>2098</v>
      </c>
      <c r="B24" s="161">
        <f>'1-2-3'!I49/'1-2-3'!I51</f>
        <v>0.16890007190937695</v>
      </c>
      <c r="C24" s="161">
        <f>'1-2-3'!J49/'1-2-3'!J51</f>
        <v>0.16744818633996536</v>
      </c>
      <c r="D24" s="161">
        <f>'1-2-3'!K49/'1-2-3'!K51</f>
        <v>0.17130022316495494</v>
      </c>
      <c r="E24" s="161">
        <f>'1-2-3'!L49/'1-2-3'!L51</f>
        <v>0.17428549721078912</v>
      </c>
      <c r="F24" s="161" t="e">
        <f>'1-2-3'!M49/'1-2-3'!M51</f>
        <v>#DIV/0!</v>
      </c>
      <c r="G24" s="161" t="e">
        <f>'1-2-3'!N49/'1-2-3'!N51</f>
        <v>#DIV/0!</v>
      </c>
      <c r="H24" s="161" t="e">
        <f>'1-2-3'!O49/'1-2-3'!O51</f>
        <v>#DIV/0!</v>
      </c>
    </row>
    <row r="25" spans="1:11">
      <c r="A25" t="s">
        <v>2099</v>
      </c>
      <c r="B25" s="161">
        <f>'1-2-3'!I50/'1-2-3'!I52</f>
        <v>0.25297055616378622</v>
      </c>
      <c r="C25" s="161">
        <f>'1-2-3'!J50/'1-2-3'!J52</f>
        <v>0.27388976810628973</v>
      </c>
      <c r="D25" s="161">
        <f>'1-2-3'!K50/'1-2-3'!K52</f>
        <v>0.25596877062429396</v>
      </c>
      <c r="E25" s="161">
        <f>'1-2-3'!L50/'1-2-3'!L52</f>
        <v>0.25325787426786628</v>
      </c>
      <c r="F25" s="161" t="e">
        <f>'1-2-3'!M50/'1-2-3'!M52</f>
        <v>#DIV/0!</v>
      </c>
      <c r="G25" s="161" t="e">
        <f>'1-2-3'!N50/'1-2-3'!N52</f>
        <v>#DIV/0!</v>
      </c>
      <c r="H25" s="161" t="e">
        <f>'1-2-3'!O50/'1-2-3'!O52</f>
        <v>#DIV/0!</v>
      </c>
    </row>
    <row r="26" spans="1:11">
      <c r="A26" s="36" t="s">
        <v>2100</v>
      </c>
    </row>
    <row r="27" spans="1:11" s="183" customFormat="1">
      <c r="A27" s="370" t="s">
        <v>2101</v>
      </c>
      <c r="B27" s="952" t="s">
        <v>2102</v>
      </c>
      <c r="C27" s="953"/>
      <c r="D27" s="953"/>
      <c r="E27" s="953" t="s">
        <v>2103</v>
      </c>
      <c r="F27" s="953"/>
      <c r="G27" s="953"/>
      <c r="H27" s="953"/>
      <c r="I27" s="953"/>
      <c r="J27" s="953"/>
      <c r="K27" s="953"/>
    </row>
    <row r="28" spans="1:11" s="183" customFormat="1">
      <c r="A28" s="164" t="s">
        <v>2104</v>
      </c>
      <c r="B28" s="371" t="s">
        <v>1949</v>
      </c>
      <c r="C28" s="371" t="s">
        <v>1950</v>
      </c>
      <c r="D28" s="371" t="s">
        <v>1951</v>
      </c>
      <c r="E28" s="372">
        <v>1999</v>
      </c>
      <c r="F28" s="360">
        <v>2000</v>
      </c>
      <c r="G28" s="360">
        <v>2001</v>
      </c>
      <c r="H28" s="360">
        <v>2002</v>
      </c>
      <c r="I28" s="360">
        <v>2003</v>
      </c>
      <c r="J28" s="360">
        <v>2004</v>
      </c>
      <c r="K28" s="360">
        <v>2005</v>
      </c>
    </row>
    <row r="29" spans="1:11">
      <c r="A29" s="175"/>
      <c r="B29" s="37"/>
      <c r="C29" s="37"/>
      <c r="D29" s="37"/>
      <c r="E29" s="373"/>
    </row>
    <row r="30" spans="1:11" s="378" customFormat="1">
      <c r="A30" s="374">
        <v>1</v>
      </c>
      <c r="B30" s="375">
        <v>0.98329138053824328</v>
      </c>
      <c r="C30" s="375">
        <v>1.6539703437460064E-2</v>
      </c>
      <c r="D30" s="375">
        <v>1.689160242967466E-4</v>
      </c>
      <c r="E30" s="376">
        <f>'Impact on poverty'!B37</f>
        <v>9.1861004206833527E-9</v>
      </c>
      <c r="F30" s="377">
        <f>'Impact on poverty'!C37</f>
        <v>0.11259462370919825</v>
      </c>
      <c r="G30" s="377">
        <f>'Impact on poverty'!D37</f>
        <v>-3.6553811370340208E-2</v>
      </c>
      <c r="H30" s="377">
        <f>'Impact on poverty'!E37</f>
        <v>2.202705094710301E-2</v>
      </c>
      <c r="I30" s="377" t="e">
        <f>'Impact on poverty'!F37</f>
        <v>#VALUE!</v>
      </c>
      <c r="J30" s="377" t="e">
        <f>'Impact on poverty'!G37</f>
        <v>#DIV/0!</v>
      </c>
      <c r="K30" s="377" t="e">
        <f>'Impact on poverty'!H37</f>
        <v>#DIV/0!</v>
      </c>
    </row>
    <row r="31" spans="1:11">
      <c r="A31" s="175">
        <v>2</v>
      </c>
      <c r="B31" s="379">
        <v>0.91569997903947753</v>
      </c>
      <c r="C31" s="379">
        <v>7.1409313076042508E-2</v>
      </c>
      <c r="D31" s="379">
        <v>1.28907078844798E-2</v>
      </c>
      <c r="E31" s="376">
        <f>'Impact on poverty'!B38</f>
        <v>9.4085228205318075E-9</v>
      </c>
      <c r="F31" s="377">
        <f>'Impact on poverty'!C38</f>
        <v>0.11169490470179561</v>
      </c>
      <c r="G31" s="377">
        <f>'Impact on poverty'!D38</f>
        <v>-3.4235919306266266E-2</v>
      </c>
      <c r="H31" s="377">
        <f>'Impact on poverty'!E38</f>
        <v>2.3768531426216412E-2</v>
      </c>
      <c r="I31" s="377" t="e">
        <f>'Impact on poverty'!F38</f>
        <v>#VALUE!</v>
      </c>
      <c r="J31" s="377" t="e">
        <f>'Impact on poverty'!G38</f>
        <v>#DIV/0!</v>
      </c>
      <c r="K31" s="377" t="e">
        <f>'Impact on poverty'!H38</f>
        <v>#DIV/0!</v>
      </c>
    </row>
    <row r="32" spans="1:11">
      <c r="A32" s="175">
        <v>3</v>
      </c>
      <c r="B32" s="379">
        <v>0.81693200406181632</v>
      </c>
      <c r="C32" s="379">
        <v>0.12707876461260911</v>
      </c>
      <c r="D32" s="379">
        <v>5.5989231325574609E-2</v>
      </c>
      <c r="E32" s="376">
        <f>'Impact on poverty'!B39</f>
        <v>9.4659922207235637E-9</v>
      </c>
      <c r="F32" s="377">
        <f>'Impact on poverty'!C39</f>
        <v>0.11122287050853401</v>
      </c>
      <c r="G32" s="377">
        <f>'Impact on poverty'!D39</f>
        <v>-3.3017661220506866E-2</v>
      </c>
      <c r="H32" s="377">
        <f>'Impact on poverty'!E39</f>
        <v>2.4689876821666745E-2</v>
      </c>
      <c r="I32" s="377" t="e">
        <f>'Impact on poverty'!F39</f>
        <v>#VALUE!</v>
      </c>
      <c r="J32" s="377" t="e">
        <f>'Impact on poverty'!G39</f>
        <v>#DIV/0!</v>
      </c>
      <c r="K32" s="377" t="e">
        <f>'Impact on poverty'!H39</f>
        <v>#DIV/0!</v>
      </c>
    </row>
    <row r="33" spans="1:11">
      <c r="A33" s="175">
        <v>4</v>
      </c>
      <c r="B33" s="379">
        <v>0.52241303459911448</v>
      </c>
      <c r="C33" s="379">
        <v>0.14562375719382356</v>
      </c>
      <c r="D33" s="379">
        <v>0.33196320820706199</v>
      </c>
      <c r="E33" s="376">
        <f>'Impact on poverty'!B40</f>
        <v>9.2475415458917047E-9</v>
      </c>
      <c r="F33" s="377">
        <f>'Impact on poverty'!C40</f>
        <v>0.11039406252594788</v>
      </c>
      <c r="G33" s="377">
        <f>'Impact on poverty'!D40</f>
        <v>-3.0866836059787874E-2</v>
      </c>
      <c r="H33" s="377">
        <f>'Impact on poverty'!E40</f>
        <v>2.6349031471204043E-2</v>
      </c>
      <c r="I33" s="377" t="e">
        <f>'Impact on poverty'!F40</f>
        <v>#VALUE!</v>
      </c>
      <c r="J33" s="377" t="e">
        <f>'Impact on poverty'!G40</f>
        <v>#DIV/0!</v>
      </c>
      <c r="K33" s="377" t="e">
        <f>'Impact on poverty'!H40</f>
        <v>#DIV/0!</v>
      </c>
    </row>
    <row r="34" spans="1:11">
      <c r="A34" s="175">
        <v>5</v>
      </c>
      <c r="B34" s="379">
        <v>0.33780130090862059</v>
      </c>
      <c r="C34" s="379">
        <v>0.10761068271033271</v>
      </c>
      <c r="D34" s="379">
        <v>0.5545880163810466</v>
      </c>
      <c r="E34" s="376">
        <f>'Impact on poverty'!B41</f>
        <v>8.9715465807010891E-9</v>
      </c>
      <c r="F34" s="377">
        <f>'Impact on poverty'!C41</f>
        <v>0.10999630640917279</v>
      </c>
      <c r="G34" s="377">
        <f>'Impact on poverty'!D41</f>
        <v>-2.9828312171014573E-2</v>
      </c>
      <c r="H34" s="377">
        <f>'Impact on poverty'!E41</f>
        <v>2.7167489658438484E-2</v>
      </c>
      <c r="I34" s="377" t="e">
        <f>'Impact on poverty'!F41</f>
        <v>#VALUE!</v>
      </c>
      <c r="J34" s="377" t="e">
        <f>'Impact on poverty'!G41</f>
        <v>#DIV/0!</v>
      </c>
      <c r="K34" s="377" t="e">
        <f>'Impact on poverty'!H41</f>
        <v>#DIV/0!</v>
      </c>
    </row>
    <row r="35" spans="1:11">
      <c r="A35" s="175">
        <v>6</v>
      </c>
      <c r="B35" s="379">
        <v>0.1356759898499624</v>
      </c>
      <c r="C35" s="379">
        <v>3.5044942697782744E-2</v>
      </c>
      <c r="D35" s="379">
        <v>0.82927906745225488</v>
      </c>
      <c r="E35" s="376">
        <f>'Impact on poverty'!B42</f>
        <v>8.3543153955132131E-9</v>
      </c>
      <c r="F35" s="377">
        <f>'Impact on poverty'!C42</f>
        <v>0.1085555162995889</v>
      </c>
      <c r="G35" s="377">
        <f>'Impact on poverty'!D42</f>
        <v>-2.6080582364367388E-2</v>
      </c>
      <c r="H35" s="377">
        <f>'Impact on poverty'!E42</f>
        <v>3.0082557379929438E-2</v>
      </c>
      <c r="I35" s="377" t="e">
        <f>'Impact on poverty'!F42</f>
        <v>#VALUE!</v>
      </c>
      <c r="J35" s="377" t="e">
        <f>'Impact on poverty'!G42</f>
        <v>#DIV/0!</v>
      </c>
      <c r="K35" s="377" t="e">
        <f>'Impact on poverty'!H42</f>
        <v>#DIV/0!</v>
      </c>
    </row>
    <row r="36" spans="1:11">
      <c r="A36" s="175">
        <v>7</v>
      </c>
      <c r="B36" s="379">
        <v>9.4404093230858646E-2</v>
      </c>
      <c r="C36" s="379">
        <v>2.3503660999453221E-2</v>
      </c>
      <c r="D36" s="379">
        <v>0.88209224576968814</v>
      </c>
      <c r="E36" s="376">
        <f>'Impact on poverty'!B43</f>
        <v>8.194655150773892E-9</v>
      </c>
      <c r="F36" s="377">
        <f>'Impact on poverty'!C43</f>
        <v>0.10814581627510114</v>
      </c>
      <c r="G36" s="377">
        <f>'Impact on poverty'!D43</f>
        <v>-2.5015470710516654E-2</v>
      </c>
      <c r="H36" s="377">
        <f>'Impact on poverty'!E43</f>
        <v>3.0909422783704343E-2</v>
      </c>
      <c r="I36" s="377" t="e">
        <f>'Impact on poverty'!F43</f>
        <v>#VALUE!</v>
      </c>
      <c r="J36" s="377" t="e">
        <f>'Impact on poverty'!G43</f>
        <v>#DIV/0!</v>
      </c>
      <c r="K36" s="377" t="e">
        <f>'Impact on poverty'!H43</f>
        <v>#DIV/0!</v>
      </c>
    </row>
    <row r="37" spans="1:11">
      <c r="A37" s="175">
        <v>8</v>
      </c>
      <c r="B37" s="379">
        <v>9.3260923354750738E-2</v>
      </c>
      <c r="C37" s="379">
        <v>1.9228057206215964E-2</v>
      </c>
      <c r="D37" s="379">
        <v>0.88751101943903332</v>
      </c>
      <c r="E37" s="376">
        <f>'Impact on poverty'!B44</f>
        <v>8.2705849389207951E-9</v>
      </c>
      <c r="F37" s="377">
        <f>'Impact on poverty'!C44</f>
        <v>0.10870889611200622</v>
      </c>
      <c r="G37" s="377">
        <f>'Impact on poverty'!D44</f>
        <v>-2.6474035549914059E-2</v>
      </c>
      <c r="H37" s="377">
        <f>'Impact on poverty'!E44</f>
        <v>2.9791622263137252E-2</v>
      </c>
      <c r="I37" s="377" t="e">
        <f>'Impact on poverty'!F44</f>
        <v>#VALUE!</v>
      </c>
      <c r="J37" s="377" t="e">
        <f>'Impact on poverty'!G44</f>
        <v>#DIV/0!</v>
      </c>
      <c r="K37" s="377" t="e">
        <f>'Impact on poverty'!H44</f>
        <v>#DIV/0!</v>
      </c>
    </row>
    <row r="38" spans="1:11">
      <c r="A38" s="175">
        <v>9</v>
      </c>
      <c r="B38" s="379">
        <v>8.5762171603002285E-2</v>
      </c>
      <c r="C38" s="379">
        <v>1.9069387019559642E-2</v>
      </c>
      <c r="D38" s="379">
        <v>0.89516844137743812</v>
      </c>
      <c r="E38" s="376">
        <f>'Impact on poverty'!B45</f>
        <v>8.1914314038279344E-9</v>
      </c>
      <c r="F38" s="377">
        <f>'Impact on poverty'!C45</f>
        <v>0.10830414115956316</v>
      </c>
      <c r="G38" s="377">
        <f>'Impact on poverty'!D45</f>
        <v>-2.5424678538179125E-2</v>
      </c>
      <c r="H38" s="377">
        <f>'Impact on poverty'!E45</f>
        <v>3.0598311790681648E-2</v>
      </c>
      <c r="I38" s="377" t="e">
        <f>'Impact on poverty'!F45</f>
        <v>#VALUE!</v>
      </c>
      <c r="J38" s="377" t="e">
        <f>'Impact on poverty'!G45</f>
        <v>#DIV/0!</v>
      </c>
      <c r="K38" s="377" t="e">
        <f>'Impact on poverty'!H45</f>
        <v>#DIV/0!</v>
      </c>
    </row>
    <row r="39" spans="1:11" s="378" customFormat="1">
      <c r="A39" s="374">
        <v>10</v>
      </c>
      <c r="B39" s="375">
        <v>0.13105353860881155</v>
      </c>
      <c r="C39" s="375">
        <v>0.23394612332665482</v>
      </c>
      <c r="D39" s="375">
        <v>0.6350003380645336</v>
      </c>
      <c r="E39" s="376">
        <f>'Impact on poverty'!B46</f>
        <v>9.3589467709736277E-9</v>
      </c>
      <c r="F39" s="377">
        <f>'Impact on poverty'!C46</f>
        <v>0.10650467949539003</v>
      </c>
      <c r="G39" s="377">
        <f>'Impact on poverty'!D46</f>
        <v>-2.0815492229868057E-2</v>
      </c>
      <c r="H39" s="377">
        <f>'Impact on poverty'!E46</f>
        <v>3.3987553506754295E-2</v>
      </c>
      <c r="I39" s="377" t="e">
        <f>'Impact on poverty'!F46</f>
        <v>#VALUE!</v>
      </c>
      <c r="J39" s="377" t="e">
        <f>'Impact on poverty'!G46</f>
        <v>#DIV/0!</v>
      </c>
      <c r="K39" s="377" t="e">
        <f>'Impact on poverty'!H46</f>
        <v>#DIV/0!</v>
      </c>
    </row>
    <row r="40" spans="1:11">
      <c r="A40" s="175"/>
      <c r="B40" s="379"/>
      <c r="C40" s="379"/>
      <c r="D40" s="379"/>
      <c r="E40" s="380" t="s">
        <v>1448</v>
      </c>
    </row>
    <row r="41" spans="1:11">
      <c r="A41" s="175" t="s">
        <v>1942</v>
      </c>
      <c r="B41" s="379">
        <v>0.13557805952219532</v>
      </c>
      <c r="C41" s="379">
        <v>0.15804807322902223</v>
      </c>
      <c r="D41" s="379">
        <v>0.70637386724878237</v>
      </c>
      <c r="E41" s="380" t="s">
        <v>1448</v>
      </c>
    </row>
  </sheetData>
  <mergeCells count="2">
    <mergeCell ref="B27:D27"/>
    <mergeCell ref="E27:K27"/>
  </mergeCells>
  <pageMargins left="0.75" right="0.75" top="1" bottom="1" header="0.5" footer="0.5"/>
  <pageSetup orientation="portrait" horizontalDpi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7"/>
  <dimension ref="A1:P45"/>
  <sheetViews>
    <sheetView zoomScale="75" workbookViewId="0">
      <selection activeCell="C25" sqref="C25"/>
    </sheetView>
  </sheetViews>
  <sheetFormatPr defaultRowHeight="15.75"/>
  <cols>
    <col min="1" max="1" width="10" customWidth="1"/>
    <col min="2" max="2" width="12.85546875" style="175" customWidth="1"/>
    <col min="3" max="3" width="12.28515625" style="176" bestFit="1" customWidth="1"/>
  </cols>
  <sheetData>
    <row r="1" spans="1:16" s="162" customFormat="1" ht="39.75" thickBot="1">
      <c r="A1" s="178" t="s">
        <v>286</v>
      </c>
      <c r="B1" s="165"/>
      <c r="C1" s="179" t="s">
        <v>2002</v>
      </c>
      <c r="D1" s="622" t="str">
        <f>'internal parameters'!D1</f>
        <v>#</v>
      </c>
      <c r="E1" s="22" t="str">
        <f>'internal parameters'!E1</f>
        <v>MODELS - mode of adjustment to shocks</v>
      </c>
      <c r="F1" s="22"/>
      <c r="G1" s="22"/>
      <c r="H1" s="22"/>
      <c r="I1" s="22"/>
      <c r="J1" s="22"/>
      <c r="K1"/>
      <c r="L1"/>
      <c r="M1"/>
      <c r="N1"/>
      <c r="O1"/>
      <c r="P1"/>
    </row>
    <row r="2" spans="1:16" s="162" customFormat="1" ht="12.75">
      <c r="A2" s="181" t="s">
        <v>277</v>
      </c>
      <c r="B2" s="180">
        <f>'internal parameters'!B2</f>
        <v>2000</v>
      </c>
      <c r="C2" s="626" t="str">
        <f>IF(D2='internal parameters'!$B$5,"X","")</f>
        <v>X</v>
      </c>
      <c r="D2" s="166">
        <f>'internal parameters'!D2</f>
        <v>1</v>
      </c>
      <c r="E2" s="22" t="str">
        <f>'internal parameters'!E2</f>
        <v>A.   Adjust total investment                                    (savings driven)</v>
      </c>
      <c r="F2" s="22"/>
      <c r="G2" s="22"/>
      <c r="H2" s="22"/>
      <c r="I2" s="22"/>
      <c r="J2" s="22"/>
      <c r="K2"/>
      <c r="L2"/>
      <c r="M2"/>
      <c r="N2"/>
      <c r="O2"/>
      <c r="P2"/>
    </row>
    <row r="3" spans="1:16" s="162" customFormat="1" ht="12.75">
      <c r="A3" s="627" t="s">
        <v>2000</v>
      </c>
      <c r="B3" s="628">
        <f>'internal parameters'!B3</f>
        <v>2003</v>
      </c>
      <c r="C3" s="596" t="str">
        <f>IF(D3='internal parameters'!$B$5,"X","")</f>
        <v/>
      </c>
      <c r="D3" s="168" t="str">
        <f>'internal parameters'!D3</f>
        <v xml:space="preserve">  </v>
      </c>
      <c r="E3" s="47" t="str">
        <f>'internal parameters'!E3</f>
        <v>B.   Seek alternative investment financing thru      (investment driven)</v>
      </c>
      <c r="F3" s="47"/>
      <c r="G3" s="47"/>
      <c r="H3" s="47"/>
      <c r="I3" s="47"/>
      <c r="J3" s="47"/>
      <c r="K3"/>
      <c r="L3"/>
      <c r="M3"/>
      <c r="N3"/>
      <c r="O3"/>
      <c r="P3"/>
    </row>
    <row r="4" spans="1:16" s="162" customFormat="1" ht="12.75">
      <c r="A4" s="627" t="s">
        <v>1423</v>
      </c>
      <c r="B4" s="628" t="str">
        <f>IF('internal parameters'!B8=1,"VAR&amp;Get Real","Initial proj.")</f>
        <v>VAR&amp;Get Real</v>
      </c>
      <c r="C4" s="596" t="str">
        <f>IF(D4='internal parameters'!$B$5,"X","")</f>
        <v/>
      </c>
      <c r="D4" s="168">
        <f>'internal parameters'!D4</f>
        <v>2</v>
      </c>
      <c r="E4" s="48" t="str">
        <f>'internal parameters'!E4</f>
        <v xml:space="preserve">       i.   Foreign borrowing </v>
      </c>
      <c r="F4" s="48"/>
      <c r="G4" s="48"/>
      <c r="H4" s="48"/>
      <c r="I4" s="48"/>
      <c r="J4" s="48"/>
      <c r="K4"/>
      <c r="L4"/>
      <c r="M4"/>
      <c r="N4"/>
      <c r="O4"/>
      <c r="P4"/>
    </row>
    <row r="5" spans="1:16" s="162" customFormat="1" ht="13.5" thickBot="1">
      <c r="A5" s="629" t="s">
        <v>1237</v>
      </c>
      <c r="B5" s="630">
        <f>IF(B4="VAR&amp;GET Real",'internal parameters'!B9,"")</f>
        <v>3</v>
      </c>
      <c r="C5" s="596" t="str">
        <f>IF(D5='internal parameters'!$B$5,"X","")</f>
        <v/>
      </c>
      <c r="D5" s="168" t="str">
        <f>'internal parameters'!D5</f>
        <v xml:space="preserve">  </v>
      </c>
      <c r="E5" s="22" t="str">
        <f>'internal parameters'!E5</f>
        <v xml:space="preserve">       ii.  Government savings</v>
      </c>
      <c r="F5" s="22"/>
      <c r="G5" s="22"/>
      <c r="H5" s="22"/>
      <c r="I5" s="22"/>
      <c r="J5" s="22"/>
      <c r="K5"/>
      <c r="L5"/>
      <c r="M5"/>
      <c r="N5"/>
      <c r="O5"/>
      <c r="P5"/>
    </row>
    <row r="6" spans="1:16" s="162" customFormat="1" ht="12.75">
      <c r="A6" s="169"/>
      <c r="B6" s="170"/>
      <c r="C6" s="623" t="str">
        <f>IF(D6='internal parameters'!$B$5,"X","")</f>
        <v/>
      </c>
      <c r="D6" s="168">
        <f>'internal parameters'!D6</f>
        <v>3</v>
      </c>
      <c r="E6" s="40" t="str">
        <f>'internal parameters'!E6</f>
        <v xml:space="preserve">               Expenditure adjustment      (public consumption)</v>
      </c>
      <c r="F6" s="40"/>
      <c r="G6" s="40"/>
      <c r="H6" s="40"/>
      <c r="I6" s="40"/>
      <c r="J6" s="40"/>
      <c r="K6"/>
      <c r="L6"/>
      <c r="M6"/>
      <c r="N6"/>
      <c r="O6"/>
      <c r="P6"/>
    </row>
    <row r="7" spans="1:16" s="162" customFormat="1" ht="12.75">
      <c r="B7" s="163"/>
      <c r="C7" s="623" t="str">
        <f>IF(D7='internal parameters'!$B$5,"X","")</f>
        <v/>
      </c>
      <c r="D7" s="168" t="str">
        <f>'internal parameters'!D7</f>
        <v xml:space="preserve">  </v>
      </c>
      <c r="E7" s="40" t="str">
        <f>'internal parameters'!E7</f>
        <v xml:space="preserve">               Tax adjustment</v>
      </c>
      <c r="F7" s="40"/>
      <c r="G7" s="40"/>
      <c r="H7" s="40"/>
      <c r="I7" s="40"/>
      <c r="J7" s="40"/>
      <c r="K7"/>
      <c r="L7"/>
      <c r="M7"/>
      <c r="N7"/>
      <c r="O7"/>
      <c r="P7"/>
    </row>
    <row r="8" spans="1:16" s="162" customFormat="1" ht="12.75">
      <c r="B8" s="163"/>
      <c r="C8" s="623" t="str">
        <f>IF(D8='internal parameters'!$B$5,"X","")</f>
        <v/>
      </c>
      <c r="D8" s="168">
        <f>'internal parameters'!D8</f>
        <v>4</v>
      </c>
      <c r="E8" s="40" t="str">
        <f>'internal parameters'!E8</f>
        <v xml:space="preserve">                     all taxes (incl. import tariffs and export duties)</v>
      </c>
      <c r="F8" s="40"/>
      <c r="G8" s="40"/>
      <c r="H8" s="40"/>
      <c r="I8" s="40"/>
      <c r="J8" s="40"/>
      <c r="K8"/>
      <c r="L8"/>
      <c r="M8"/>
      <c r="N8"/>
      <c r="O8"/>
      <c r="P8"/>
    </row>
    <row r="9" spans="1:16" s="162" customFormat="1" ht="12.75">
      <c r="B9" s="163"/>
      <c r="C9" s="623" t="str">
        <f>IF(D9='internal parameters'!$B$5,"X","")</f>
        <v/>
      </c>
      <c r="D9" s="168">
        <f>'internal parameters'!D9</f>
        <v>5</v>
      </c>
      <c r="E9" s="40" t="str">
        <f>'internal parameters'!E9</f>
        <v xml:space="preserve">                     all domestic taxes</v>
      </c>
      <c r="F9" s="40"/>
      <c r="G9" s="40"/>
      <c r="H9" s="40"/>
      <c r="I9" s="40"/>
      <c r="J9" s="40"/>
      <c r="K9"/>
      <c r="L9"/>
      <c r="M9"/>
      <c r="N9"/>
      <c r="O9"/>
      <c r="P9"/>
    </row>
    <row r="10" spans="1:16" s="162" customFormat="1" ht="12.75">
      <c r="B10" s="163"/>
      <c r="C10" s="623" t="str">
        <f>IF(D10='internal parameters'!$B$5,"X","")</f>
        <v/>
      </c>
      <c r="D10" s="168">
        <f>'internal parameters'!D10</f>
        <v>6</v>
      </c>
      <c r="E10" s="40" t="str">
        <f>'internal parameters'!E10</f>
        <v xml:space="preserve">                     domestic indirect taxes</v>
      </c>
      <c r="F10" s="40"/>
      <c r="G10" s="40"/>
      <c r="H10" s="40"/>
      <c r="I10" s="40"/>
      <c r="J10" s="40"/>
      <c r="K10"/>
      <c r="L10"/>
      <c r="M10"/>
      <c r="N10"/>
      <c r="O10"/>
      <c r="P10"/>
    </row>
    <row r="11" spans="1:16" s="162" customFormat="1" ht="12.75">
      <c r="B11" s="163"/>
      <c r="C11" s="623" t="str">
        <f>IF(D11='internal parameters'!$B$5,"X","")</f>
        <v/>
      </c>
      <c r="D11" s="168">
        <f>'internal parameters'!D11</f>
        <v>7</v>
      </c>
      <c r="E11" s="40" t="str">
        <f>'internal parameters'!E11</f>
        <v xml:space="preserve">                     direct taxes</v>
      </c>
      <c r="F11" s="40"/>
      <c r="G11" s="40"/>
      <c r="H11" s="40"/>
      <c r="I11" s="40"/>
      <c r="J11" s="40"/>
      <c r="K11"/>
      <c r="L11"/>
      <c r="M11"/>
      <c r="N11"/>
      <c r="O11"/>
      <c r="P11"/>
    </row>
    <row r="12" spans="1:16" s="162" customFormat="1" ht="12.75">
      <c r="B12" s="163"/>
      <c r="C12" s="623" t="str">
        <f>IF(D12='internal parameters'!$B$5,"X","")</f>
        <v/>
      </c>
      <c r="D12" s="168" t="str">
        <f>'internal parameters'!D12</f>
        <v xml:space="preserve">  </v>
      </c>
      <c r="E12" s="22" t="str">
        <f>'internal parameters'!E12</f>
        <v xml:space="preserve">       iii. Targeted fiscal balance (foreign financing endogenous), adjusting</v>
      </c>
      <c r="F12" s="22"/>
      <c r="G12" s="22"/>
      <c r="H12" s="22"/>
      <c r="I12" s="22"/>
      <c r="J12" s="22"/>
      <c r="K12"/>
      <c r="L12"/>
      <c r="M12"/>
      <c r="N12"/>
      <c r="O12"/>
      <c r="P12"/>
    </row>
    <row r="13" spans="1:16" s="162" customFormat="1" ht="12.75">
      <c r="B13" s="163"/>
      <c r="C13" s="623" t="str">
        <f>IF(D13='internal parameters'!$B$5,"X","")</f>
        <v/>
      </c>
      <c r="D13" s="168">
        <f>'internal parameters'!D13</f>
        <v>8</v>
      </c>
      <c r="E13" s="40" t="str">
        <f>'internal parameters'!E13</f>
        <v xml:space="preserve">               Expenditure adjustment      (public consumption)</v>
      </c>
      <c r="F13" s="40"/>
      <c r="G13" s="40"/>
      <c r="H13" s="40"/>
      <c r="I13" s="40"/>
      <c r="J13" s="40"/>
      <c r="K13"/>
      <c r="L13"/>
      <c r="M13"/>
      <c r="N13"/>
      <c r="O13"/>
      <c r="P13"/>
    </row>
    <row r="14" spans="1:16" s="162" customFormat="1" ht="12.75">
      <c r="B14" s="163"/>
      <c r="C14" s="623" t="str">
        <f>IF(D14='internal parameters'!$B$5,"X","")</f>
        <v/>
      </c>
      <c r="D14" s="168" t="str">
        <f>'internal parameters'!D14</f>
        <v xml:space="preserve">  </v>
      </c>
      <c r="E14" s="40" t="str">
        <f>'internal parameters'!E14</f>
        <v xml:space="preserve">               Tax adjustment</v>
      </c>
      <c r="F14" s="40"/>
      <c r="G14" s="40"/>
      <c r="H14" s="40"/>
      <c r="I14" s="40"/>
      <c r="J14" s="40"/>
      <c r="K14"/>
      <c r="L14"/>
      <c r="M14"/>
      <c r="N14"/>
      <c r="O14"/>
      <c r="P14"/>
    </row>
    <row r="15" spans="1:16" s="162" customFormat="1" ht="12.75">
      <c r="B15" s="163"/>
      <c r="C15" s="623" t="str">
        <f>IF(D15='internal parameters'!$B$5,"X","")</f>
        <v/>
      </c>
      <c r="D15" s="168">
        <f>'internal parameters'!D15</f>
        <v>9</v>
      </c>
      <c r="E15" s="40" t="str">
        <f>'internal parameters'!E15</f>
        <v xml:space="preserve">                     all taxes (incl. import tariffs and export duties)</v>
      </c>
      <c r="F15" s="40"/>
      <c r="G15" s="40"/>
      <c r="H15" s="40"/>
      <c r="I15" s="40"/>
      <c r="J15" s="40"/>
      <c r="K15"/>
      <c r="L15"/>
      <c r="M15"/>
      <c r="N15"/>
      <c r="O15"/>
      <c r="P15"/>
    </row>
    <row r="16" spans="1:16" s="162" customFormat="1" ht="12.75">
      <c r="B16" s="163"/>
      <c r="C16" s="623" t="str">
        <f>IF(D16='internal parameters'!$B$5,"X","")</f>
        <v/>
      </c>
      <c r="D16" s="168">
        <f>'internal parameters'!D16</f>
        <v>10</v>
      </c>
      <c r="E16" s="40" t="str">
        <f>'internal parameters'!E16</f>
        <v xml:space="preserve">                     all domestic taxes</v>
      </c>
      <c r="F16" s="40"/>
      <c r="G16" s="40"/>
      <c r="H16" s="40"/>
      <c r="I16" s="40"/>
      <c r="J16" s="40"/>
      <c r="K16"/>
      <c r="L16"/>
      <c r="M16"/>
      <c r="N16"/>
      <c r="O16"/>
      <c r="P16"/>
    </row>
    <row r="17" spans="1:16" s="162" customFormat="1" ht="12.75">
      <c r="B17" s="163"/>
      <c r="C17" s="623" t="str">
        <f>IF(D17='internal parameters'!$B$5,"X","")</f>
        <v/>
      </c>
      <c r="D17" s="168">
        <f>'internal parameters'!D17</f>
        <v>11</v>
      </c>
      <c r="E17" s="40" t="str">
        <f>'internal parameters'!E17</f>
        <v xml:space="preserve">                     domestic indirect taxes</v>
      </c>
      <c r="F17" s="40"/>
      <c r="G17" s="40"/>
      <c r="H17" s="40"/>
      <c r="I17" s="40"/>
      <c r="J17" s="40"/>
      <c r="K17"/>
      <c r="L17"/>
      <c r="M17"/>
      <c r="N17"/>
      <c r="O17"/>
      <c r="P17"/>
    </row>
    <row r="18" spans="1:16" s="162" customFormat="1" ht="12.75">
      <c r="B18" s="163"/>
      <c r="C18" s="623" t="str">
        <f>IF(D18='internal parameters'!$B$5,"X","")</f>
        <v/>
      </c>
      <c r="D18" s="168">
        <f>'internal parameters'!D18</f>
        <v>12</v>
      </c>
      <c r="E18" s="40" t="str">
        <f>'internal parameters'!E18</f>
        <v xml:space="preserve">                     direct taxes</v>
      </c>
      <c r="F18" s="40"/>
      <c r="G18" s="40"/>
      <c r="H18" s="40"/>
      <c r="I18" s="40"/>
      <c r="J18" s="40"/>
      <c r="K18"/>
      <c r="L18"/>
      <c r="M18"/>
      <c r="N18"/>
      <c r="O18"/>
      <c r="P18"/>
    </row>
    <row r="19" spans="1:16" s="162" customFormat="1" ht="12.75">
      <c r="B19" s="163"/>
      <c r="C19" s="623" t="str">
        <f>IF(D19='internal parameters'!$B$5,"X","")</f>
        <v/>
      </c>
      <c r="D19" s="172" t="str">
        <f>'internal parameters'!D19</f>
        <v xml:space="preserve">  </v>
      </c>
      <c r="E19" s="162" t="str">
        <f>'internal parameters'!E19</f>
        <v xml:space="preserve">  </v>
      </c>
      <c r="K19"/>
      <c r="L19"/>
      <c r="M19"/>
      <c r="N19"/>
      <c r="O19"/>
      <c r="P19"/>
    </row>
    <row r="20" spans="1:16" s="162" customFormat="1" ht="12.75">
      <c r="B20" s="163"/>
      <c r="C20" s="623" t="str">
        <f>IF(D20='internal parameters'!$B$5,"X","")</f>
        <v/>
      </c>
      <c r="D20" s="172" t="str">
        <f>'internal parameters'!D20</f>
        <v xml:space="preserve">  </v>
      </c>
      <c r="E20" s="162" t="str">
        <f>'internal parameters'!E20</f>
        <v xml:space="preserve">  </v>
      </c>
      <c r="K20"/>
      <c r="L20"/>
      <c r="M20"/>
      <c r="N20"/>
      <c r="O20"/>
      <c r="P20"/>
    </row>
    <row r="21" spans="1:16" s="162" customFormat="1" ht="12.75">
      <c r="B21" s="163"/>
      <c r="C21" s="623" t="str">
        <f>IF(D21='internal parameters'!$B$5,"X","")</f>
        <v/>
      </c>
      <c r="D21" s="172" t="str">
        <f>'internal parameters'!D21</f>
        <v xml:space="preserve">  </v>
      </c>
      <c r="E21" s="162" t="str">
        <f>'internal parameters'!E21</f>
        <v xml:space="preserve">  </v>
      </c>
      <c r="K21"/>
      <c r="L21"/>
      <c r="M21"/>
      <c r="N21"/>
      <c r="O21"/>
      <c r="P21"/>
    </row>
    <row r="22" spans="1:16" s="162" customFormat="1" ht="13.5" thickBot="1">
      <c r="B22" s="163"/>
      <c r="C22" s="624" t="str">
        <f>IF(D22='internal parameters'!$B$5,"X","")</f>
        <v/>
      </c>
      <c r="D22" s="174" t="str">
        <f>'internal parameters'!D22</f>
        <v xml:space="preserve">  </v>
      </c>
      <c r="E22" s="162" t="str">
        <f>'internal parameters'!E22</f>
        <v xml:space="preserve">  </v>
      </c>
      <c r="K22"/>
      <c r="L22"/>
      <c r="M22"/>
      <c r="N22"/>
      <c r="O22"/>
      <c r="P22"/>
    </row>
    <row r="23" spans="1:16" s="162" customFormat="1" ht="12.75">
      <c r="B23" s="163"/>
      <c r="C23" s="164"/>
      <c r="D23" s="94">
        <f>'internal parameters'!D25</f>
        <v>2001</v>
      </c>
      <c r="E23" s="94">
        <f>'internal parameters'!E25</f>
        <v>2002</v>
      </c>
      <c r="F23" s="94">
        <f>'internal parameters'!F25</f>
        <v>2003</v>
      </c>
      <c r="G23" s="94" t="str">
        <f>'internal parameters'!G25</f>
        <v/>
      </c>
      <c r="H23" s="94" t="str">
        <f>'internal parameters'!H25</f>
        <v/>
      </c>
      <c r="I23" s="94" t="str">
        <f>'internal parameters'!I25</f>
        <v/>
      </c>
      <c r="J23" s="94" t="str">
        <f>'internal parameters'!J25</f>
        <v/>
      </c>
      <c r="K23" s="94" t="str">
        <f>'internal parameters'!K25</f>
        <v/>
      </c>
      <c r="L23" s="94" t="str">
        <f>'internal parameters'!L25</f>
        <v/>
      </c>
      <c r="M23" s="94" t="str">
        <f>'internal parameters'!M25</f>
        <v/>
      </c>
      <c r="N23" s="94"/>
      <c r="O23"/>
      <c r="P23"/>
    </row>
    <row r="24" spans="1:16" s="162" customFormat="1" ht="12.75">
      <c r="A24" s="162" t="s">
        <v>1233</v>
      </c>
      <c r="B24" s="163"/>
      <c r="C24" s="164" t="s">
        <v>2303</v>
      </c>
      <c r="D24" s="182">
        <f>'internal parameters'!D26</f>
        <v>-0.2</v>
      </c>
      <c r="E24" s="182">
        <f>'internal parameters'!E26</f>
        <v>-0.15</v>
      </c>
      <c r="F24" s="182">
        <f>'internal parameters'!F26</f>
        <v>-0.1</v>
      </c>
      <c r="G24" s="182">
        <f>'internal parameters'!G26</f>
        <v>0</v>
      </c>
      <c r="H24" s="182">
        <f>'internal parameters'!H26</f>
        <v>0</v>
      </c>
      <c r="I24" s="182">
        <f>'internal parameters'!I26</f>
        <v>0</v>
      </c>
      <c r="J24" s="182">
        <f>'internal parameters'!J26</f>
        <v>0</v>
      </c>
      <c r="K24" s="182">
        <f>'internal parameters'!K26</f>
        <v>0</v>
      </c>
      <c r="L24" s="182">
        <f>'internal parameters'!L26</f>
        <v>0</v>
      </c>
      <c r="M24" s="182">
        <f>'internal parameters'!M26</f>
        <v>0</v>
      </c>
      <c r="N24" s="640"/>
      <c r="O24"/>
      <c r="P24"/>
    </row>
    <row r="25" spans="1:16" s="162" customFormat="1" ht="12.75">
      <c r="B25" s="163"/>
      <c r="C25" s="164" t="s">
        <v>2081</v>
      </c>
      <c r="D25" s="182">
        <f>'internal parameters'!D27</f>
        <v>-6.7724803210508092E-3</v>
      </c>
      <c r="E25" s="182">
        <f>'internal parameters'!E27</f>
        <v>0</v>
      </c>
      <c r="F25" s="182">
        <f>'internal parameters'!F27</f>
        <v>0</v>
      </c>
      <c r="G25" s="182">
        <f>'internal parameters'!G27</f>
        <v>0</v>
      </c>
      <c r="H25" s="182">
        <f>'internal parameters'!H27</f>
        <v>0</v>
      </c>
      <c r="I25" s="182">
        <f>'internal parameters'!I27</f>
        <v>0</v>
      </c>
      <c r="J25" s="182">
        <f>'internal parameters'!J27</f>
        <v>0</v>
      </c>
      <c r="K25" s="182">
        <f>'internal parameters'!K27</f>
        <v>0</v>
      </c>
      <c r="L25" s="182">
        <f>'internal parameters'!L27</f>
        <v>0</v>
      </c>
      <c r="M25" s="182">
        <f>'internal parameters'!M27</f>
        <v>0</v>
      </c>
      <c r="N25"/>
      <c r="O25"/>
      <c r="P25"/>
    </row>
    <row r="26" spans="1:16" s="162" customFormat="1" ht="12.75">
      <c r="A26" s="162" t="s">
        <v>1181</v>
      </c>
      <c r="B26" s="163"/>
      <c r="C26" s="164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62" customFormat="1" ht="12.75">
      <c r="B27" s="163"/>
      <c r="C27" s="164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62" customFormat="1" ht="12.75">
      <c r="B28" s="163"/>
      <c r="C28" s="164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62" customFormat="1" ht="12.75">
      <c r="B29" s="163"/>
      <c r="C29" s="164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62" customFormat="1" ht="12.75">
      <c r="B30" s="163"/>
      <c r="C30" s="164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62" customFormat="1" ht="12.75">
      <c r="B31" s="163"/>
      <c r="C31" s="164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62" customFormat="1" ht="12.75">
      <c r="B32" s="163"/>
      <c r="C32" s="164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s="162" customFormat="1" ht="12.75">
      <c r="B33" s="163"/>
      <c r="C33" s="164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2:16" s="162" customFormat="1" ht="12.75">
      <c r="B34" s="163"/>
      <c r="C34" s="16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s="162" customFormat="1" ht="12.75">
      <c r="B35" s="163"/>
      <c r="C35" s="164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s="162" customFormat="1" ht="12.75">
      <c r="B36" s="163"/>
      <c r="C36" s="164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s="162" customFormat="1" ht="12.75">
      <c r="B37" s="163"/>
      <c r="C37" s="164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s="162" customFormat="1" ht="12.75">
      <c r="B38" s="163"/>
      <c r="C38" s="164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s="162" customFormat="1" ht="12.75">
      <c r="B39" s="163"/>
      <c r="C39" s="164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s="162" customFormat="1" ht="12.75">
      <c r="B40" s="163"/>
      <c r="C40" s="164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2:16" s="162" customFormat="1" ht="12.75">
      <c r="B41" s="163"/>
      <c r="C41" s="164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2:16" s="162" customFormat="1" ht="12.75">
      <c r="B42" s="163"/>
      <c r="C42" s="164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2:16" s="162" customFormat="1" ht="12.75">
      <c r="B43" s="163"/>
      <c r="C43" s="164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2:16" s="162" customFormat="1" ht="12.75">
      <c r="B44" s="163"/>
      <c r="C44" s="16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2:16" s="162" customFormat="1" ht="12.75">
      <c r="B45" s="163"/>
      <c r="C45" s="164"/>
      <c r="D45"/>
      <c r="E45"/>
      <c r="F45"/>
      <c r="G45"/>
      <c r="H45"/>
      <c r="I45"/>
      <c r="J45"/>
      <c r="K45"/>
      <c r="L45"/>
      <c r="M45"/>
      <c r="N45"/>
      <c r="O45"/>
      <c r="P4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71"/>
  <dimension ref="A1:P45"/>
  <sheetViews>
    <sheetView zoomScale="75" workbookViewId="0">
      <selection sqref="A1:IV65536"/>
    </sheetView>
  </sheetViews>
  <sheetFormatPr defaultRowHeight="15.75"/>
  <cols>
    <col min="1" max="1" width="10" customWidth="1"/>
    <col min="2" max="2" width="12.85546875" style="175" customWidth="1"/>
    <col min="3" max="3" width="12.28515625" style="176" customWidth="1"/>
  </cols>
  <sheetData>
    <row r="1" spans="1:16" s="162" customFormat="1" ht="39.75" thickBot="1">
      <c r="A1" s="178" t="s">
        <v>286</v>
      </c>
      <c r="B1" s="165"/>
      <c r="C1" s="179" t="s">
        <v>2002</v>
      </c>
      <c r="D1" s="622" t="s">
        <v>1771</v>
      </c>
      <c r="E1" s="22" t="s">
        <v>1772</v>
      </c>
      <c r="F1" s="22"/>
      <c r="G1" s="22"/>
      <c r="H1" s="22"/>
      <c r="I1" s="22"/>
      <c r="J1" s="22"/>
      <c r="K1"/>
      <c r="L1"/>
      <c r="M1"/>
      <c r="N1"/>
      <c r="O1"/>
      <c r="P1"/>
    </row>
    <row r="2" spans="1:16" s="162" customFormat="1" ht="12.75">
      <c r="A2" s="181" t="s">
        <v>277</v>
      </c>
      <c r="B2" s="180">
        <v>2000</v>
      </c>
      <c r="C2" s="626" t="s">
        <v>1532</v>
      </c>
      <c r="D2" s="166">
        <v>1</v>
      </c>
      <c r="E2" s="22" t="s">
        <v>1773</v>
      </c>
      <c r="F2" s="22"/>
      <c r="G2" s="22"/>
      <c r="H2" s="22"/>
      <c r="I2" s="22"/>
      <c r="J2" s="22"/>
      <c r="K2"/>
      <c r="L2"/>
      <c r="M2"/>
      <c r="N2"/>
      <c r="O2"/>
      <c r="P2"/>
    </row>
    <row r="3" spans="1:16" s="162" customFormat="1" ht="12.75">
      <c r="A3" s="627" t="s">
        <v>2000</v>
      </c>
      <c r="B3" s="628">
        <v>2003</v>
      </c>
      <c r="C3" s="596" t="s">
        <v>293</v>
      </c>
      <c r="D3" s="168" t="s">
        <v>1785</v>
      </c>
      <c r="E3" s="47" t="s">
        <v>1774</v>
      </c>
      <c r="F3" s="47"/>
      <c r="G3" s="47"/>
      <c r="H3" s="47"/>
      <c r="I3" s="47"/>
      <c r="J3" s="47"/>
      <c r="K3"/>
      <c r="L3"/>
      <c r="M3"/>
      <c r="N3"/>
      <c r="O3"/>
      <c r="P3"/>
    </row>
    <row r="4" spans="1:16" s="162" customFormat="1" ht="12.75">
      <c r="A4" s="627" t="s">
        <v>1423</v>
      </c>
      <c r="B4" s="628" t="s">
        <v>227</v>
      </c>
      <c r="C4" s="596" t="s">
        <v>293</v>
      </c>
      <c r="D4" s="168">
        <v>2</v>
      </c>
      <c r="E4" s="48" t="s">
        <v>1775</v>
      </c>
      <c r="F4" s="48"/>
      <c r="G4" s="48"/>
      <c r="H4" s="48"/>
      <c r="I4" s="48"/>
      <c r="J4" s="48"/>
      <c r="K4"/>
      <c r="L4"/>
      <c r="M4"/>
      <c r="N4"/>
      <c r="O4"/>
      <c r="P4"/>
    </row>
    <row r="5" spans="1:16" s="162" customFormat="1" ht="13.5" thickBot="1">
      <c r="A5" s="629" t="s">
        <v>1237</v>
      </c>
      <c r="B5" s="630" t="s">
        <v>293</v>
      </c>
      <c r="C5" s="596" t="s">
        <v>293</v>
      </c>
      <c r="D5" s="168" t="s">
        <v>1785</v>
      </c>
      <c r="E5" s="22" t="s">
        <v>1776</v>
      </c>
      <c r="F5" s="22"/>
      <c r="G5" s="22"/>
      <c r="H5" s="22"/>
      <c r="I5" s="22"/>
      <c r="J5" s="22"/>
      <c r="K5"/>
      <c r="L5"/>
      <c r="M5"/>
      <c r="N5"/>
      <c r="O5"/>
      <c r="P5"/>
    </row>
    <row r="6" spans="1:16" s="162" customFormat="1" ht="12.75">
      <c r="A6" s="169"/>
      <c r="B6" s="170"/>
      <c r="C6" s="623" t="s">
        <v>293</v>
      </c>
      <c r="D6" s="168">
        <v>3</v>
      </c>
      <c r="E6" s="40" t="s">
        <v>1779</v>
      </c>
      <c r="F6" s="40"/>
      <c r="G6" s="40"/>
      <c r="H6" s="40"/>
      <c r="I6" s="40"/>
      <c r="J6" s="40"/>
      <c r="K6"/>
      <c r="L6"/>
      <c r="M6"/>
      <c r="N6"/>
      <c r="O6"/>
      <c r="P6"/>
    </row>
    <row r="7" spans="1:16" s="162" customFormat="1" ht="12.75">
      <c r="B7" s="163"/>
      <c r="C7" s="623" t="s">
        <v>293</v>
      </c>
      <c r="D7" s="168" t="s">
        <v>1785</v>
      </c>
      <c r="E7" s="40" t="s">
        <v>1780</v>
      </c>
      <c r="F7" s="40"/>
      <c r="G7" s="40"/>
      <c r="H7" s="40"/>
      <c r="I7" s="40"/>
      <c r="J7" s="40"/>
      <c r="K7"/>
      <c r="L7"/>
      <c r="M7"/>
      <c r="N7"/>
      <c r="O7"/>
      <c r="P7"/>
    </row>
    <row r="8" spans="1:16" s="162" customFormat="1" ht="12.75">
      <c r="B8" s="163"/>
      <c r="C8" s="623" t="s">
        <v>293</v>
      </c>
      <c r="D8" s="168">
        <v>4</v>
      </c>
      <c r="E8" s="40" t="s">
        <v>1781</v>
      </c>
      <c r="F8" s="40"/>
      <c r="G8" s="40"/>
      <c r="H8" s="40"/>
      <c r="I8" s="40"/>
      <c r="J8" s="40"/>
      <c r="K8"/>
      <c r="L8"/>
      <c r="M8"/>
      <c r="N8"/>
      <c r="O8"/>
      <c r="P8"/>
    </row>
    <row r="9" spans="1:16" s="162" customFormat="1" ht="12.75">
      <c r="B9" s="163"/>
      <c r="C9" s="623" t="s">
        <v>293</v>
      </c>
      <c r="D9" s="168">
        <v>5</v>
      </c>
      <c r="E9" s="40" t="s">
        <v>1782</v>
      </c>
      <c r="F9" s="40"/>
      <c r="G9" s="40"/>
      <c r="H9" s="40"/>
      <c r="I9" s="40"/>
      <c r="J9" s="40"/>
      <c r="K9"/>
      <c r="L9"/>
      <c r="M9"/>
      <c r="N9"/>
      <c r="O9"/>
      <c r="P9"/>
    </row>
    <row r="10" spans="1:16" s="162" customFormat="1" ht="12.75">
      <c r="B10" s="163"/>
      <c r="C10" s="623" t="s">
        <v>293</v>
      </c>
      <c r="D10" s="168">
        <v>6</v>
      </c>
      <c r="E10" s="40" t="s">
        <v>1783</v>
      </c>
      <c r="F10" s="40"/>
      <c r="G10" s="40"/>
      <c r="H10" s="40"/>
      <c r="I10" s="40"/>
      <c r="J10" s="40"/>
      <c r="K10"/>
      <c r="L10"/>
      <c r="M10"/>
      <c r="N10"/>
      <c r="O10"/>
      <c r="P10"/>
    </row>
    <row r="11" spans="1:16" s="162" customFormat="1" ht="12.75">
      <c r="B11" s="163"/>
      <c r="C11" s="623" t="s">
        <v>293</v>
      </c>
      <c r="D11" s="168">
        <v>7</v>
      </c>
      <c r="E11" s="40" t="s">
        <v>1784</v>
      </c>
      <c r="F11" s="40"/>
      <c r="G11" s="40"/>
      <c r="H11" s="40"/>
      <c r="I11" s="40"/>
      <c r="J11" s="40"/>
      <c r="K11"/>
      <c r="L11"/>
      <c r="M11"/>
      <c r="N11"/>
      <c r="O11"/>
      <c r="P11"/>
    </row>
    <row r="12" spans="1:16" s="162" customFormat="1" ht="12.75">
      <c r="B12" s="163"/>
      <c r="C12" s="623" t="s">
        <v>293</v>
      </c>
      <c r="D12" s="168" t="s">
        <v>1785</v>
      </c>
      <c r="E12" s="22" t="s">
        <v>1786</v>
      </c>
      <c r="F12" s="22"/>
      <c r="G12" s="22"/>
      <c r="H12" s="22"/>
      <c r="I12" s="22"/>
      <c r="J12" s="22"/>
      <c r="K12"/>
      <c r="L12"/>
      <c r="M12"/>
      <c r="N12"/>
      <c r="O12"/>
      <c r="P12"/>
    </row>
    <row r="13" spans="1:16" s="162" customFormat="1" ht="12.75">
      <c r="B13" s="163"/>
      <c r="C13" s="623" t="s">
        <v>293</v>
      </c>
      <c r="D13" s="168">
        <v>8</v>
      </c>
      <c r="E13" s="40" t="s">
        <v>1779</v>
      </c>
      <c r="F13" s="40"/>
      <c r="G13" s="40"/>
      <c r="H13" s="40"/>
      <c r="I13" s="40"/>
      <c r="J13" s="40"/>
      <c r="K13"/>
      <c r="L13"/>
      <c r="M13"/>
      <c r="N13"/>
      <c r="O13"/>
      <c r="P13"/>
    </row>
    <row r="14" spans="1:16" s="162" customFormat="1" ht="12.75">
      <c r="B14" s="163"/>
      <c r="C14" s="623" t="s">
        <v>293</v>
      </c>
      <c r="D14" s="168" t="s">
        <v>1785</v>
      </c>
      <c r="E14" s="40" t="s">
        <v>1780</v>
      </c>
      <c r="F14" s="40"/>
      <c r="G14" s="40"/>
      <c r="H14" s="40"/>
      <c r="I14" s="40"/>
      <c r="J14" s="40"/>
      <c r="K14"/>
      <c r="L14"/>
      <c r="M14"/>
      <c r="N14"/>
      <c r="O14"/>
      <c r="P14"/>
    </row>
    <row r="15" spans="1:16" s="162" customFormat="1" ht="12.75">
      <c r="B15" s="163"/>
      <c r="C15" s="623" t="s">
        <v>293</v>
      </c>
      <c r="D15" s="168">
        <v>9</v>
      </c>
      <c r="E15" s="40" t="s">
        <v>1781</v>
      </c>
      <c r="F15" s="40"/>
      <c r="G15" s="40"/>
      <c r="H15" s="40"/>
      <c r="I15" s="40"/>
      <c r="J15" s="40"/>
      <c r="K15"/>
      <c r="L15"/>
      <c r="M15"/>
      <c r="N15"/>
      <c r="O15"/>
      <c r="P15"/>
    </row>
    <row r="16" spans="1:16" s="162" customFormat="1" ht="12.75">
      <c r="B16" s="163"/>
      <c r="C16" s="623" t="s">
        <v>293</v>
      </c>
      <c r="D16" s="168">
        <v>10</v>
      </c>
      <c r="E16" s="40" t="s">
        <v>1782</v>
      </c>
      <c r="F16" s="40"/>
      <c r="G16" s="40"/>
      <c r="H16" s="40"/>
      <c r="I16" s="40"/>
      <c r="J16" s="40"/>
      <c r="K16"/>
      <c r="L16"/>
      <c r="M16"/>
      <c r="N16"/>
      <c r="O16"/>
      <c r="P16"/>
    </row>
    <row r="17" spans="1:16" s="162" customFormat="1" ht="12.75">
      <c r="B17" s="163"/>
      <c r="C17" s="623" t="s">
        <v>293</v>
      </c>
      <c r="D17" s="168">
        <v>11</v>
      </c>
      <c r="E17" s="40" t="s">
        <v>1783</v>
      </c>
      <c r="F17" s="40"/>
      <c r="G17" s="40"/>
      <c r="H17" s="40"/>
      <c r="I17" s="40"/>
      <c r="J17" s="40"/>
      <c r="K17"/>
      <c r="L17"/>
      <c r="M17"/>
      <c r="N17"/>
      <c r="O17"/>
      <c r="P17"/>
    </row>
    <row r="18" spans="1:16" s="162" customFormat="1" ht="12.75">
      <c r="B18" s="163"/>
      <c r="C18" s="623" t="s">
        <v>293</v>
      </c>
      <c r="D18" s="168">
        <v>12</v>
      </c>
      <c r="E18" s="40" t="s">
        <v>1784</v>
      </c>
      <c r="F18" s="40"/>
      <c r="G18" s="40"/>
      <c r="H18" s="40"/>
      <c r="I18" s="40"/>
      <c r="J18" s="40"/>
      <c r="K18"/>
      <c r="L18"/>
      <c r="M18"/>
      <c r="N18"/>
      <c r="O18"/>
      <c r="P18"/>
    </row>
    <row r="19" spans="1:16" s="162" customFormat="1" ht="12.75">
      <c r="B19" s="163"/>
      <c r="C19" s="623" t="s">
        <v>293</v>
      </c>
      <c r="D19" s="172" t="s">
        <v>1785</v>
      </c>
      <c r="E19" s="162" t="s">
        <v>1785</v>
      </c>
      <c r="K19"/>
      <c r="L19"/>
      <c r="M19"/>
      <c r="N19"/>
      <c r="O19"/>
      <c r="P19"/>
    </row>
    <row r="20" spans="1:16" s="162" customFormat="1" ht="12.75">
      <c r="B20" s="163"/>
      <c r="C20" s="623" t="s">
        <v>293</v>
      </c>
      <c r="D20" s="172" t="s">
        <v>1785</v>
      </c>
      <c r="E20" s="162" t="s">
        <v>1785</v>
      </c>
      <c r="K20"/>
      <c r="L20"/>
      <c r="M20"/>
      <c r="N20"/>
      <c r="O20"/>
      <c r="P20"/>
    </row>
    <row r="21" spans="1:16" s="162" customFormat="1" ht="12.75">
      <c r="B21" s="163"/>
      <c r="C21" s="623" t="s">
        <v>293</v>
      </c>
      <c r="D21" s="172" t="s">
        <v>1785</v>
      </c>
      <c r="E21" s="162" t="s">
        <v>1785</v>
      </c>
      <c r="K21"/>
      <c r="L21"/>
      <c r="M21"/>
      <c r="N21"/>
      <c r="O21"/>
      <c r="P21"/>
    </row>
    <row r="22" spans="1:16" s="162" customFormat="1" ht="13.5" thickBot="1">
      <c r="B22" s="163"/>
      <c r="C22" s="624" t="s">
        <v>293</v>
      </c>
      <c r="D22" s="174" t="s">
        <v>1785</v>
      </c>
      <c r="E22" s="162" t="s">
        <v>1785</v>
      </c>
      <c r="K22"/>
      <c r="L22"/>
      <c r="M22"/>
      <c r="N22"/>
      <c r="O22"/>
      <c r="P22"/>
    </row>
    <row r="23" spans="1:16" s="162" customFormat="1" ht="12.75">
      <c r="B23" s="163"/>
      <c r="C23" s="164"/>
      <c r="D23" s="94">
        <v>2001</v>
      </c>
      <c r="E23" s="94">
        <v>2002</v>
      </c>
      <c r="F23" s="94">
        <v>2003</v>
      </c>
      <c r="G23" s="94" t="s">
        <v>293</v>
      </c>
      <c r="H23" s="94" t="s">
        <v>293</v>
      </c>
      <c r="I23" s="94" t="s">
        <v>293</v>
      </c>
      <c r="J23" s="94" t="s">
        <v>293</v>
      </c>
      <c r="K23" s="94" t="s">
        <v>293</v>
      </c>
      <c r="L23" s="94" t="s">
        <v>293</v>
      </c>
      <c r="M23" s="94" t="s">
        <v>293</v>
      </c>
      <c r="N23" s="94"/>
      <c r="O23"/>
      <c r="P23"/>
    </row>
    <row r="24" spans="1:16" s="162" customFormat="1" ht="12.75">
      <c r="A24" s="162" t="s">
        <v>1233</v>
      </c>
      <c r="B24" s="163"/>
      <c r="C24" s="164" t="s">
        <v>2303</v>
      </c>
      <c r="D24" s="182">
        <v>-0.2</v>
      </c>
      <c r="E24" s="182">
        <v>-0.15</v>
      </c>
      <c r="F24" s="182">
        <v>-0.1</v>
      </c>
      <c r="G24" s="182">
        <v>0</v>
      </c>
      <c r="H24" s="182">
        <v>0</v>
      </c>
      <c r="I24" s="182">
        <v>0</v>
      </c>
      <c r="J24" s="182">
        <v>0</v>
      </c>
      <c r="K24" s="182">
        <v>0</v>
      </c>
      <c r="L24" s="182">
        <v>0</v>
      </c>
      <c r="M24" s="182">
        <v>0</v>
      </c>
      <c r="N24" s="640"/>
      <c r="O24"/>
      <c r="P24"/>
    </row>
    <row r="25" spans="1:16" s="162" customFormat="1" ht="12.75">
      <c r="B25" s="163"/>
      <c r="C25" s="164" t="s">
        <v>2081</v>
      </c>
      <c r="D25" s="182">
        <v>-6.7724803210508092E-3</v>
      </c>
      <c r="E25" s="182">
        <v>0</v>
      </c>
      <c r="F25" s="182">
        <v>0</v>
      </c>
      <c r="G25" s="182">
        <v>0</v>
      </c>
      <c r="H25" s="182">
        <v>0</v>
      </c>
      <c r="I25" s="182">
        <v>0</v>
      </c>
      <c r="J25" s="182">
        <v>0</v>
      </c>
      <c r="K25" s="182">
        <v>0</v>
      </c>
      <c r="L25" s="182">
        <v>0</v>
      </c>
      <c r="M25" s="182">
        <v>0</v>
      </c>
      <c r="N25"/>
      <c r="O25"/>
      <c r="P25"/>
    </row>
    <row r="26" spans="1:16" s="162" customFormat="1" ht="12.75">
      <c r="A26" s="162" t="s">
        <v>1181</v>
      </c>
      <c r="B26" s="163"/>
      <c r="C26" s="164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62" customFormat="1" ht="12.75">
      <c r="B27" s="163"/>
      <c r="C27" s="164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62" customFormat="1" ht="12.75">
      <c r="B28" s="163"/>
      <c r="C28" s="164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62" customFormat="1" ht="12.75">
      <c r="B29" s="163"/>
      <c r="C29" s="164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62" customFormat="1" ht="12.75">
      <c r="B30" s="163"/>
      <c r="C30" s="164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62" customFormat="1" ht="12.75">
      <c r="B31" s="163"/>
      <c r="C31" s="164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62" customFormat="1" ht="12.75">
      <c r="B32" s="163"/>
      <c r="C32" s="164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2:16" s="162" customFormat="1" ht="12.75">
      <c r="B33" s="163"/>
      <c r="C33" s="164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2:16" s="162" customFormat="1" ht="12.75">
      <c r="B34" s="163"/>
      <c r="C34" s="16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2:16" s="162" customFormat="1" ht="12.75">
      <c r="B35" s="163"/>
      <c r="C35" s="164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2:16" s="162" customFormat="1" ht="12.75">
      <c r="B36" s="163"/>
      <c r="C36" s="164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2:16" s="162" customFormat="1" ht="12.75">
      <c r="B37" s="163"/>
      <c r="C37" s="164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2:16" s="162" customFormat="1" ht="12.75">
      <c r="B38" s="163"/>
      <c r="C38" s="164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2:16" s="162" customFormat="1" ht="12.75">
      <c r="B39" s="163"/>
      <c r="C39" s="164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2:16" s="162" customFormat="1" ht="12.75">
      <c r="B40" s="163"/>
      <c r="C40" s="164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2:16" s="162" customFormat="1" ht="12.75">
      <c r="B41" s="163"/>
      <c r="C41" s="164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2:16" s="162" customFormat="1" ht="12.75">
      <c r="B42" s="163"/>
      <c r="C42" s="164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2:16" s="162" customFormat="1" ht="12.75">
      <c r="B43" s="163"/>
      <c r="C43" s="164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2:16" s="162" customFormat="1" ht="12.75">
      <c r="B44" s="163"/>
      <c r="C44" s="16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2:16" s="162" customFormat="1" ht="12.75">
      <c r="B45" s="163"/>
      <c r="C45" s="164"/>
      <c r="D45"/>
      <c r="E45"/>
      <c r="F45"/>
      <c r="G45"/>
      <c r="H45"/>
      <c r="I45"/>
      <c r="J45"/>
      <c r="K45"/>
      <c r="L45"/>
      <c r="M45"/>
      <c r="N45"/>
      <c r="O45"/>
      <c r="P45"/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0"/>
  <dimension ref="A1:Z200"/>
  <sheetViews>
    <sheetView topLeftCell="B1" zoomScale="75" workbookViewId="0">
      <selection activeCell="G207" sqref="G207"/>
    </sheetView>
  </sheetViews>
  <sheetFormatPr defaultColWidth="7.7109375" defaultRowHeight="12.75"/>
  <cols>
    <col min="1" max="1" width="21" hidden="1" customWidth="1"/>
    <col min="2" max="2" width="43.42578125" customWidth="1"/>
    <col min="3" max="3" width="0.140625" hidden="1" customWidth="1"/>
    <col min="4" max="4" width="9.42578125" customWidth="1"/>
    <col min="5" max="5" width="9" customWidth="1"/>
    <col min="6" max="7" width="8" customWidth="1"/>
    <col min="8" max="8" width="8.140625" customWidth="1"/>
    <col min="9" max="11" width="8" customWidth="1"/>
    <col min="12" max="17" width="8.140625" customWidth="1"/>
  </cols>
  <sheetData>
    <row r="1" spans="1:18" s="393" customFormat="1">
      <c r="D1" s="394">
        <f>'Input - RMSM'!D7</f>
        <v>2000</v>
      </c>
      <c r="E1" s="394">
        <f>'Input - RMSM'!E7</f>
        <v>2001</v>
      </c>
      <c r="F1" s="394">
        <f>'Input - RMSM'!F7</f>
        <v>2002</v>
      </c>
      <c r="G1" s="394">
        <f>'Input - RMSM'!G7</f>
        <v>2003</v>
      </c>
      <c r="H1" s="394">
        <f>'Input - RMSM'!H7</f>
        <v>0</v>
      </c>
      <c r="I1" s="394">
        <f>'Input - RMSM'!I7</f>
        <v>0</v>
      </c>
      <c r="J1" s="394">
        <f>'Input - RMSM'!J7</f>
        <v>0</v>
      </c>
      <c r="K1" s="394">
        <f>'Input - RMSM'!K7</f>
        <v>0</v>
      </c>
      <c r="L1" s="394">
        <f>'Input - RMSM'!L7</f>
        <v>0</v>
      </c>
      <c r="M1" s="394">
        <f>'Input - RMSM'!M7</f>
        <v>0</v>
      </c>
      <c r="N1" s="394">
        <f>'Input - RMSM'!N7</f>
        <v>0</v>
      </c>
      <c r="O1" s="394">
        <f>'Input - RMSM'!O7</f>
        <v>0</v>
      </c>
      <c r="P1" s="394">
        <f>'Input - RMSM'!P7</f>
        <v>0</v>
      </c>
      <c r="Q1" s="394">
        <f>'Input - RMSM'!Q7</f>
        <v>0</v>
      </c>
    </row>
    <row r="2" spans="1:18">
      <c r="B2" s="395" t="s">
        <v>2111</v>
      </c>
      <c r="C2" s="396"/>
      <c r="D2" s="396" t="s">
        <v>2112</v>
      </c>
    </row>
    <row r="3" spans="1:18">
      <c r="B3" s="397" t="s">
        <v>2113</v>
      </c>
      <c r="C3" s="397"/>
      <c r="D3" s="397"/>
      <c r="E3" s="37"/>
      <c r="K3" s="398" t="s">
        <v>2114</v>
      </c>
    </row>
    <row r="4" spans="1:18">
      <c r="A4" t="s">
        <v>2115</v>
      </c>
      <c r="B4" s="399"/>
      <c r="C4" s="399" t="s">
        <v>2116</v>
      </c>
      <c r="D4" s="399" t="s">
        <v>2116</v>
      </c>
      <c r="E4" s="400" t="s">
        <v>2117</v>
      </c>
      <c r="F4" s="401"/>
      <c r="G4" s="401"/>
      <c r="H4" s="401"/>
      <c r="I4" s="401"/>
      <c r="J4" s="401"/>
      <c r="K4" s="401"/>
      <c r="L4" s="401"/>
      <c r="M4" s="401"/>
      <c r="N4" s="401"/>
      <c r="O4" s="402"/>
      <c r="P4" s="402"/>
      <c r="Q4" s="402"/>
    </row>
    <row r="5" spans="1:18">
      <c r="B5" s="403"/>
      <c r="C5" s="403" t="s">
        <v>2118</v>
      </c>
      <c r="D5" s="403" t="s">
        <v>2118</v>
      </c>
      <c r="E5" s="404">
        <v>6</v>
      </c>
      <c r="F5" s="401"/>
      <c r="G5" s="405" t="s">
        <v>2119</v>
      </c>
      <c r="H5" s="401"/>
      <c r="I5" s="401"/>
      <c r="J5" s="401"/>
      <c r="K5" s="401"/>
      <c r="L5" s="401"/>
      <c r="M5" s="401"/>
      <c r="N5" s="401"/>
      <c r="O5" s="402"/>
      <c r="P5" s="402"/>
      <c r="Q5" s="402"/>
    </row>
    <row r="6" spans="1:18">
      <c r="B6" s="403"/>
      <c r="C6" s="403" t="s">
        <v>2120</v>
      </c>
      <c r="D6" s="403" t="s">
        <v>2120</v>
      </c>
      <c r="E6" s="404">
        <v>9</v>
      </c>
      <c r="F6" s="401"/>
      <c r="G6" s="405" t="s">
        <v>2119</v>
      </c>
      <c r="H6" s="401"/>
      <c r="I6" s="401"/>
      <c r="J6" s="401"/>
      <c r="K6" s="401"/>
      <c r="L6" s="401"/>
      <c r="M6" s="401"/>
      <c r="N6" s="401"/>
      <c r="O6" s="402"/>
      <c r="P6" s="402"/>
      <c r="Q6" s="402"/>
    </row>
    <row r="7" spans="1:18">
      <c r="A7" s="406" t="s">
        <v>2121</v>
      </c>
      <c r="B7" s="406" t="s">
        <v>2122</v>
      </c>
      <c r="C7" s="406"/>
      <c r="D7" s="407"/>
      <c r="E7" s="408">
        <f>RESULTS!E67/RESULTS!D67-1</f>
        <v>3.878303402790606E-2</v>
      </c>
      <c r="F7" s="408">
        <f>RESULTS!F67/RESULTS!E67-1</f>
        <v>3.8633412997762351E-2</v>
      </c>
      <c r="G7" s="408">
        <f>RESULTS!G67/RESULTS!F67-1</f>
        <v>4.2085184962450395E-2</v>
      </c>
      <c r="H7" s="408" t="e">
        <f>RESULTS!H67/RESULTS!G67-1</f>
        <v>#VALUE!</v>
      </c>
      <c r="I7" s="408" t="e">
        <f>RESULTS!I67/RESULTS!H67-1</f>
        <v>#VALUE!</v>
      </c>
      <c r="J7" s="408" t="e">
        <f>RESULTS!J67/RESULTS!I67-1</f>
        <v>#VALUE!</v>
      </c>
      <c r="K7" s="408" t="e">
        <f>RESULTS!K67/RESULTS!J67-1</f>
        <v>#VALUE!</v>
      </c>
      <c r="L7" s="408" t="e">
        <f>RESULTS!L67/RESULTS!K67-1</f>
        <v>#VALUE!</v>
      </c>
      <c r="M7" s="408" t="e">
        <f>RESULTS!M67/RESULTS!L67-1</f>
        <v>#VALUE!</v>
      </c>
      <c r="N7" s="408" t="e">
        <f>RESULTS!N67/RESULTS!M67-1</f>
        <v>#VALUE!</v>
      </c>
      <c r="O7" s="408" t="e">
        <f>RESULTS!O67/RESULTS!N67-1</f>
        <v>#VALUE!</v>
      </c>
      <c r="P7" s="408" t="e">
        <f>RESULTS!P67/RESULTS!O67-1</f>
        <v>#VALUE!</v>
      </c>
      <c r="Q7" s="408" t="e">
        <f>RESULTS!Q67/RESULTS!P67-1</f>
        <v>#VALUE!</v>
      </c>
      <c r="R7" s="409"/>
    </row>
    <row r="8" spans="1:18">
      <c r="A8" s="406" t="s">
        <v>2123</v>
      </c>
      <c r="B8" s="406" t="s">
        <v>2124</v>
      </c>
      <c r="C8" s="406"/>
      <c r="D8" s="467"/>
      <c r="E8" s="410">
        <f>(RESULTS!E56/RESULTS!E67)/(RESULTS!D56/RESULTS!D67)-1</f>
        <v>0.24149789965461288</v>
      </c>
      <c r="F8" s="410">
        <f>(RESULTS!F56/RESULTS!F67)/(RESULTS!E56/RESULTS!E67)-1</f>
        <v>0.17684966344198161</v>
      </c>
      <c r="G8" s="410">
        <f>(RESULTS!G56/RESULTS!G67)/(RESULTS!F56/RESULTS!F67)-1</f>
        <v>0.13273829364693568</v>
      </c>
      <c r="H8" s="410" t="e">
        <f>(RESULTS!H56/RESULTS!H67)/(RESULTS!G56/RESULTS!G67)-1</f>
        <v>#VALUE!</v>
      </c>
      <c r="I8" s="410" t="e">
        <f>(RESULTS!I56/RESULTS!I67)/(RESULTS!H56/RESULTS!H67)-1</f>
        <v>#VALUE!</v>
      </c>
      <c r="J8" s="410" t="e">
        <f>(RESULTS!J56/RESULTS!J67)/(RESULTS!I56/RESULTS!I67)-1</f>
        <v>#VALUE!</v>
      </c>
      <c r="K8" s="410" t="e">
        <f>(RESULTS!K56/RESULTS!K67)/(RESULTS!J56/RESULTS!J67)-1</f>
        <v>#VALUE!</v>
      </c>
      <c r="L8" s="410" t="e">
        <f>(RESULTS!L56/RESULTS!L67)/(RESULTS!K56/RESULTS!K67)-1</f>
        <v>#VALUE!</v>
      </c>
      <c r="M8" s="410" t="e">
        <f>(RESULTS!M56/RESULTS!M67)/(RESULTS!L56/RESULTS!L67)-1</f>
        <v>#VALUE!</v>
      </c>
      <c r="N8" s="410" t="e">
        <f>(RESULTS!N56/RESULTS!N67)/(RESULTS!M56/RESULTS!M67)-1</f>
        <v>#VALUE!</v>
      </c>
      <c r="O8" s="410" t="e">
        <f>(RESULTS!O56/RESULTS!O67)/(RESULTS!N56/RESULTS!N67)-1</f>
        <v>#VALUE!</v>
      </c>
      <c r="P8" s="410" t="e">
        <f>(RESULTS!P56/RESULTS!P67)/(RESULTS!O56/RESULTS!O67)-1</f>
        <v>#VALUE!</v>
      </c>
      <c r="Q8" s="410" t="e">
        <f>(RESULTS!Q56/RESULTS!Q67)/(RESULTS!P56/RESULTS!P67)-1</f>
        <v>#VALUE!</v>
      </c>
      <c r="R8" s="409"/>
    </row>
    <row r="9" spans="1:18">
      <c r="A9" s="406" t="s">
        <v>2125</v>
      </c>
      <c r="B9" s="411" t="s">
        <v>2126</v>
      </c>
      <c r="C9" s="411"/>
      <c r="D9" s="412"/>
      <c r="E9" s="413">
        <f>RESULTS!D70/(RESULTS!E67-RESULTS!D67)</f>
        <v>4.7121306401516652</v>
      </c>
      <c r="F9" s="417">
        <f>RESULTS!E70/(RESULTS!F67-RESULTS!E67)</f>
        <v>3.9121472536765318</v>
      </c>
      <c r="G9" s="417">
        <f>RESULTS!F70/(RESULTS!G67-RESULTS!F67)</f>
        <v>2.7475088574481163</v>
      </c>
      <c r="H9" s="417" t="e">
        <f>RESULTS!G70/(RESULTS!H67-RESULTS!G67)</f>
        <v>#VALUE!</v>
      </c>
      <c r="I9" s="417" t="e">
        <f>RESULTS!H70/(RESULTS!I67-RESULTS!H67)</f>
        <v>#VALUE!</v>
      </c>
      <c r="J9" s="417" t="e">
        <f>RESULTS!I70/(RESULTS!J67-RESULTS!I67)</f>
        <v>#VALUE!</v>
      </c>
      <c r="K9" s="417" t="e">
        <f>RESULTS!J70/(RESULTS!K67-RESULTS!J67)</f>
        <v>#VALUE!</v>
      </c>
      <c r="L9" s="417" t="e">
        <f>RESULTS!K70/(RESULTS!L67-RESULTS!K67)</f>
        <v>#VALUE!</v>
      </c>
      <c r="M9" s="417" t="e">
        <f>RESULTS!L70/(RESULTS!M67-RESULTS!L67)</f>
        <v>#VALUE!</v>
      </c>
      <c r="N9" s="417" t="e">
        <f>RESULTS!M70/(RESULTS!N67-RESULTS!M67)</f>
        <v>#VALUE!</v>
      </c>
      <c r="O9" s="417" t="e">
        <f>RESULTS!N70/(RESULTS!O67-RESULTS!N67)</f>
        <v>#VALUE!</v>
      </c>
      <c r="P9" s="417" t="e">
        <f>RESULTS!O70/(RESULTS!P67-RESULTS!O67)</f>
        <v>#VALUE!</v>
      </c>
      <c r="Q9" s="417" t="e">
        <f>RESULTS!P70/(RESULTS!Q67-RESULTS!P67)</f>
        <v>#VALUE!</v>
      </c>
      <c r="R9" s="417" t="e">
        <f>RESULTS!Q70/(RESULTS!R67-RESULTS!Q67)</f>
        <v>#VALUE!</v>
      </c>
    </row>
    <row r="10" spans="1:18">
      <c r="A10" s="406" t="s">
        <v>2127</v>
      </c>
      <c r="B10" s="406" t="s">
        <v>2128</v>
      </c>
      <c r="C10" s="406"/>
      <c r="D10" s="407"/>
      <c r="E10" s="455">
        <f>'[1]ASU - 123'!E10</f>
        <v>2.5000000000000001E-2</v>
      </c>
      <c r="F10" s="455">
        <f>'[1]ASU - 123'!F10</f>
        <v>2.5000000000000001E-2</v>
      </c>
      <c r="G10" s="455">
        <f>'[1]ASU - 123'!G10</f>
        <v>2.5000000000000001E-2</v>
      </c>
      <c r="H10" s="455">
        <f>'[1]ASU - 123'!H10</f>
        <v>2.5000000000000001E-2</v>
      </c>
      <c r="I10" s="455">
        <f>'[1]ASU - 123'!I10</f>
        <v>2.5000000000000001E-2</v>
      </c>
      <c r="J10" s="455">
        <f>'[1]ASU - 123'!J10</f>
        <v>2.5000000000000001E-2</v>
      </c>
      <c r="K10" s="455">
        <f>'[1]ASU - 123'!K10</f>
        <v>2.5000000000000001E-2</v>
      </c>
      <c r="L10" s="455">
        <f>'[1]ASU - 123'!L10</f>
        <v>2.5000000000000001E-2</v>
      </c>
      <c r="M10" s="455">
        <f>'[1]ASU - 123'!M10</f>
        <v>2.5000000000000001E-2</v>
      </c>
      <c r="N10" s="455">
        <f>'[1]ASU - 123'!N10</f>
        <v>2.5000000000000001E-2</v>
      </c>
      <c r="O10" s="455">
        <f>'[1]ASU - 123'!O10</f>
        <v>2.5000000000000001E-2</v>
      </c>
      <c r="P10" s="455">
        <f>'[1]ASU - 123'!P10</f>
        <v>2.5000000000000001E-2</v>
      </c>
      <c r="Q10" s="455">
        <f>'[1]ASU - 123'!Q10</f>
        <v>2.5000000000000001E-2</v>
      </c>
      <c r="R10" s="409"/>
    </row>
    <row r="11" spans="1:18">
      <c r="A11" s="406" t="s">
        <v>2129</v>
      </c>
      <c r="B11" s="406" t="s">
        <v>2130</v>
      </c>
      <c r="C11" s="406"/>
      <c r="D11" s="407"/>
      <c r="E11" s="455">
        <f>'[1]ASU - 123'!E11</f>
        <v>0.02</v>
      </c>
      <c r="F11" s="455">
        <f>'[1]ASU - 123'!F11</f>
        <v>0.02</v>
      </c>
      <c r="G11" s="455">
        <f>'[1]ASU - 123'!G11</f>
        <v>0.02</v>
      </c>
      <c r="H11" s="455">
        <f>'[1]ASU - 123'!H11</f>
        <v>0.02</v>
      </c>
      <c r="I11" s="455">
        <f>'[1]ASU - 123'!I11</f>
        <v>0.02</v>
      </c>
      <c r="J11" s="455">
        <f>'[1]ASU - 123'!J11</f>
        <v>0.02</v>
      </c>
      <c r="K11" s="455">
        <f>'[1]ASU - 123'!K11</f>
        <v>0.02</v>
      </c>
      <c r="L11" s="455">
        <f>'[1]ASU - 123'!L11</f>
        <v>0.02</v>
      </c>
      <c r="M11" s="455">
        <f>'[1]ASU - 123'!M11</f>
        <v>0.02</v>
      </c>
      <c r="N11" s="455">
        <f>'[1]ASU - 123'!N11</f>
        <v>0.02</v>
      </c>
      <c r="O11" s="455">
        <f>'[1]ASU - 123'!O11</f>
        <v>0.02</v>
      </c>
      <c r="P11" s="455">
        <f>'[1]ASU - 123'!P11</f>
        <v>0.02</v>
      </c>
      <c r="Q11" s="455">
        <f>'[1]ASU - 123'!Q11</f>
        <v>0.02</v>
      </c>
      <c r="R11" s="409"/>
    </row>
    <row r="12" spans="1:18">
      <c r="A12" s="406" t="s">
        <v>2131</v>
      </c>
      <c r="B12" s="406" t="s">
        <v>2132</v>
      </c>
      <c r="C12" s="406"/>
      <c r="D12" s="407"/>
      <c r="E12" s="414">
        <f>RESULTS!E76/RESULTS!D76-1</f>
        <v>0.14558120965798294</v>
      </c>
      <c r="F12" s="414">
        <f>RESULTS!F76/RESULTS!E76-1</f>
        <v>0.2873914016388539</v>
      </c>
      <c r="G12" s="414">
        <f>RESULTS!G76/RESULTS!F76-1</f>
        <v>0.14458083152057077</v>
      </c>
      <c r="H12" s="414">
        <f>RESULTS!H76/RESULTS!G76-1</f>
        <v>-1</v>
      </c>
      <c r="I12" s="414" t="e">
        <f>RESULTS!I76/RESULTS!H76-1</f>
        <v>#DIV/0!</v>
      </c>
      <c r="J12" s="414" t="e">
        <f>RESULTS!J76/RESULTS!I76-1</f>
        <v>#DIV/0!</v>
      </c>
      <c r="K12" s="414" t="e">
        <f>RESULTS!K76/RESULTS!J76-1</f>
        <v>#DIV/0!</v>
      </c>
      <c r="L12" s="414" t="e">
        <f>RESULTS!L76/RESULTS!K76-1</f>
        <v>#DIV/0!</v>
      </c>
      <c r="M12" s="414" t="e">
        <f>RESULTS!M76/RESULTS!L76-1</f>
        <v>#DIV/0!</v>
      </c>
      <c r="N12" s="414" t="e">
        <f>RESULTS!N76/RESULTS!M76-1</f>
        <v>#DIV/0!</v>
      </c>
      <c r="O12" s="414" t="e">
        <f>RESULTS!O76/RESULTS!N76-1</f>
        <v>#DIV/0!</v>
      </c>
      <c r="P12" s="414" t="e">
        <f>RESULTS!P76/RESULTS!O76-1</f>
        <v>#DIV/0!</v>
      </c>
      <c r="Q12" s="414" t="e">
        <f>RESULTS!Q76/RESULTS!P76-1</f>
        <v>#DIV/0!</v>
      </c>
      <c r="R12" s="415"/>
    </row>
    <row r="13" spans="1:18">
      <c r="B13" s="406" t="s">
        <v>2133</v>
      </c>
      <c r="C13" s="406"/>
      <c r="D13" s="407"/>
      <c r="E13" s="402"/>
      <c r="F13" s="402"/>
      <c r="G13" s="402"/>
      <c r="H13" s="402"/>
      <c r="I13" s="402"/>
      <c r="J13" s="402"/>
      <c r="K13" s="402"/>
      <c r="L13" s="402"/>
      <c r="M13" s="402"/>
      <c r="N13" s="402"/>
      <c r="O13" s="402"/>
      <c r="P13" s="402"/>
      <c r="Q13" s="402"/>
    </row>
    <row r="14" spans="1:18">
      <c r="A14" s="406" t="s">
        <v>2125</v>
      </c>
      <c r="B14" s="416"/>
      <c r="C14" s="411"/>
      <c r="D14" s="412"/>
      <c r="E14" s="465"/>
      <c r="F14" s="465"/>
      <c r="G14" s="465"/>
      <c r="H14" s="465"/>
      <c r="I14" s="465"/>
      <c r="J14" s="465"/>
      <c r="K14" s="465"/>
      <c r="L14" s="465"/>
      <c r="M14" s="465"/>
      <c r="N14" s="465"/>
      <c r="O14" s="465"/>
      <c r="P14" s="465"/>
      <c r="Q14" s="465"/>
      <c r="R14" s="417"/>
    </row>
    <row r="15" spans="1:18">
      <c r="B15" s="395" t="s">
        <v>2134</v>
      </c>
      <c r="C15" s="396"/>
      <c r="D15" s="407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/>
      <c r="P15" s="466"/>
      <c r="Q15" s="466"/>
    </row>
    <row r="16" spans="1:18">
      <c r="B16" s="397" t="s">
        <v>2135</v>
      </c>
      <c r="C16" s="397"/>
      <c r="D16" s="407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</row>
    <row r="17" spans="1:17">
      <c r="B17" s="406" t="s">
        <v>2136</v>
      </c>
      <c r="C17" s="406"/>
      <c r="D17" s="407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</row>
    <row r="18" spans="1:17">
      <c r="B18" s="406" t="s">
        <v>2137</v>
      </c>
      <c r="C18" s="406"/>
      <c r="D18" s="407"/>
      <c r="E18" s="402"/>
      <c r="F18" s="402"/>
      <c r="G18" s="402"/>
      <c r="H18" s="402"/>
      <c r="I18" s="402"/>
      <c r="J18" s="402"/>
      <c r="K18" s="402"/>
      <c r="L18" s="402"/>
      <c r="M18" s="402"/>
      <c r="N18" s="402"/>
      <c r="O18" s="402"/>
      <c r="P18" s="402"/>
      <c r="Q18" s="402"/>
    </row>
    <row r="19" spans="1:17">
      <c r="A19" s="406" t="s">
        <v>2138</v>
      </c>
      <c r="B19" s="406" t="s">
        <v>2139</v>
      </c>
      <c r="C19" s="406"/>
      <c r="D19" s="407"/>
      <c r="E19" s="470">
        <v>0</v>
      </c>
      <c r="F19" s="470">
        <v>0</v>
      </c>
      <c r="G19" s="470">
        <v>0</v>
      </c>
      <c r="H19" s="470">
        <v>0</v>
      </c>
      <c r="I19" s="470">
        <v>0</v>
      </c>
      <c r="J19" s="470">
        <v>0</v>
      </c>
      <c r="K19" s="470">
        <v>0</v>
      </c>
      <c r="L19" s="470">
        <v>0</v>
      </c>
      <c r="M19" s="470">
        <v>0</v>
      </c>
      <c r="N19" s="470">
        <v>0</v>
      </c>
      <c r="O19" s="470">
        <v>0</v>
      </c>
      <c r="P19" s="470">
        <v>0</v>
      </c>
      <c r="Q19" s="470">
        <v>0</v>
      </c>
    </row>
    <row r="20" spans="1:17">
      <c r="A20" s="406" t="s">
        <v>2140</v>
      </c>
      <c r="B20" s="406" t="s">
        <v>2141</v>
      </c>
      <c r="C20" s="406"/>
      <c r="D20" s="407"/>
      <c r="E20" s="470">
        <v>0</v>
      </c>
      <c r="F20" s="470">
        <v>0</v>
      </c>
      <c r="G20" s="470">
        <v>0</v>
      </c>
      <c r="H20" s="470">
        <v>0</v>
      </c>
      <c r="I20" s="470">
        <v>0</v>
      </c>
      <c r="J20" s="470">
        <v>0</v>
      </c>
      <c r="K20" s="470">
        <v>0</v>
      </c>
      <c r="L20" s="470">
        <v>0</v>
      </c>
      <c r="M20" s="470">
        <v>0</v>
      </c>
      <c r="N20" s="470">
        <v>0</v>
      </c>
      <c r="O20" s="470">
        <v>0</v>
      </c>
      <c r="P20" s="470">
        <v>0</v>
      </c>
      <c r="Q20" s="470">
        <v>0</v>
      </c>
    </row>
    <row r="21" spans="1:17">
      <c r="A21" s="406" t="s">
        <v>2142</v>
      </c>
      <c r="B21" s="406" t="s">
        <v>2143</v>
      </c>
      <c r="C21" s="406"/>
      <c r="D21" s="407"/>
      <c r="E21" s="470">
        <v>0</v>
      </c>
      <c r="F21" s="470">
        <v>0</v>
      </c>
      <c r="G21" s="470">
        <v>0</v>
      </c>
      <c r="H21" s="470">
        <v>0</v>
      </c>
      <c r="I21" s="470">
        <v>0</v>
      </c>
      <c r="J21" s="470">
        <v>0</v>
      </c>
      <c r="K21" s="470">
        <v>0</v>
      </c>
      <c r="L21" s="470">
        <v>0</v>
      </c>
      <c r="M21" s="470">
        <v>0</v>
      </c>
      <c r="N21" s="470">
        <v>0</v>
      </c>
      <c r="O21" s="470">
        <v>0</v>
      </c>
      <c r="P21" s="470">
        <v>0</v>
      </c>
      <c r="Q21" s="470">
        <v>0</v>
      </c>
    </row>
    <row r="22" spans="1:17">
      <c r="A22" s="406" t="s">
        <v>2144</v>
      </c>
      <c r="B22" s="406" t="s">
        <v>2145</v>
      </c>
      <c r="C22" s="406"/>
      <c r="D22" s="407"/>
      <c r="E22" s="470">
        <v>0</v>
      </c>
      <c r="F22" s="470">
        <v>0</v>
      </c>
      <c r="G22" s="470">
        <v>0</v>
      </c>
      <c r="H22" s="470">
        <v>0</v>
      </c>
      <c r="I22" s="470">
        <v>0</v>
      </c>
      <c r="J22" s="470">
        <v>0</v>
      </c>
      <c r="K22" s="470">
        <v>0</v>
      </c>
      <c r="L22" s="470">
        <v>0</v>
      </c>
      <c r="M22" s="470">
        <v>0</v>
      </c>
      <c r="N22" s="470">
        <v>0</v>
      </c>
      <c r="O22" s="470">
        <v>0</v>
      </c>
      <c r="P22" s="470">
        <v>0</v>
      </c>
      <c r="Q22" s="470">
        <v>0</v>
      </c>
    </row>
    <row r="23" spans="1:17">
      <c r="A23" s="406" t="s">
        <v>2146</v>
      </c>
      <c r="B23" s="406" t="s">
        <v>2147</v>
      </c>
      <c r="C23" s="406"/>
      <c r="D23" s="407"/>
      <c r="E23" s="470">
        <v>0</v>
      </c>
      <c r="F23" s="470">
        <v>0</v>
      </c>
      <c r="G23" s="470">
        <v>0</v>
      </c>
      <c r="H23" s="470">
        <v>0</v>
      </c>
      <c r="I23" s="470">
        <v>0</v>
      </c>
      <c r="J23" s="470">
        <v>0</v>
      </c>
      <c r="K23" s="470">
        <v>0</v>
      </c>
      <c r="L23" s="470">
        <v>0</v>
      </c>
      <c r="M23" s="470">
        <v>0</v>
      </c>
      <c r="N23" s="470">
        <v>0</v>
      </c>
      <c r="O23" s="470">
        <v>0</v>
      </c>
      <c r="P23" s="470">
        <v>0</v>
      </c>
      <c r="Q23" s="470">
        <v>0</v>
      </c>
    </row>
    <row r="24" spans="1:17">
      <c r="A24" s="406" t="s">
        <v>2148</v>
      </c>
      <c r="B24" s="406" t="s">
        <v>2149</v>
      </c>
      <c r="C24" s="406"/>
      <c r="D24" s="407"/>
      <c r="E24" s="470">
        <v>0</v>
      </c>
      <c r="F24" s="470">
        <v>0</v>
      </c>
      <c r="G24" s="470">
        <v>0</v>
      </c>
      <c r="H24" s="470">
        <v>0</v>
      </c>
      <c r="I24" s="470">
        <v>0</v>
      </c>
      <c r="J24" s="470">
        <v>0</v>
      </c>
      <c r="K24" s="470">
        <v>0</v>
      </c>
      <c r="L24" s="470">
        <v>0</v>
      </c>
      <c r="M24" s="470">
        <v>0</v>
      </c>
      <c r="N24" s="470">
        <v>0</v>
      </c>
      <c r="O24" s="470">
        <v>0</v>
      </c>
      <c r="P24" s="470">
        <v>0</v>
      </c>
      <c r="Q24" s="470">
        <v>0</v>
      </c>
    </row>
    <row r="25" spans="1:17">
      <c r="A25" s="406" t="s">
        <v>2150</v>
      </c>
      <c r="B25" s="406" t="s">
        <v>2151</v>
      </c>
      <c r="C25" s="406"/>
      <c r="D25" s="407"/>
      <c r="E25" s="470">
        <v>0</v>
      </c>
      <c r="F25" s="470">
        <v>0</v>
      </c>
      <c r="G25" s="470">
        <v>0</v>
      </c>
      <c r="H25" s="470">
        <v>0</v>
      </c>
      <c r="I25" s="470">
        <v>0</v>
      </c>
      <c r="J25" s="470">
        <v>0</v>
      </c>
      <c r="K25" s="470">
        <v>0</v>
      </c>
      <c r="L25" s="470">
        <v>0</v>
      </c>
      <c r="M25" s="470">
        <v>0</v>
      </c>
      <c r="N25" s="470">
        <v>0</v>
      </c>
      <c r="O25" s="470">
        <v>0</v>
      </c>
      <c r="P25" s="470">
        <v>0</v>
      </c>
      <c r="Q25" s="470">
        <v>0</v>
      </c>
    </row>
    <row r="26" spans="1:17">
      <c r="D26" s="153"/>
      <c r="E26" s="402"/>
      <c r="F26" s="402"/>
      <c r="G26" s="402"/>
      <c r="H26" s="402"/>
      <c r="I26" s="402"/>
      <c r="J26" s="402"/>
      <c r="K26" s="402"/>
      <c r="L26" s="402"/>
      <c r="M26" s="402"/>
      <c r="N26" s="402"/>
      <c r="O26" s="402"/>
      <c r="P26" s="402"/>
      <c r="Q26" s="402"/>
    </row>
    <row r="27" spans="1:17">
      <c r="B27" s="406" t="s">
        <v>2152</v>
      </c>
      <c r="C27" s="406"/>
      <c r="D27" s="407"/>
      <c r="E27" s="402"/>
      <c r="F27" s="402"/>
      <c r="G27" s="402"/>
      <c r="H27" s="402"/>
      <c r="I27" s="402"/>
      <c r="J27" s="402"/>
      <c r="K27" s="402"/>
      <c r="L27" s="402"/>
      <c r="M27" s="402"/>
      <c r="N27" s="402"/>
      <c r="O27" s="402"/>
      <c r="P27" s="402"/>
      <c r="Q27" s="402"/>
    </row>
    <row r="28" spans="1:17">
      <c r="A28" s="406" t="s">
        <v>2153</v>
      </c>
      <c r="B28" s="406" t="s">
        <v>2139</v>
      </c>
      <c r="C28" s="406"/>
      <c r="D28" s="407"/>
      <c r="E28" s="417">
        <f>(([1]TRA!E47/[1]TRA!D47)*('1-2-3'!J$50/'1-2-3'!I$50)/([1]TRA!E$56/[1]TRA!D$56)-1)/(RESULTS!E$67/RESULTS!D$67-1)</f>
        <v>1.3783037921360306</v>
      </c>
      <c r="F28" s="417">
        <f>(([1]TRA!F47/[1]TRA!E47)*('1-2-3'!K$50/'1-2-3'!J$50)/([1]TRA!F$56/[1]TRA!E$56)-1)/(RESULTS!F$67/RESULTS!E$67-1)</f>
        <v>-1.6549748854190571</v>
      </c>
      <c r="G28" s="417">
        <f>(([1]TRA!G47/[1]TRA!F47)*('1-2-3'!L$50/'1-2-3'!K$50)/([1]TRA!G$56/[1]TRA!F$56)-1)/(RESULTS!G$67/RESULTS!F$67-1)</f>
        <v>-0.38635533540975536</v>
      </c>
      <c r="H28" s="417" t="e">
        <f>(([1]TRA!H47/[1]TRA!G47)*('1-2-3'!M$50/'1-2-3'!L$50)/([1]TRA!H$56/[1]TRA!G$56)-1)/(RESULTS!H$67/RESULTS!G$67-1)</f>
        <v>#VALUE!</v>
      </c>
      <c r="I28" s="417" t="e">
        <f>(([1]TRA!I47/[1]TRA!H47)*('1-2-3'!N$50/'1-2-3'!M$50)/([1]TRA!I$56/[1]TRA!H$56)-1)/(RESULTS!I$67/RESULTS!H$67-1)</f>
        <v>#DIV/0!</v>
      </c>
      <c r="J28" s="417" t="e">
        <f>(([1]TRA!J47/[1]TRA!I47)*('1-2-3'!O$50/'1-2-3'!N$50)/([1]TRA!J$56/[1]TRA!I$56)-1)/(RESULTS!J$67/RESULTS!I$67-1)</f>
        <v>#DIV/0!</v>
      </c>
      <c r="K28" s="417" t="e">
        <f>(([1]TRA!K47/[1]TRA!J47)*('1-2-3'!P$50/'1-2-3'!O$50)/([1]TRA!K$56/[1]TRA!J$56)-1)/(RESULTS!K$67/RESULTS!J$67-1)</f>
        <v>#DIV/0!</v>
      </c>
      <c r="L28" s="417" t="e">
        <f>(([1]TRA!L47/[1]TRA!K47)*('1-2-3'!Q$50/'1-2-3'!P$50)/([1]TRA!L$56/[1]TRA!K$56)-1)/(RESULTS!L$67/RESULTS!K$67-1)</f>
        <v>#DIV/0!</v>
      </c>
      <c r="M28" s="417" t="e">
        <f>(([1]TRA!M47/[1]TRA!L47)*('1-2-3'!R$50/'1-2-3'!Q$50)/([1]TRA!M$56/[1]TRA!L$56)-1)/(RESULTS!M$67/RESULTS!L$67-1)</f>
        <v>#DIV/0!</v>
      </c>
      <c r="N28" s="417" t="e">
        <f>(([1]TRA!N47/[1]TRA!M47)*('1-2-3'!S$50/'1-2-3'!R$50)/([1]TRA!N$56/[1]TRA!M$56)-1)/(RESULTS!N$67/RESULTS!M$67-1)</f>
        <v>#DIV/0!</v>
      </c>
      <c r="O28" s="417" t="e">
        <f>(([1]TRA!O47/[1]TRA!N47)*('1-2-3'!T$50/'1-2-3'!S$50)/([1]TRA!O$56/[1]TRA!N$56)-1)/(RESULTS!O$67/RESULTS!N$67-1)</f>
        <v>#DIV/0!</v>
      </c>
      <c r="P28" s="417" t="e">
        <f>(([1]TRA!P47/[1]TRA!O47)*('1-2-3'!U$50/'1-2-3'!T$50)/([1]TRA!P$56/[1]TRA!O$56)-1)/(RESULTS!P$67/RESULTS!O$67-1)</f>
        <v>#DIV/0!</v>
      </c>
      <c r="Q28" s="417" t="e">
        <f>(([1]TRA!Q47/[1]TRA!P47)*('1-2-3'!V$50/'1-2-3'!U$50)/([1]TRA!Q$56/[1]TRA!P$56)-1)/(RESULTS!Q$67/RESULTS!P$67-1)</f>
        <v>#DIV/0!</v>
      </c>
    </row>
    <row r="29" spans="1:17">
      <c r="A29" s="406" t="s">
        <v>2154</v>
      </c>
      <c r="B29" s="406" t="s">
        <v>2141</v>
      </c>
      <c r="C29" s="406"/>
      <c r="D29" s="407"/>
      <c r="E29" s="417">
        <f>(([1]TRA!E48/[1]TRA!D48)*('1-2-3'!J$50/'1-2-3'!I$50)/([1]TRA!E$56/[1]TRA!D$56)-1)/(RESULTS!E$67/RESULTS!D$67-1)</f>
        <v>4.3981441594352884</v>
      </c>
      <c r="F29" s="417">
        <f>(([1]TRA!F48/[1]TRA!E48)*('1-2-3'!K$50/'1-2-3'!J$50)/([1]TRA!F$56/[1]TRA!E$56)-1)/(RESULTS!F$67/RESULTS!E$67-1)</f>
        <v>-0.5224166987031541</v>
      </c>
      <c r="G29" s="417">
        <f>(([1]TRA!G48/[1]TRA!F48)*('1-2-3'!L$50/'1-2-3'!K$50)/([1]TRA!G$56/[1]TRA!F$56)-1)/(RESULTS!G$67/RESULTS!F$67-1)</f>
        <v>0.74405610700811486</v>
      </c>
      <c r="H29" s="417" t="e">
        <f>(([1]TRA!H48/[1]TRA!G48)*('1-2-3'!M$50/'1-2-3'!L$50)/([1]TRA!H$56/[1]TRA!G$56)-1)/(RESULTS!H$67/RESULTS!G$67-1)</f>
        <v>#VALUE!</v>
      </c>
      <c r="I29" s="417" t="e">
        <f>(([1]TRA!I48/[1]TRA!H48)*('1-2-3'!N$50/'1-2-3'!M$50)/([1]TRA!I$56/[1]TRA!H$56)-1)/(RESULTS!I$67/RESULTS!H$67-1)</f>
        <v>#DIV/0!</v>
      </c>
      <c r="J29" s="417" t="e">
        <f>(([1]TRA!J48/[1]TRA!I48)*('1-2-3'!O$50/'1-2-3'!N$50)/([1]TRA!J$56/[1]TRA!I$56)-1)/(RESULTS!J$67/RESULTS!I$67-1)</f>
        <v>#DIV/0!</v>
      </c>
      <c r="K29" s="417" t="e">
        <f>(([1]TRA!K48/[1]TRA!J48)*('1-2-3'!P$50/'1-2-3'!O$50)/([1]TRA!K$56/[1]TRA!J$56)-1)/(RESULTS!K$67/RESULTS!J$67-1)</f>
        <v>#DIV/0!</v>
      </c>
      <c r="L29" s="417" t="e">
        <f>(([1]TRA!L48/[1]TRA!K48)*('1-2-3'!Q$50/'1-2-3'!P$50)/([1]TRA!L$56/[1]TRA!K$56)-1)/(RESULTS!L$67/RESULTS!K$67-1)</f>
        <v>#DIV/0!</v>
      </c>
      <c r="M29" s="417" t="e">
        <f>(([1]TRA!M48/[1]TRA!L48)*('1-2-3'!R$50/'1-2-3'!Q$50)/([1]TRA!M$56/[1]TRA!L$56)-1)/(RESULTS!M$67/RESULTS!L$67-1)</f>
        <v>#DIV/0!</v>
      </c>
      <c r="N29" s="417" t="e">
        <f>(([1]TRA!N48/[1]TRA!M48)*('1-2-3'!S$50/'1-2-3'!R$50)/([1]TRA!N$56/[1]TRA!M$56)-1)/(RESULTS!N$67/RESULTS!M$67-1)</f>
        <v>#DIV/0!</v>
      </c>
      <c r="O29" s="417" t="e">
        <f>(([1]TRA!O48/[1]TRA!N48)*('1-2-3'!T$50/'1-2-3'!S$50)/([1]TRA!O$56/[1]TRA!N$56)-1)/(RESULTS!O$67/RESULTS!N$67-1)</f>
        <v>#DIV/0!</v>
      </c>
      <c r="P29" s="417" t="e">
        <f>(([1]TRA!P48/[1]TRA!O48)*('1-2-3'!U$50/'1-2-3'!T$50)/([1]TRA!P$56/[1]TRA!O$56)-1)/(RESULTS!P$67/RESULTS!O$67-1)</f>
        <v>#DIV/0!</v>
      </c>
      <c r="Q29" s="417" t="e">
        <f>(([1]TRA!Q48/[1]TRA!P48)*('1-2-3'!V$50/'1-2-3'!U$50)/([1]TRA!Q$56/[1]TRA!P$56)-1)/(RESULTS!Q$67/RESULTS!P$67-1)</f>
        <v>#DIV/0!</v>
      </c>
    </row>
    <row r="30" spans="1:17">
      <c r="A30" s="406" t="s">
        <v>2155</v>
      </c>
      <c r="B30" s="406" t="s">
        <v>2143</v>
      </c>
      <c r="C30" s="406"/>
      <c r="D30" s="407"/>
      <c r="E30" s="417">
        <f>(([1]TRA!E50/[1]TRA!D50)*('1-2-3'!J$50/'1-2-3'!I$50)/([1]TRA!E$56/[1]TRA!D$56)-1)/(RESULTS!E$67/RESULTS!D$67-1)</f>
        <v>1.3783037921360306</v>
      </c>
      <c r="F30" s="417">
        <f>(([1]TRA!F50/[1]TRA!E50)*('1-2-3'!K$50/'1-2-3'!J$50)/([1]TRA!F$56/[1]TRA!E$56)-1)/(RESULTS!F$67/RESULTS!E$67-1)</f>
        <v>-1.6549748854190571</v>
      </c>
      <c r="G30" s="417">
        <f>(([1]TRA!G50/[1]TRA!F50)*('1-2-3'!L$50/'1-2-3'!K$50)/([1]TRA!G$56/[1]TRA!F$56)-1)/(RESULTS!G$67/RESULTS!F$67-1)</f>
        <v>-0.38635533540975536</v>
      </c>
      <c r="H30" s="417" t="e">
        <f>(([1]TRA!H50/[1]TRA!G50)*('1-2-3'!M$50/'1-2-3'!L$50)/([1]TRA!H$56/[1]TRA!G$56)-1)/(RESULTS!H$67/RESULTS!G$67-1)</f>
        <v>#VALUE!</v>
      </c>
      <c r="I30" s="417" t="e">
        <f>(([1]TRA!I50/[1]TRA!H50)*('1-2-3'!N$50/'1-2-3'!M$50)/([1]TRA!I$56/[1]TRA!H$56)-1)/(RESULTS!I$67/RESULTS!H$67-1)</f>
        <v>#DIV/0!</v>
      </c>
      <c r="J30" s="417" t="e">
        <f>(([1]TRA!J50/[1]TRA!I50)*('1-2-3'!O$50/'1-2-3'!N$50)/([1]TRA!J$56/[1]TRA!I$56)-1)/(RESULTS!J$67/RESULTS!I$67-1)</f>
        <v>#DIV/0!</v>
      </c>
      <c r="K30" s="417" t="e">
        <f>(([1]TRA!K50/[1]TRA!J50)*('1-2-3'!P$50/'1-2-3'!O$50)/([1]TRA!K$56/[1]TRA!J$56)-1)/(RESULTS!K$67/RESULTS!J$67-1)</f>
        <v>#DIV/0!</v>
      </c>
      <c r="L30" s="417" t="e">
        <f>(([1]TRA!L50/[1]TRA!K50)*('1-2-3'!Q$50/'1-2-3'!P$50)/([1]TRA!L$56/[1]TRA!K$56)-1)/(RESULTS!L$67/RESULTS!K$67-1)</f>
        <v>#DIV/0!</v>
      </c>
      <c r="M30" s="417" t="e">
        <f>(([1]TRA!M50/[1]TRA!L50)*('1-2-3'!R$50/'1-2-3'!Q$50)/([1]TRA!M$56/[1]TRA!L$56)-1)/(RESULTS!M$67/RESULTS!L$67-1)</f>
        <v>#DIV/0!</v>
      </c>
      <c r="N30" s="417" t="e">
        <f>(([1]TRA!N50/[1]TRA!M50)*('1-2-3'!S$50/'1-2-3'!R$50)/([1]TRA!N$56/[1]TRA!M$56)-1)/(RESULTS!N$67/RESULTS!M$67-1)</f>
        <v>#DIV/0!</v>
      </c>
      <c r="O30" s="417" t="e">
        <f>(([1]TRA!O50/[1]TRA!N50)*('1-2-3'!T$50/'1-2-3'!S$50)/([1]TRA!O$56/[1]TRA!N$56)-1)/(RESULTS!O$67/RESULTS!N$67-1)</f>
        <v>#DIV/0!</v>
      </c>
      <c r="P30" s="417" t="e">
        <f>(([1]TRA!P50/[1]TRA!O50)*('1-2-3'!U$50/'1-2-3'!T$50)/([1]TRA!P$56/[1]TRA!O$56)-1)/(RESULTS!P$67/RESULTS!O$67-1)</f>
        <v>#DIV/0!</v>
      </c>
      <c r="Q30" s="417" t="e">
        <f>(([1]TRA!Q50/[1]TRA!P50)*('1-2-3'!V$50/'1-2-3'!U$50)/([1]TRA!Q$56/[1]TRA!P$56)-1)/(RESULTS!Q$67/RESULTS!P$67-1)</f>
        <v>#DIV/0!</v>
      </c>
    </row>
    <row r="31" spans="1:17">
      <c r="A31" s="406" t="s">
        <v>2156</v>
      </c>
      <c r="B31" s="406" t="s">
        <v>2145</v>
      </c>
      <c r="C31" s="406"/>
      <c r="D31" s="407"/>
      <c r="E31" s="417">
        <f>(([1]TRA!E51/[1]TRA!D51)*('1-2-3'!J$50/'1-2-3'!I$50)/([1]TRA!E$56/[1]TRA!D$56)-1)/(RESULTS!E$67/RESULTS!D$67-1)</f>
        <v>1.3783037921360306</v>
      </c>
      <c r="F31" s="417">
        <f>(([1]TRA!F51/[1]TRA!E51)*('1-2-3'!K$50/'1-2-3'!J$50)/([1]TRA!F$56/[1]TRA!E$56)-1)/(RESULTS!F$67/RESULTS!E$67-1)</f>
        <v>-1.6549748854190571</v>
      </c>
      <c r="G31" s="417">
        <f>(([1]TRA!G51/[1]TRA!F51)*('1-2-3'!L$50/'1-2-3'!K$50)/([1]TRA!G$56/[1]TRA!F$56)-1)/(RESULTS!G$67/RESULTS!F$67-1)</f>
        <v>-0.38635533540975536</v>
      </c>
      <c r="H31" s="417" t="e">
        <f>(([1]TRA!H51/[1]TRA!G51)*('1-2-3'!M$50/'1-2-3'!L$50)/([1]TRA!H$56/[1]TRA!G$56)-1)/(RESULTS!H$67/RESULTS!G$67-1)</f>
        <v>#VALUE!</v>
      </c>
      <c r="I31" s="417" t="e">
        <f>(([1]TRA!I51/[1]TRA!H51)*('1-2-3'!N$50/'1-2-3'!M$50)/([1]TRA!I$56/[1]TRA!H$56)-1)/(RESULTS!I$67/RESULTS!H$67-1)</f>
        <v>#DIV/0!</v>
      </c>
      <c r="J31" s="417" t="e">
        <f>(([1]TRA!J51/[1]TRA!I51)*('1-2-3'!O$50/'1-2-3'!N$50)/([1]TRA!J$56/[1]TRA!I$56)-1)/(RESULTS!J$67/RESULTS!I$67-1)</f>
        <v>#DIV/0!</v>
      </c>
      <c r="K31" s="417" t="e">
        <f>(([1]TRA!K51/[1]TRA!J51)*('1-2-3'!P$50/'1-2-3'!O$50)/([1]TRA!K$56/[1]TRA!J$56)-1)/(RESULTS!K$67/RESULTS!J$67-1)</f>
        <v>#DIV/0!</v>
      </c>
      <c r="L31" s="417" t="e">
        <f>(([1]TRA!L51/[1]TRA!K51)*('1-2-3'!Q$50/'1-2-3'!P$50)/([1]TRA!L$56/[1]TRA!K$56)-1)/(RESULTS!L$67/RESULTS!K$67-1)</f>
        <v>#DIV/0!</v>
      </c>
      <c r="M31" s="417" t="e">
        <f>(([1]TRA!M51/[1]TRA!L51)*('1-2-3'!R$50/'1-2-3'!Q$50)/([1]TRA!M$56/[1]TRA!L$56)-1)/(RESULTS!M$67/RESULTS!L$67-1)</f>
        <v>#DIV/0!</v>
      </c>
      <c r="N31" s="417" t="e">
        <f>(([1]TRA!N51/[1]TRA!M51)*('1-2-3'!S$50/'1-2-3'!R$50)/([1]TRA!N$56/[1]TRA!M$56)-1)/(RESULTS!N$67/RESULTS!M$67-1)</f>
        <v>#DIV/0!</v>
      </c>
      <c r="O31" s="417" t="e">
        <f>(([1]TRA!O51/[1]TRA!N51)*('1-2-3'!T$50/'1-2-3'!S$50)/([1]TRA!O$56/[1]TRA!N$56)-1)/(RESULTS!O$67/RESULTS!N$67-1)</f>
        <v>#DIV/0!</v>
      </c>
      <c r="P31" s="417" t="e">
        <f>(([1]TRA!P51/[1]TRA!O51)*('1-2-3'!U$50/'1-2-3'!T$50)/([1]TRA!P$56/[1]TRA!O$56)-1)/(RESULTS!P$67/RESULTS!O$67-1)</f>
        <v>#DIV/0!</v>
      </c>
      <c r="Q31" s="417" t="e">
        <f>(([1]TRA!Q51/[1]TRA!P51)*('1-2-3'!V$50/'1-2-3'!U$50)/([1]TRA!Q$56/[1]TRA!P$56)-1)/(RESULTS!Q$67/RESULTS!P$67-1)</f>
        <v>#DIV/0!</v>
      </c>
    </row>
    <row r="32" spans="1:17">
      <c r="A32" s="406" t="s">
        <v>2157</v>
      </c>
      <c r="B32" s="406" t="s">
        <v>2147</v>
      </c>
      <c r="C32" s="406"/>
      <c r="D32" s="407"/>
      <c r="E32" s="417">
        <f>(([1]TRA!E52/[1]TRA!D52)*('1-2-3'!J$50/'1-2-3'!I$50)/([1]TRA!E$56/[1]TRA!D$56)-1)/(RESULTS!E$67/RESULTS!D$67-1)</f>
        <v>1.3783037921360306</v>
      </c>
      <c r="F32" s="417">
        <f>(([1]TRA!F52/[1]TRA!E52)*('1-2-3'!K$50/'1-2-3'!J$50)/([1]TRA!F$56/[1]TRA!E$56)-1)/(RESULTS!F$67/RESULTS!E$67-1)</f>
        <v>-1.6549748854190571</v>
      </c>
      <c r="G32" s="417">
        <f>(([1]TRA!G52/[1]TRA!F52)*('1-2-3'!L$50/'1-2-3'!K$50)/([1]TRA!G$56/[1]TRA!F$56)-1)/(RESULTS!G$67/RESULTS!F$67-1)</f>
        <v>-0.38635533540975536</v>
      </c>
      <c r="H32" s="417" t="e">
        <f>(([1]TRA!H52/[1]TRA!G52)*('1-2-3'!M$50/'1-2-3'!L$50)/([1]TRA!H$56/[1]TRA!G$56)-1)/(RESULTS!H$67/RESULTS!G$67-1)</f>
        <v>#VALUE!</v>
      </c>
      <c r="I32" s="417" t="e">
        <f>(([1]TRA!I52/[1]TRA!H52)*('1-2-3'!N$50/'1-2-3'!M$50)/([1]TRA!I$56/[1]TRA!H$56)-1)/(RESULTS!I$67/RESULTS!H$67-1)</f>
        <v>#DIV/0!</v>
      </c>
      <c r="J32" s="417" t="e">
        <f>(([1]TRA!J52/[1]TRA!I52)*('1-2-3'!O$50/'1-2-3'!N$50)/([1]TRA!J$56/[1]TRA!I$56)-1)/(RESULTS!J$67/RESULTS!I$67-1)</f>
        <v>#DIV/0!</v>
      </c>
      <c r="K32" s="417" t="e">
        <f>(([1]TRA!K52/[1]TRA!J52)*('1-2-3'!P$50/'1-2-3'!O$50)/([1]TRA!K$56/[1]TRA!J$56)-1)/(RESULTS!K$67/RESULTS!J$67-1)</f>
        <v>#DIV/0!</v>
      </c>
      <c r="L32" s="417" t="e">
        <f>(([1]TRA!L52/[1]TRA!K52)*('1-2-3'!Q$50/'1-2-3'!P$50)/([1]TRA!L$56/[1]TRA!K$56)-1)/(RESULTS!L$67/RESULTS!K$67-1)</f>
        <v>#DIV/0!</v>
      </c>
      <c r="M32" s="417" t="e">
        <f>(([1]TRA!M52/[1]TRA!L52)*('1-2-3'!R$50/'1-2-3'!Q$50)/([1]TRA!M$56/[1]TRA!L$56)-1)/(RESULTS!M$67/RESULTS!L$67-1)</f>
        <v>#DIV/0!</v>
      </c>
      <c r="N32" s="417" t="e">
        <f>(([1]TRA!N52/[1]TRA!M52)*('1-2-3'!S$50/'1-2-3'!R$50)/([1]TRA!N$56/[1]TRA!M$56)-1)/(RESULTS!N$67/RESULTS!M$67-1)</f>
        <v>#DIV/0!</v>
      </c>
      <c r="O32" s="417" t="e">
        <f>(([1]TRA!O52/[1]TRA!N52)*('1-2-3'!T$50/'1-2-3'!S$50)/([1]TRA!O$56/[1]TRA!N$56)-1)/(RESULTS!O$67/RESULTS!N$67-1)</f>
        <v>#DIV/0!</v>
      </c>
      <c r="P32" s="417" t="e">
        <f>(([1]TRA!P52/[1]TRA!O52)*('1-2-3'!U$50/'1-2-3'!T$50)/([1]TRA!P$56/[1]TRA!O$56)-1)/(RESULTS!P$67/RESULTS!O$67-1)</f>
        <v>#DIV/0!</v>
      </c>
      <c r="Q32" s="417" t="e">
        <f>(([1]TRA!Q52/[1]TRA!P52)*('1-2-3'!V$50/'1-2-3'!U$50)/([1]TRA!Q$56/[1]TRA!P$56)-1)/(RESULTS!Q$67/RESULTS!P$67-1)</f>
        <v>#DIV/0!</v>
      </c>
    </row>
    <row r="33" spans="1:17">
      <c r="A33" s="406" t="s">
        <v>2158</v>
      </c>
      <c r="B33" s="406" t="s">
        <v>2159</v>
      </c>
      <c r="C33" s="406"/>
      <c r="D33" s="407"/>
      <c r="E33" s="417">
        <f>(([1]TRA!E53/[1]TRA!D53)*('1-2-3'!J$50/'1-2-3'!I$50)/([1]TRA!E$56/[1]TRA!D$56)-1)/(RESULTS!E$67/RESULTS!D$67-1)</f>
        <v>4.6854224573330967</v>
      </c>
      <c r="F33" s="417">
        <f>(([1]TRA!F53/[1]TRA!E53)*('1-2-3'!K$50/'1-2-3'!J$50)/([1]TRA!F$56/[1]TRA!E$56)-1)/(RESULTS!F$67/RESULTS!E$67-1)</f>
        <v>-0.53215112508369022</v>
      </c>
      <c r="G33" s="417">
        <f>(([1]TRA!G53/[1]TRA!F53)*('1-2-3'!L$50/'1-2-3'!K$50)/([1]TRA!G$56/[1]TRA!F$56)-1)/(RESULTS!G$67/RESULTS!F$67-1)</f>
        <v>-0.38635533540972633</v>
      </c>
      <c r="H33" s="417" t="e">
        <f>(([1]TRA!H53/[1]TRA!G53)*('1-2-3'!M$50/'1-2-3'!L$50)/([1]TRA!H$56/[1]TRA!G$56)-1)/(RESULTS!H$67/RESULTS!G$67-1)</f>
        <v>#VALUE!</v>
      </c>
      <c r="I33" s="417" t="e">
        <f>(([1]TRA!I53/[1]TRA!H53)*('1-2-3'!N$50/'1-2-3'!M$50)/([1]TRA!I$56/[1]TRA!H$56)-1)/(RESULTS!I$67/RESULTS!H$67-1)</f>
        <v>#DIV/0!</v>
      </c>
      <c r="J33" s="417" t="e">
        <f>(([1]TRA!J53/[1]TRA!I53)*('1-2-3'!O$50/'1-2-3'!N$50)/([1]TRA!J$56/[1]TRA!I$56)-1)/(RESULTS!J$67/RESULTS!I$67-1)</f>
        <v>#DIV/0!</v>
      </c>
      <c r="K33" s="417" t="e">
        <f>(([1]TRA!K53/[1]TRA!J53)*('1-2-3'!P$50/'1-2-3'!O$50)/([1]TRA!K$56/[1]TRA!J$56)-1)/(RESULTS!K$67/RESULTS!J$67-1)</f>
        <v>#DIV/0!</v>
      </c>
      <c r="L33" s="417" t="e">
        <f>(([1]TRA!L53/[1]TRA!K53)*('1-2-3'!Q$50/'1-2-3'!P$50)/([1]TRA!L$56/[1]TRA!K$56)-1)/(RESULTS!L$67/RESULTS!K$67-1)</f>
        <v>#DIV/0!</v>
      </c>
      <c r="M33" s="417" t="e">
        <f>(([1]TRA!M53/[1]TRA!L53)*('1-2-3'!R$50/'1-2-3'!Q$50)/([1]TRA!M$56/[1]TRA!L$56)-1)/(RESULTS!M$67/RESULTS!L$67-1)</f>
        <v>#DIV/0!</v>
      </c>
      <c r="N33" s="417" t="e">
        <f>(([1]TRA!N53/[1]TRA!M53)*('1-2-3'!S$50/'1-2-3'!R$50)/([1]TRA!N$56/[1]TRA!M$56)-1)/(RESULTS!N$67/RESULTS!M$67-1)</f>
        <v>#DIV/0!</v>
      </c>
      <c r="O33" s="417" t="e">
        <f>(([1]TRA!O53/[1]TRA!N53)*('1-2-3'!T$50/'1-2-3'!S$50)/([1]TRA!O$56/[1]TRA!N$56)-1)/(RESULTS!O$67/RESULTS!N$67-1)</f>
        <v>#DIV/0!</v>
      </c>
      <c r="P33" s="417" t="e">
        <f>(([1]TRA!P53/[1]TRA!O53)*('1-2-3'!U$50/'1-2-3'!T$50)/([1]TRA!P$56/[1]TRA!O$56)-1)/(RESULTS!P$67/RESULTS!O$67-1)</f>
        <v>#DIV/0!</v>
      </c>
      <c r="Q33" s="417" t="e">
        <f>(([1]TRA!Q53/[1]TRA!P53)*('1-2-3'!V$50/'1-2-3'!U$50)/([1]TRA!Q$56/[1]TRA!P$56)-1)/(RESULTS!Q$67/RESULTS!P$67-1)</f>
        <v>#DIV/0!</v>
      </c>
    </row>
    <row r="34" spans="1:17">
      <c r="A34" s="406" t="s">
        <v>2160</v>
      </c>
      <c r="B34" s="406" t="s">
        <v>2161</v>
      </c>
      <c r="C34" s="406"/>
      <c r="D34" s="407"/>
      <c r="E34" s="417">
        <f>(([1]TRA!E55/[1]TRA!D55)*('1-2-3'!J$50/'1-2-3'!I$50)/([1]TRA!E$56/[1]TRA!D$56)-1)/(RESULTS!E$67/RESULTS!D$67-1)</f>
        <v>3.0091838324657201</v>
      </c>
      <c r="F34" s="417">
        <f>(([1]TRA!F55/[1]TRA!E55)*('1-2-3'!K$50/'1-2-3'!J$50)/([1]TRA!F$56/[1]TRA!E$56)-1)/(RESULTS!F$67/RESULTS!E$67-1)</f>
        <v>-1.3896942800780061</v>
      </c>
      <c r="G34" s="417">
        <f>(([1]TRA!G55/[1]TRA!F55)*('1-2-3'!L$50/'1-2-3'!K$50)/([1]TRA!G$56/[1]TRA!F$56)-1)/(RESULTS!G$67/RESULTS!F$67-1)</f>
        <v>2.0478908266165701</v>
      </c>
      <c r="H34" s="417" t="e">
        <f>(([1]TRA!H55/[1]TRA!G55)*('1-2-3'!M$50/'1-2-3'!L$50)/([1]TRA!H$56/[1]TRA!G$56)-1)/(RESULTS!H$67/RESULTS!G$67-1)</f>
        <v>#VALUE!</v>
      </c>
      <c r="I34" s="417" t="e">
        <f>(([1]TRA!I55/[1]TRA!H55)*('1-2-3'!N$50/'1-2-3'!M$50)/([1]TRA!I$56/[1]TRA!H$56)-1)/(RESULTS!I$67/RESULTS!H$67-1)</f>
        <v>#DIV/0!</v>
      </c>
      <c r="J34" s="417" t="e">
        <f>(([1]TRA!J55/[1]TRA!I55)*('1-2-3'!O$50/'1-2-3'!N$50)/([1]TRA!J$56/[1]TRA!I$56)-1)/(RESULTS!J$67/RESULTS!I$67-1)</f>
        <v>#DIV/0!</v>
      </c>
      <c r="K34" s="417" t="e">
        <f>(([1]TRA!K55/[1]TRA!J55)*('1-2-3'!P$50/'1-2-3'!O$50)/([1]TRA!K$56/[1]TRA!J$56)-1)/(RESULTS!K$67/RESULTS!J$67-1)</f>
        <v>#DIV/0!</v>
      </c>
      <c r="L34" s="417" t="e">
        <f>(([1]TRA!L55/[1]TRA!K55)*('1-2-3'!Q$50/'1-2-3'!P$50)/([1]TRA!L$56/[1]TRA!K$56)-1)/(RESULTS!L$67/RESULTS!K$67-1)</f>
        <v>#DIV/0!</v>
      </c>
      <c r="M34" s="417" t="e">
        <f>(([1]TRA!M55/[1]TRA!L55)*('1-2-3'!R$50/'1-2-3'!Q$50)/([1]TRA!M$56/[1]TRA!L$56)-1)/(RESULTS!M$67/RESULTS!L$67-1)</f>
        <v>#DIV/0!</v>
      </c>
      <c r="N34" s="417" t="e">
        <f>(([1]TRA!N55/[1]TRA!M55)*('1-2-3'!S$50/'1-2-3'!R$50)/([1]TRA!N$56/[1]TRA!M$56)-1)/(RESULTS!N$67/RESULTS!M$67-1)</f>
        <v>#DIV/0!</v>
      </c>
      <c r="O34" s="417" t="e">
        <f>(([1]TRA!O55/[1]TRA!N55)*('1-2-3'!T$50/'1-2-3'!S$50)/([1]TRA!O$56/[1]TRA!N$56)-1)/(RESULTS!O$67/RESULTS!N$67-1)</f>
        <v>#DIV/0!</v>
      </c>
      <c r="P34" s="417" t="e">
        <f>(([1]TRA!P55/[1]TRA!O55)*('1-2-3'!U$50/'1-2-3'!T$50)/([1]TRA!P$56/[1]TRA!O$56)-1)/(RESULTS!P$67/RESULTS!O$67-1)</f>
        <v>#DIV/0!</v>
      </c>
      <c r="Q34" s="417" t="e">
        <f>(([1]TRA!Q55/[1]TRA!P55)*('1-2-3'!V$50/'1-2-3'!U$50)/([1]TRA!Q$56/[1]TRA!P$56)-1)/(RESULTS!Q$67/RESULTS!P$67-1)</f>
        <v>#DIV/0!</v>
      </c>
    </row>
    <row r="35" spans="1:17">
      <c r="A35" s="406"/>
      <c r="B35" s="406"/>
      <c r="C35" s="406"/>
      <c r="D35" s="407"/>
      <c r="E35" s="465"/>
      <c r="F35" s="465"/>
      <c r="G35" s="465"/>
      <c r="H35" s="465"/>
      <c r="I35" s="465"/>
      <c r="J35" s="465"/>
      <c r="K35" s="465"/>
      <c r="L35" s="465"/>
      <c r="M35" s="465"/>
      <c r="N35" s="465"/>
      <c r="O35" s="465"/>
      <c r="P35" s="465"/>
      <c r="Q35" s="465"/>
    </row>
    <row r="36" spans="1:17">
      <c r="B36" s="406" t="s">
        <v>2162</v>
      </c>
      <c r="C36" s="406"/>
      <c r="D36" s="407"/>
      <c r="E36" s="466"/>
      <c r="F36" s="466"/>
      <c r="G36" s="466"/>
      <c r="H36" s="466"/>
      <c r="I36" s="466"/>
      <c r="J36" s="466"/>
      <c r="K36" s="466"/>
      <c r="L36" s="466"/>
      <c r="M36" s="466"/>
      <c r="N36" s="466"/>
      <c r="O36" s="466"/>
      <c r="P36" s="466"/>
      <c r="Q36" s="466"/>
    </row>
    <row r="37" spans="1:17">
      <c r="A37" s="406" t="s">
        <v>2163</v>
      </c>
      <c r="B37" s="411" t="s">
        <v>2164</v>
      </c>
      <c r="C37" s="411"/>
      <c r="D37" s="412"/>
      <c r="E37" s="417">
        <f>(([1]TRA!E53/[1]TRA!D53)*('1-2-3'!J$50/'1-2-3'!I$50)/([1]TRA!E$56/[1]TRA!D$56)-1)/(RESULTS!E$70/RESULTS!D$70-1)</f>
        <v>-1.2896781535192841</v>
      </c>
      <c r="F37" s="417">
        <f>(([1]TRA!F53/[1]TRA!E53)*('1-2-3'!K$50/'1-2-3'!J$50)/([1]TRA!F$56/[1]TRA!E$56)-1)/(RESULTS!F$70/RESULTS!E$70-1)</f>
        <v>0.10009498630478245</v>
      </c>
      <c r="G37" s="417">
        <f>(([1]TRA!G53/[1]TRA!F53)*('1-2-3'!L$50/'1-2-3'!K$50)/([1]TRA!G$56/[1]TRA!F$56)-1)/(RESULTS!G$70/RESULTS!F$70-1)</f>
        <v>-6.2782960924659681E-2</v>
      </c>
      <c r="H37" s="417">
        <f>(([1]TRA!H53/[1]TRA!G53)*('1-2-3'!M$50/'1-2-3'!L$50)/([1]TRA!H$56/[1]TRA!G$56)-1)/(RESULTS!H$70/RESULTS!G$70-1)</f>
        <v>1</v>
      </c>
      <c r="I37" s="417" t="e">
        <f>(([1]TRA!I53/[1]TRA!H53)*('1-2-3'!N$50/'1-2-3'!M$50)/([1]TRA!I$56/[1]TRA!H$56)-1)/(RESULTS!I$70/RESULTS!H$70-1)</f>
        <v>#DIV/0!</v>
      </c>
      <c r="J37" s="417" t="e">
        <f>(([1]TRA!J53/[1]TRA!I53)*('1-2-3'!O$50/'1-2-3'!N$50)/([1]TRA!J$56/[1]TRA!I$56)-1)/(RESULTS!J$70/RESULTS!I$70-1)</f>
        <v>#DIV/0!</v>
      </c>
      <c r="K37" s="417" t="e">
        <f>(([1]TRA!K53/[1]TRA!J53)*('1-2-3'!P$50/'1-2-3'!O$50)/([1]TRA!K$56/[1]TRA!J$56)-1)/(RESULTS!K$70/RESULTS!J$70-1)</f>
        <v>#DIV/0!</v>
      </c>
      <c r="L37" s="417" t="e">
        <f>(([1]TRA!L53/[1]TRA!K53)*('1-2-3'!Q$50/'1-2-3'!P$50)/([1]TRA!L$56/[1]TRA!K$56)-1)/(RESULTS!L$70/RESULTS!K$70-1)</f>
        <v>#DIV/0!</v>
      </c>
      <c r="M37" s="417" t="e">
        <f>(([1]TRA!M53/[1]TRA!L53)*('1-2-3'!R$50/'1-2-3'!Q$50)/([1]TRA!M$56/[1]TRA!L$56)-1)/(RESULTS!M$70/RESULTS!L$70-1)</f>
        <v>#DIV/0!</v>
      </c>
      <c r="N37" s="417" t="e">
        <f>(([1]TRA!N53/[1]TRA!M53)*('1-2-3'!S$50/'1-2-3'!R$50)/([1]TRA!N$56/[1]TRA!M$56)-1)/(RESULTS!N$70/RESULTS!M$70-1)</f>
        <v>#DIV/0!</v>
      </c>
      <c r="O37" s="417" t="e">
        <f>(([1]TRA!O53/[1]TRA!N53)*('1-2-3'!T$50/'1-2-3'!S$50)/([1]TRA!O$56/[1]TRA!N$56)-1)/(RESULTS!O$70/RESULTS!N$70-1)</f>
        <v>#DIV/0!</v>
      </c>
      <c r="P37" s="417" t="e">
        <f>(([1]TRA!P53/[1]TRA!O53)*('1-2-3'!U$50/'1-2-3'!T$50)/([1]TRA!P$56/[1]TRA!O$56)-1)/(RESULTS!P$70/RESULTS!O$70-1)</f>
        <v>#DIV/0!</v>
      </c>
      <c r="Q37" s="417" t="e">
        <f>(([1]TRA!Q53/[1]TRA!P53)*('1-2-3'!V$50/'1-2-3'!U$50)/([1]TRA!Q$56/[1]TRA!P$56)-1)/(RESULTS!Q$70/RESULTS!P$70-1)</f>
        <v>#DIV/0!</v>
      </c>
    </row>
    <row r="38" spans="1:17">
      <c r="D38" s="153"/>
      <c r="E38" s="402"/>
      <c r="F38" s="402"/>
      <c r="G38" s="402"/>
      <c r="H38" s="402"/>
      <c r="I38" s="402"/>
      <c r="J38" s="402"/>
      <c r="K38" s="402"/>
      <c r="L38" s="402"/>
      <c r="M38" s="402"/>
      <c r="N38" s="402"/>
      <c r="O38" s="402"/>
      <c r="P38" s="402"/>
      <c r="Q38" s="402"/>
    </row>
    <row r="39" spans="1:17">
      <c r="B39" s="406" t="s">
        <v>2165</v>
      </c>
      <c r="C39" s="406"/>
      <c r="D39" s="407"/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17">
      <c r="A40" s="406" t="s">
        <v>2166</v>
      </c>
      <c r="B40" s="406" t="s">
        <v>2167</v>
      </c>
      <c r="C40" s="406"/>
      <c r="D40" s="407"/>
      <c r="E40" s="470">
        <v>0</v>
      </c>
      <c r="F40" s="470">
        <v>0</v>
      </c>
      <c r="G40" s="470">
        <v>0</v>
      </c>
      <c r="H40" s="470">
        <v>0</v>
      </c>
      <c r="I40" s="470">
        <v>0</v>
      </c>
      <c r="J40" s="470">
        <v>0</v>
      </c>
      <c r="K40" s="470">
        <v>0</v>
      </c>
      <c r="L40" s="470">
        <v>0</v>
      </c>
      <c r="M40" s="470">
        <v>0</v>
      </c>
      <c r="N40" s="470">
        <v>0</v>
      </c>
      <c r="O40" s="470">
        <v>0</v>
      </c>
      <c r="P40" s="470">
        <v>0</v>
      </c>
      <c r="Q40" s="470">
        <v>0</v>
      </c>
    </row>
    <row r="41" spans="1:17">
      <c r="D41" s="153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17">
      <c r="B42" s="406" t="s">
        <v>2168</v>
      </c>
      <c r="C42" s="406"/>
      <c r="D42" s="407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17">
      <c r="A43" s="406" t="s">
        <v>2169</v>
      </c>
      <c r="B43" s="406" t="s">
        <v>2170</v>
      </c>
      <c r="C43" s="406"/>
      <c r="D43" s="407" t="s">
        <v>2359</v>
      </c>
      <c r="E43" s="456">
        <f>'[1]ASU - 123'!E43</f>
        <v>3</v>
      </c>
      <c r="F43" s="456">
        <f>'[1]ASU - 123'!F43</f>
        <v>3</v>
      </c>
      <c r="G43" s="456">
        <f>'[1]ASU - 123'!G43</f>
        <v>3</v>
      </c>
      <c r="H43" s="456">
        <f>'[1]ASU - 123'!H43</f>
        <v>3</v>
      </c>
      <c r="I43" s="456">
        <f>'[1]ASU - 123'!I43</f>
        <v>3</v>
      </c>
      <c r="J43" s="456">
        <f>'[1]ASU - 123'!J43</f>
        <v>3</v>
      </c>
      <c r="K43" s="456">
        <f>'[1]ASU - 123'!K43</f>
        <v>3</v>
      </c>
      <c r="L43" s="456">
        <f>'[1]ASU - 123'!L43</f>
        <v>3</v>
      </c>
      <c r="M43" s="456">
        <f>'[1]ASU - 123'!M43</f>
        <v>3</v>
      </c>
      <c r="N43" s="456">
        <f>'[1]ASU - 123'!N43</f>
        <v>3</v>
      </c>
      <c r="O43" s="456">
        <f>'[1]ASU - 123'!O43</f>
        <v>3</v>
      </c>
      <c r="P43" s="456">
        <f>'[1]ASU - 123'!P43</f>
        <v>3</v>
      </c>
      <c r="Q43" s="456">
        <f>'[1]ASU - 123'!Q43</f>
        <v>3</v>
      </c>
    </row>
    <row r="44" spans="1:17">
      <c r="A44" s="406" t="s">
        <v>2171</v>
      </c>
      <c r="B44" s="406" t="s">
        <v>2172</v>
      </c>
      <c r="C44" s="406"/>
      <c r="D44" s="407" t="s">
        <v>2359</v>
      </c>
      <c r="E44" s="456">
        <f>'[1]ASU - 123'!E44</f>
        <v>2.2999999999999998</v>
      </c>
      <c r="F44" s="456">
        <f>'[1]ASU - 123'!F44</f>
        <v>2.5</v>
      </c>
      <c r="G44" s="456">
        <f>'[1]ASU - 123'!G44</f>
        <v>2.5</v>
      </c>
      <c r="H44" s="456">
        <f>'[1]ASU - 123'!H44</f>
        <v>2.5</v>
      </c>
      <c r="I44" s="456">
        <f>'[1]ASU - 123'!I44</f>
        <v>2.5</v>
      </c>
      <c r="J44" s="456">
        <f>'[1]ASU - 123'!J44</f>
        <v>2.5</v>
      </c>
      <c r="K44" s="456">
        <f>'[1]ASU - 123'!K44</f>
        <v>2.5</v>
      </c>
      <c r="L44" s="456">
        <f>'[1]ASU - 123'!L44</f>
        <v>2.5</v>
      </c>
      <c r="M44" s="456">
        <f>'[1]ASU - 123'!M44</f>
        <v>2.5</v>
      </c>
      <c r="N44" s="456">
        <f>'[1]ASU - 123'!N44</f>
        <v>2.5</v>
      </c>
      <c r="O44" s="456">
        <f>'[1]ASU - 123'!O44</f>
        <v>2.5</v>
      </c>
      <c r="P44" s="456">
        <f>'[1]ASU - 123'!P44</f>
        <v>2.5</v>
      </c>
      <c r="Q44" s="456">
        <f>'[1]ASU - 123'!Q44</f>
        <v>2.5</v>
      </c>
    </row>
    <row r="45" spans="1:17">
      <c r="D45" s="153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  <c r="Q45" s="418"/>
    </row>
    <row r="46" spans="1:17">
      <c r="B46" s="406" t="s">
        <v>2173</v>
      </c>
      <c r="C46" s="406"/>
      <c r="D46" s="407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  <c r="Q46" s="418"/>
    </row>
    <row r="47" spans="1:17">
      <c r="A47" s="406" t="s">
        <v>2174</v>
      </c>
      <c r="B47" s="419" t="s">
        <v>2175</v>
      </c>
      <c r="C47" s="420"/>
      <c r="D47" s="421"/>
      <c r="E47" s="408">
        <f>(1+'[1]ASU - RMSM'!E47)*('1-2-3'!J$49/'1-2-3'!I$49)/([1]TRA!E$14/[1]TRA!D$14)-1</f>
        <v>8.081052117671006E-2</v>
      </c>
      <c r="F47" s="408">
        <f>(1+'[1]ASU - RMSM'!F47)*('1-2-3'!K$49/'1-2-3'!J$49)/([1]TRA!F$14/[1]TRA!E$14)-1</f>
        <v>9.4454343653095352E-2</v>
      </c>
      <c r="G47" s="408">
        <f>(1+'[1]ASU - RMSM'!G47)*('1-2-3'!L$49/'1-2-3'!K$49)/([1]TRA!G$14/[1]TRA!F$14)-1</f>
        <v>6.4285941506889488E-2</v>
      </c>
      <c r="H47" s="408">
        <f>(1+'[1]ASU - RMSM'!H47)*('1-2-3'!M$49/'1-2-3'!L$49)/([1]TRA!H$14/[1]TRA!G$14)-1</f>
        <v>-1</v>
      </c>
      <c r="I47" s="408" t="e">
        <f>(1+'[1]ASU - RMSM'!I47)*('1-2-3'!N$49/'1-2-3'!M$49)/([1]TRA!I$14/[1]TRA!H$14)-1</f>
        <v>#DIV/0!</v>
      </c>
      <c r="J47" s="408" t="e">
        <f>(1+'[1]ASU - RMSM'!J47)*('1-2-3'!O$49/'1-2-3'!N$49)/([1]TRA!J$14/[1]TRA!I$14)-1</f>
        <v>#DIV/0!</v>
      </c>
      <c r="K47" s="408" t="e">
        <f>(1+'[1]ASU - RMSM'!K47)*('1-2-3'!P$49/'1-2-3'!O$49)/([1]TRA!K$14/[1]TRA!J$14)-1</f>
        <v>#DIV/0!</v>
      </c>
      <c r="L47" s="408" t="e">
        <f>(1+'[1]ASU - RMSM'!L47)*('1-2-3'!Q$49/'1-2-3'!P$49)/([1]TRA!L$14/[1]TRA!K$14)-1</f>
        <v>#DIV/0!</v>
      </c>
      <c r="M47" s="408" t="e">
        <f>(1+'[1]ASU - RMSM'!M47)*('1-2-3'!R$49/'1-2-3'!Q$49)/([1]TRA!M$14/[1]TRA!L$14)-1</f>
        <v>#DIV/0!</v>
      </c>
      <c r="N47" s="408" t="e">
        <f>(1+'[1]ASU - RMSM'!N47)*('1-2-3'!S$49/'1-2-3'!R$49)/([1]TRA!N$14/[1]TRA!M$14)-1</f>
        <v>#DIV/0!</v>
      </c>
      <c r="O47" s="408" t="e">
        <f>(1+'[1]ASU - RMSM'!O47)*('1-2-3'!T$49/'1-2-3'!S$49)/([1]TRA!O$14/[1]TRA!N$14)-1</f>
        <v>#DIV/0!</v>
      </c>
      <c r="P47" s="408" t="e">
        <f>(1+'[1]ASU - RMSM'!P47)*('1-2-3'!U$49/'1-2-3'!T$49)/([1]TRA!P$14/[1]TRA!O$14)-1</f>
        <v>#DIV/0!</v>
      </c>
      <c r="Q47" s="408" t="e">
        <f>(1+'[1]ASU - RMSM'!Q47)*('1-2-3'!V$49/'1-2-3'!U$49)/([1]TRA!Q$14/[1]TRA!P$14)-1</f>
        <v>#DIV/0!</v>
      </c>
    </row>
    <row r="48" spans="1:17">
      <c r="A48" s="406" t="s">
        <v>2176</v>
      </c>
      <c r="B48" s="419" t="s">
        <v>2177</v>
      </c>
      <c r="C48" s="420"/>
      <c r="D48" s="421"/>
      <c r="E48" s="408">
        <f>(1+'[1]ASU - RMSM'!E48)*('1-2-3'!J$49/'1-2-3'!I$49)/([1]TRA!E$14/[1]TRA!D$14)-1</f>
        <v>8.8802086308121808E-2</v>
      </c>
      <c r="F48" s="408">
        <f>(1+'[1]ASU - RMSM'!F48)*('1-2-3'!K$49/'1-2-3'!J$49)/([1]TRA!F$14/[1]TRA!E$14)-1</f>
        <v>7.895129813578583E-2</v>
      </c>
      <c r="G48" s="408">
        <f>(1+'[1]ASU - RMSM'!G48)*('1-2-3'!L$49/'1-2-3'!K$49)/([1]TRA!G$14/[1]TRA!F$14)-1</f>
        <v>6.4285941506889488E-2</v>
      </c>
      <c r="H48" s="408">
        <f>(1+'[1]ASU - RMSM'!H48)*('1-2-3'!M$49/'1-2-3'!L$49)/([1]TRA!H$14/[1]TRA!G$14)-1</f>
        <v>-1</v>
      </c>
      <c r="I48" s="408" t="e">
        <f>(1+'[1]ASU - RMSM'!I48)*('1-2-3'!N$49/'1-2-3'!M$49)/([1]TRA!I$14/[1]TRA!H$14)-1</f>
        <v>#DIV/0!</v>
      </c>
      <c r="J48" s="408" t="e">
        <f>(1+'[1]ASU - RMSM'!J48)*('1-2-3'!O$49/'1-2-3'!N$49)/([1]TRA!J$14/[1]TRA!I$14)-1</f>
        <v>#DIV/0!</v>
      </c>
      <c r="K48" s="408" t="e">
        <f>(1+'[1]ASU - RMSM'!K48)*('1-2-3'!P$49/'1-2-3'!O$49)/([1]TRA!K$14/[1]TRA!J$14)-1</f>
        <v>#DIV/0!</v>
      </c>
      <c r="L48" s="408" t="e">
        <f>(1+'[1]ASU - RMSM'!L48)*('1-2-3'!Q$49/'1-2-3'!P$49)/([1]TRA!L$14/[1]TRA!K$14)-1</f>
        <v>#DIV/0!</v>
      </c>
      <c r="M48" s="408" t="e">
        <f>(1+'[1]ASU - RMSM'!M48)*('1-2-3'!R$49/'1-2-3'!Q$49)/([1]TRA!M$14/[1]TRA!L$14)-1</f>
        <v>#DIV/0!</v>
      </c>
      <c r="N48" s="408" t="e">
        <f>(1+'[1]ASU - RMSM'!N48)*('1-2-3'!S$49/'1-2-3'!R$49)/([1]TRA!N$14/[1]TRA!M$14)-1</f>
        <v>#DIV/0!</v>
      </c>
      <c r="O48" s="408" t="e">
        <f>(1+'[1]ASU - RMSM'!O48)*('1-2-3'!T$49/'1-2-3'!S$49)/([1]TRA!O$14/[1]TRA!N$14)-1</f>
        <v>#DIV/0!</v>
      </c>
      <c r="P48" s="408" t="e">
        <f>(1+'[1]ASU - RMSM'!P48)*('1-2-3'!U$49/'1-2-3'!T$49)/([1]TRA!P$14/[1]TRA!O$14)-1</f>
        <v>#DIV/0!</v>
      </c>
      <c r="Q48" s="408" t="e">
        <f>(1+'[1]ASU - RMSM'!Q48)*('1-2-3'!V$49/'1-2-3'!U$49)/([1]TRA!Q$14/[1]TRA!P$14)-1</f>
        <v>#DIV/0!</v>
      </c>
    </row>
    <row r="49" spans="1:17">
      <c r="A49" s="406" t="s">
        <v>2178</v>
      </c>
      <c r="B49" s="419" t="s">
        <v>2179</v>
      </c>
      <c r="C49" s="420"/>
      <c r="D49" s="421"/>
      <c r="E49" s="408">
        <f>(1+'[1]ASU - RMSM'!E49)*('1-2-3'!J$49/'1-2-3'!I$49)/([1]TRA!E$14/[1]TRA!D$14)-1</f>
        <v>-6.0164764194165055E-2</v>
      </c>
      <c r="F49" s="408">
        <f>(1+'[1]ASU - RMSM'!F49)*('1-2-3'!K$49/'1-2-3'!J$49)/([1]TRA!F$14/[1]TRA!E$14)-1</f>
        <v>-3.6650626664476826E-2</v>
      </c>
      <c r="G49" s="408">
        <f>(1+'[1]ASU - RMSM'!G49)*('1-2-3'!L$49/'1-2-3'!K$49)/([1]TRA!G$14/[1]TRA!F$14)-1</f>
        <v>-3.2467325902827748E-2</v>
      </c>
      <c r="H49" s="408">
        <f>(1+'[1]ASU - RMSM'!H49)*('1-2-3'!M$49/'1-2-3'!L$49)/([1]TRA!H$14/[1]TRA!G$14)-1</f>
        <v>-1</v>
      </c>
      <c r="I49" s="408" t="e">
        <f>(1+'[1]ASU - RMSM'!I49)*('1-2-3'!N$49/'1-2-3'!M$49)/([1]TRA!I$14/[1]TRA!H$14)-1</f>
        <v>#DIV/0!</v>
      </c>
      <c r="J49" s="408" t="e">
        <f>(1+'[1]ASU - RMSM'!J49)*('1-2-3'!O$49/'1-2-3'!N$49)/([1]TRA!J$14/[1]TRA!I$14)-1</f>
        <v>#DIV/0!</v>
      </c>
      <c r="K49" s="408" t="e">
        <f>(1+'[1]ASU - RMSM'!K49)*('1-2-3'!P$49/'1-2-3'!O$49)/([1]TRA!K$14/[1]TRA!J$14)-1</f>
        <v>#DIV/0!</v>
      </c>
      <c r="L49" s="408" t="e">
        <f>(1+'[1]ASU - RMSM'!L49)*('1-2-3'!Q$49/'1-2-3'!P$49)/([1]TRA!L$14/[1]TRA!K$14)-1</f>
        <v>#DIV/0!</v>
      </c>
      <c r="M49" s="408" t="e">
        <f>(1+'[1]ASU - RMSM'!M49)*('1-2-3'!R$49/'1-2-3'!Q$49)/([1]TRA!M$14/[1]TRA!L$14)-1</f>
        <v>#DIV/0!</v>
      </c>
      <c r="N49" s="408" t="e">
        <f>(1+'[1]ASU - RMSM'!N49)*('1-2-3'!S$49/'1-2-3'!R$49)/([1]TRA!N$14/[1]TRA!M$14)-1</f>
        <v>#DIV/0!</v>
      </c>
      <c r="O49" s="408" t="e">
        <f>(1+'[1]ASU - RMSM'!O49)*('1-2-3'!T$49/'1-2-3'!S$49)/([1]TRA!O$14/[1]TRA!N$14)-1</f>
        <v>#DIV/0!</v>
      </c>
      <c r="P49" s="408" t="e">
        <f>(1+'[1]ASU - RMSM'!P49)*('1-2-3'!U$49/'1-2-3'!T$49)/([1]TRA!P$14/[1]TRA!O$14)-1</f>
        <v>#DIV/0!</v>
      </c>
      <c r="Q49" s="408" t="e">
        <f>(1+'[1]ASU - RMSM'!Q49)*('1-2-3'!V$49/'1-2-3'!U$49)/([1]TRA!Q$14/[1]TRA!P$14)-1</f>
        <v>#DIV/0!</v>
      </c>
    </row>
    <row r="50" spans="1:17">
      <c r="A50" s="406" t="s">
        <v>2180</v>
      </c>
      <c r="B50" s="419" t="s">
        <v>2181</v>
      </c>
      <c r="C50" s="420"/>
      <c r="D50" s="421"/>
      <c r="E50" s="408">
        <f>(1+'[1]ASU - RMSM'!E50)*('1-2-3'!J$49/'1-2-3'!I$49)/([1]TRA!E$14/[1]TRA!D$14)-1</f>
        <v>-6.0164764194165055E-2</v>
      </c>
      <c r="F50" s="408">
        <f>(1+'[1]ASU - RMSM'!F50)*('1-2-3'!K$49/'1-2-3'!J$49)/([1]TRA!F$14/[1]TRA!E$14)-1</f>
        <v>-3.6650626664476826E-2</v>
      </c>
      <c r="G50" s="408">
        <f>(1+'[1]ASU - RMSM'!G50)*('1-2-3'!L$49/'1-2-3'!K$49)/([1]TRA!G$14/[1]TRA!F$14)-1</f>
        <v>-3.2467325902827748E-2</v>
      </c>
      <c r="H50" s="408">
        <f>(1+'[1]ASU - RMSM'!H50)*('1-2-3'!M$49/'1-2-3'!L$49)/([1]TRA!H$14/[1]TRA!G$14)-1</f>
        <v>-1</v>
      </c>
      <c r="I50" s="408" t="e">
        <f>(1+'[1]ASU - RMSM'!I50)*('1-2-3'!N$49/'1-2-3'!M$49)/([1]TRA!I$14/[1]TRA!H$14)-1</f>
        <v>#DIV/0!</v>
      </c>
      <c r="J50" s="408" t="e">
        <f>(1+'[1]ASU - RMSM'!J50)*('1-2-3'!O$49/'1-2-3'!N$49)/([1]TRA!J$14/[1]TRA!I$14)-1</f>
        <v>#DIV/0!</v>
      </c>
      <c r="K50" s="408" t="e">
        <f>(1+'[1]ASU - RMSM'!K50)*('1-2-3'!P$49/'1-2-3'!O$49)/([1]TRA!K$14/[1]TRA!J$14)-1</f>
        <v>#DIV/0!</v>
      </c>
      <c r="L50" s="408" t="e">
        <f>(1+'[1]ASU - RMSM'!L50)*('1-2-3'!Q$49/'1-2-3'!P$49)/([1]TRA!L$14/[1]TRA!K$14)-1</f>
        <v>#DIV/0!</v>
      </c>
      <c r="M50" s="408" t="e">
        <f>(1+'[1]ASU - RMSM'!M50)*('1-2-3'!R$49/'1-2-3'!Q$49)/([1]TRA!M$14/[1]TRA!L$14)-1</f>
        <v>#DIV/0!</v>
      </c>
      <c r="N50" s="408" t="e">
        <f>(1+'[1]ASU - RMSM'!N50)*('1-2-3'!S$49/'1-2-3'!R$49)/([1]TRA!N$14/[1]TRA!M$14)-1</f>
        <v>#DIV/0!</v>
      </c>
      <c r="O50" s="408" t="e">
        <f>(1+'[1]ASU - RMSM'!O50)*('1-2-3'!T$49/'1-2-3'!S$49)/([1]TRA!O$14/[1]TRA!N$14)-1</f>
        <v>#DIV/0!</v>
      </c>
      <c r="P50" s="408" t="e">
        <f>(1+'[1]ASU - RMSM'!P50)*('1-2-3'!U$49/'1-2-3'!T$49)/([1]TRA!P$14/[1]TRA!O$14)-1</f>
        <v>#DIV/0!</v>
      </c>
      <c r="Q50" s="408" t="e">
        <f>(1+'[1]ASU - RMSM'!Q50)*('1-2-3'!V$49/'1-2-3'!U$49)/([1]TRA!Q$14/[1]TRA!P$14)-1</f>
        <v>#DIV/0!</v>
      </c>
    </row>
    <row r="51" spans="1:17">
      <c r="A51" s="406"/>
      <c r="B51" t="s">
        <v>2182</v>
      </c>
      <c r="C51" s="420"/>
      <c r="D51" s="421"/>
      <c r="E51" s="408">
        <f>(1+'[1]ASU - RMSM'!E51)*('1-2-3'!J$49/'1-2-3'!I$49)/([1]TRA!E$14/[1]TRA!D$14)-1</f>
        <v>-2.2571354761931617E-2</v>
      </c>
      <c r="F51" s="408">
        <f>(1+'[1]ASU - RMSM'!F51)*('1-2-3'!K$49/'1-2-3'!J$49)/([1]TRA!F$14/[1]TRA!E$14)-1</f>
        <v>6.700095135621531E-3</v>
      </c>
      <c r="G51" s="408">
        <f>(1+'[1]ASU - RMSM'!G51)*('1-2-3'!L$49/'1-2-3'!K$49)/([1]TRA!G$14/[1]TRA!F$14)-1</f>
        <v>2.074697117251656E-2</v>
      </c>
      <c r="H51" s="408">
        <f>(1+'[1]ASU - RMSM'!H51)*('1-2-3'!M$49/'1-2-3'!L$49)/([1]TRA!H$14/[1]TRA!G$14)-1</f>
        <v>-1</v>
      </c>
      <c r="I51" s="408" t="e">
        <f>(1+'[1]ASU - RMSM'!I51)*('1-2-3'!N$49/'1-2-3'!M$49)/([1]TRA!I$14/[1]TRA!H$14)-1</f>
        <v>#DIV/0!</v>
      </c>
      <c r="J51" s="408" t="e">
        <f>(1+'[1]ASU - RMSM'!J51)*('1-2-3'!O$49/'1-2-3'!N$49)/([1]TRA!J$14/[1]TRA!I$14)-1</f>
        <v>#DIV/0!</v>
      </c>
      <c r="K51" s="408" t="e">
        <f>(1+'[1]ASU - RMSM'!K51)*('1-2-3'!P$49/'1-2-3'!O$49)/([1]TRA!K$14/[1]TRA!J$14)-1</f>
        <v>#DIV/0!</v>
      </c>
      <c r="L51" s="408" t="e">
        <f>(1+'[1]ASU - RMSM'!L51)*('1-2-3'!Q$49/'1-2-3'!P$49)/([1]TRA!L$14/[1]TRA!K$14)-1</f>
        <v>#DIV/0!</v>
      </c>
      <c r="M51" s="408" t="e">
        <f>(1+'[1]ASU - RMSM'!M51)*('1-2-3'!R$49/'1-2-3'!Q$49)/([1]TRA!M$14/[1]TRA!L$14)-1</f>
        <v>#DIV/0!</v>
      </c>
      <c r="N51" s="408" t="e">
        <f>(1+'[1]ASU - RMSM'!N51)*('1-2-3'!S$49/'1-2-3'!R$49)/([1]TRA!N$14/[1]TRA!M$14)-1</f>
        <v>#DIV/0!</v>
      </c>
      <c r="O51" s="408" t="e">
        <f>(1+'[1]ASU - RMSM'!O51)*('1-2-3'!T$49/'1-2-3'!S$49)/([1]TRA!O$14/[1]TRA!N$14)-1</f>
        <v>#DIV/0!</v>
      </c>
      <c r="P51" s="408" t="e">
        <f>(1+'[1]ASU - RMSM'!P51)*('1-2-3'!U$49/'1-2-3'!T$49)/([1]TRA!P$14/[1]TRA!O$14)-1</f>
        <v>#DIV/0!</v>
      </c>
      <c r="Q51" s="408" t="e">
        <f>(1+'[1]ASU - RMSM'!Q51)*('1-2-3'!V$49/'1-2-3'!U$49)/([1]TRA!Q$14/[1]TRA!P$14)-1</f>
        <v>#DIV/0!</v>
      </c>
    </row>
    <row r="52" spans="1:17">
      <c r="A52" s="406" t="s">
        <v>2183</v>
      </c>
      <c r="B52" t="s">
        <v>2184</v>
      </c>
      <c r="C52" s="420"/>
      <c r="D52" s="421"/>
      <c r="E52" s="408">
        <f>(1+'[1]ASU - RMSM'!E52)*('1-2-3'!J$49/'1-2-3'!I$49)/([1]TRA!E$14/[1]TRA!D$14)-1</f>
        <v>-3.6439823437733776E-2</v>
      </c>
      <c r="F52" s="408">
        <f>(1+'[1]ASU - RMSM'!F52)*('1-2-3'!K$49/'1-2-3'!J$49)/([1]TRA!F$14/[1]TRA!E$14)-1</f>
        <v>-1.4050061361144395E-2</v>
      </c>
      <c r="G52" s="408">
        <f>(1+'[1]ASU - RMSM'!G52)*('1-2-3'!L$49/'1-2-3'!K$49)/([1]TRA!G$14/[1]TRA!F$14)-1</f>
        <v>3.525996128397435E-2</v>
      </c>
      <c r="H52" s="408">
        <f>(1+'[1]ASU - RMSM'!H52)*('1-2-3'!M$49/'1-2-3'!L$49)/([1]TRA!H$14/[1]TRA!G$14)-1</f>
        <v>-1</v>
      </c>
      <c r="I52" s="408" t="e">
        <f>(1+'[1]ASU - RMSM'!I52)*('1-2-3'!N$49/'1-2-3'!M$49)/([1]TRA!I$14/[1]TRA!H$14)-1</f>
        <v>#DIV/0!</v>
      </c>
      <c r="J52" s="408" t="e">
        <f>(1+'[1]ASU - RMSM'!J52)*('1-2-3'!O$49/'1-2-3'!N$49)/([1]TRA!J$14/[1]TRA!I$14)-1</f>
        <v>#DIV/0!</v>
      </c>
      <c r="K52" s="408" t="e">
        <f>(1+'[1]ASU - RMSM'!K52)*('1-2-3'!P$49/'1-2-3'!O$49)/([1]TRA!K$14/[1]TRA!J$14)-1</f>
        <v>#DIV/0!</v>
      </c>
      <c r="L52" s="408" t="e">
        <f>(1+'[1]ASU - RMSM'!L52)*('1-2-3'!Q$49/'1-2-3'!P$49)/([1]TRA!L$14/[1]TRA!K$14)-1</f>
        <v>#DIV/0!</v>
      </c>
      <c r="M52" s="408" t="e">
        <f>(1+'[1]ASU - RMSM'!M52)*('1-2-3'!R$49/'1-2-3'!Q$49)/([1]TRA!M$14/[1]TRA!L$14)-1</f>
        <v>#DIV/0!</v>
      </c>
      <c r="N52" s="408" t="e">
        <f>(1+'[1]ASU - RMSM'!N52)*('1-2-3'!S$49/'1-2-3'!R$49)/([1]TRA!N$14/[1]TRA!M$14)-1</f>
        <v>#DIV/0!</v>
      </c>
      <c r="O52" s="408" t="e">
        <f>(1+'[1]ASU - RMSM'!O52)*('1-2-3'!T$49/'1-2-3'!S$49)/([1]TRA!O$14/[1]TRA!N$14)-1</f>
        <v>#DIV/0!</v>
      </c>
      <c r="P52" s="408" t="e">
        <f>(1+'[1]ASU - RMSM'!P52)*('1-2-3'!U$49/'1-2-3'!T$49)/([1]TRA!P$14/[1]TRA!O$14)-1</f>
        <v>#DIV/0!</v>
      </c>
      <c r="Q52" s="408" t="e">
        <f>(1+'[1]ASU - RMSM'!Q52)*('1-2-3'!V$49/'1-2-3'!U$49)/([1]TRA!Q$14/[1]TRA!P$14)-1</f>
        <v>#DIV/0!</v>
      </c>
    </row>
    <row r="53" spans="1:17">
      <c r="A53" s="406" t="s">
        <v>2185</v>
      </c>
      <c r="B53" s="406" t="s">
        <v>2151</v>
      </c>
      <c r="C53" s="406"/>
      <c r="D53" s="407"/>
      <c r="E53" s="408">
        <f>(1+'[1]ASU - RMSM'!E53)*('1-2-3'!J$49/'1-2-3'!I$49)/([1]TRA!E$14/[1]TRA!D$14)-1</f>
        <v>3.0595440740832647E-3</v>
      </c>
      <c r="F53" s="408">
        <f>(1+'[1]ASU - RMSM'!F53)*('1-2-3'!K$49/'1-2-3'!J$49)/([1]TRA!F$14/[1]TRA!E$14)-1</f>
        <v>9.1794223098069505E-3</v>
      </c>
      <c r="G53" s="408">
        <f>(1+'[1]ASU - RMSM'!G53)*('1-2-3'!L$49/'1-2-3'!K$49)/([1]TRA!G$14/[1]TRA!F$14)-1</f>
        <v>2.1880148514522135E-2</v>
      </c>
      <c r="H53" s="408">
        <f>(1+'[1]ASU - RMSM'!H53)*('1-2-3'!M$49/'1-2-3'!L$49)/([1]TRA!H$14/[1]TRA!G$14)-1</f>
        <v>-1</v>
      </c>
      <c r="I53" s="408" t="e">
        <f>(1+'[1]ASU - RMSM'!I53)*('1-2-3'!N$49/'1-2-3'!M$49)/([1]TRA!I$14/[1]TRA!H$14)-1</f>
        <v>#DIV/0!</v>
      </c>
      <c r="J53" s="408" t="e">
        <f>(1+'[1]ASU - RMSM'!J53)*('1-2-3'!O$49/'1-2-3'!N$49)/([1]TRA!J$14/[1]TRA!I$14)-1</f>
        <v>#DIV/0!</v>
      </c>
      <c r="K53" s="408" t="e">
        <f>(1+'[1]ASU - RMSM'!K53)*('1-2-3'!P$49/'1-2-3'!O$49)/([1]TRA!K$14/[1]TRA!J$14)-1</f>
        <v>#DIV/0!</v>
      </c>
      <c r="L53" s="408" t="e">
        <f>(1+'[1]ASU - RMSM'!L53)*('1-2-3'!Q$49/'1-2-3'!P$49)/([1]TRA!L$14/[1]TRA!K$14)-1</f>
        <v>#DIV/0!</v>
      </c>
      <c r="M53" s="408" t="e">
        <f>(1+'[1]ASU - RMSM'!M53)*('1-2-3'!R$49/'1-2-3'!Q$49)/([1]TRA!M$14/[1]TRA!L$14)-1</f>
        <v>#DIV/0!</v>
      </c>
      <c r="N53" s="408" t="e">
        <f>(1+'[1]ASU - RMSM'!N53)*('1-2-3'!S$49/'1-2-3'!R$49)/([1]TRA!N$14/[1]TRA!M$14)-1</f>
        <v>#DIV/0!</v>
      </c>
      <c r="O53" s="408" t="e">
        <f>(1+'[1]ASU - RMSM'!O53)*('1-2-3'!T$49/'1-2-3'!S$49)/([1]TRA!O$14/[1]TRA!N$14)-1</f>
        <v>#DIV/0!</v>
      </c>
      <c r="P53" s="408" t="e">
        <f>(1+'[1]ASU - RMSM'!P53)*('1-2-3'!U$49/'1-2-3'!T$49)/([1]TRA!P$14/[1]TRA!O$14)-1</f>
        <v>#DIV/0!</v>
      </c>
      <c r="Q53" s="408" t="e">
        <f>(1+'[1]ASU - RMSM'!Q53)*('1-2-3'!V$49/'1-2-3'!U$49)/([1]TRA!Q$14/[1]TRA!P$14)-1</f>
        <v>#DIV/0!</v>
      </c>
    </row>
    <row r="54" spans="1:17">
      <c r="D54" s="153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</row>
    <row r="55" spans="1:17">
      <c r="B55" s="422" t="s">
        <v>2186</v>
      </c>
      <c r="D55" s="153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</row>
    <row r="56" spans="1:17">
      <c r="B56" s="406" t="s">
        <v>2187</v>
      </c>
      <c r="C56" s="406"/>
      <c r="D56" s="407"/>
      <c r="E56" s="402"/>
      <c r="F56" s="402"/>
      <c r="G56" s="402"/>
      <c r="H56" s="402"/>
      <c r="I56" s="402"/>
      <c r="J56" s="402"/>
      <c r="K56" s="402"/>
      <c r="L56" s="402"/>
      <c r="M56" s="402"/>
      <c r="N56" s="402"/>
      <c r="O56" s="402"/>
      <c r="P56" s="402"/>
      <c r="Q56" s="402"/>
    </row>
    <row r="57" spans="1:17">
      <c r="A57" s="406" t="s">
        <v>2188</v>
      </c>
      <c r="B57" s="406" t="s">
        <v>2189</v>
      </c>
      <c r="C57" s="406"/>
      <c r="D57" s="407" t="s">
        <v>2357</v>
      </c>
      <c r="E57" s="457">
        <f>'[1]ASU - 123'!E57</f>
        <v>0</v>
      </c>
      <c r="F57" s="457">
        <f>'[1]ASU - 123'!F57</f>
        <v>0</v>
      </c>
      <c r="G57" s="457">
        <f>'[1]ASU - 123'!G57</f>
        <v>0</v>
      </c>
      <c r="H57" s="457">
        <f>'[1]ASU - 123'!H57</f>
        <v>0</v>
      </c>
      <c r="I57" s="457">
        <f>'[1]ASU - 123'!I57</f>
        <v>0</v>
      </c>
      <c r="J57" s="457">
        <f>'[1]ASU - 123'!J57</f>
        <v>0</v>
      </c>
      <c r="K57" s="457">
        <f>'[1]ASU - 123'!K57</f>
        <v>0</v>
      </c>
      <c r="L57" s="457">
        <f>'[1]ASU - 123'!L57</f>
        <v>0</v>
      </c>
      <c r="M57" s="457">
        <f>'[1]ASU - 123'!M57</f>
        <v>0</v>
      </c>
      <c r="N57" s="457">
        <f>'[1]ASU - 123'!N57</f>
        <v>0</v>
      </c>
      <c r="O57" s="457">
        <f>'[1]ASU - 123'!O57</f>
        <v>0</v>
      </c>
      <c r="P57" s="457">
        <f>'[1]ASU - 123'!P57</f>
        <v>0</v>
      </c>
      <c r="Q57" s="457">
        <f>'[1]ASU - 123'!Q57</f>
        <v>0</v>
      </c>
    </row>
    <row r="58" spans="1:17">
      <c r="A58" s="406" t="s">
        <v>2190</v>
      </c>
      <c r="B58" s="406" t="s">
        <v>2141</v>
      </c>
      <c r="C58" s="406"/>
      <c r="D58" s="407" t="s">
        <v>2357</v>
      </c>
      <c r="E58" s="457">
        <f>'[1]ASU - 123'!E58</f>
        <v>0</v>
      </c>
      <c r="F58" s="457">
        <f>'[1]ASU - 123'!F58</f>
        <v>0</v>
      </c>
      <c r="G58" s="457">
        <f>'[1]ASU - 123'!G58</f>
        <v>0</v>
      </c>
      <c r="H58" s="457">
        <f>'[1]ASU - 123'!H58</f>
        <v>0</v>
      </c>
      <c r="I58" s="457">
        <f>'[1]ASU - 123'!I58</f>
        <v>0</v>
      </c>
      <c r="J58" s="457">
        <f>'[1]ASU - 123'!J58</f>
        <v>0</v>
      </c>
      <c r="K58" s="457">
        <f>'[1]ASU - 123'!K58</f>
        <v>0</v>
      </c>
      <c r="L58" s="457">
        <f>'[1]ASU - 123'!L58</f>
        <v>0</v>
      </c>
      <c r="M58" s="457">
        <f>'[1]ASU - 123'!M58</f>
        <v>0</v>
      </c>
      <c r="N58" s="457">
        <f>'[1]ASU - 123'!N58</f>
        <v>0</v>
      </c>
      <c r="O58" s="457">
        <f>'[1]ASU - 123'!O58</f>
        <v>0</v>
      </c>
      <c r="P58" s="457">
        <f>'[1]ASU - 123'!P58</f>
        <v>0</v>
      </c>
      <c r="Q58" s="457">
        <f>'[1]ASU - 123'!Q58</f>
        <v>0</v>
      </c>
    </row>
    <row r="59" spans="1:17">
      <c r="A59" s="406" t="s">
        <v>2191</v>
      </c>
      <c r="B59" s="406" t="s">
        <v>2143</v>
      </c>
      <c r="C59" s="406"/>
      <c r="D59" s="407" t="s">
        <v>2357</v>
      </c>
      <c r="E59" s="457">
        <f>'[1]ASU - 123'!E59</f>
        <v>0</v>
      </c>
      <c r="F59" s="457">
        <f>'[1]ASU - 123'!F59</f>
        <v>0</v>
      </c>
      <c r="G59" s="457">
        <f>'[1]ASU - 123'!G59</f>
        <v>0</v>
      </c>
      <c r="H59" s="457">
        <f>'[1]ASU - 123'!H59</f>
        <v>0</v>
      </c>
      <c r="I59" s="457">
        <f>'[1]ASU - 123'!I59</f>
        <v>0</v>
      </c>
      <c r="J59" s="457">
        <f>'[1]ASU - 123'!J59</f>
        <v>0</v>
      </c>
      <c r="K59" s="457">
        <f>'[1]ASU - 123'!K59</f>
        <v>0</v>
      </c>
      <c r="L59" s="457">
        <f>'[1]ASU - 123'!L59</f>
        <v>0</v>
      </c>
      <c r="M59" s="457">
        <f>'[1]ASU - 123'!M59</f>
        <v>0</v>
      </c>
      <c r="N59" s="457">
        <f>'[1]ASU - 123'!N59</f>
        <v>0</v>
      </c>
      <c r="O59" s="457">
        <f>'[1]ASU - 123'!O59</f>
        <v>0</v>
      </c>
      <c r="P59" s="457">
        <f>'[1]ASU - 123'!P59</f>
        <v>0</v>
      </c>
      <c r="Q59" s="457">
        <f>'[1]ASU - 123'!Q59</f>
        <v>0</v>
      </c>
    </row>
    <row r="60" spans="1:17">
      <c r="A60" s="406" t="s">
        <v>2192</v>
      </c>
      <c r="B60" s="406" t="s">
        <v>2145</v>
      </c>
      <c r="C60" s="406"/>
      <c r="D60" s="407" t="s">
        <v>2357</v>
      </c>
      <c r="E60" s="457">
        <f>'[1]ASU - 123'!E60</f>
        <v>0</v>
      </c>
      <c r="F60" s="457">
        <f>'[1]ASU - 123'!F60</f>
        <v>0</v>
      </c>
      <c r="G60" s="457">
        <f>'[1]ASU - 123'!G60</f>
        <v>0</v>
      </c>
      <c r="H60" s="457">
        <f>'[1]ASU - 123'!H60</f>
        <v>0</v>
      </c>
      <c r="I60" s="457">
        <f>'[1]ASU - 123'!I60</f>
        <v>0</v>
      </c>
      <c r="J60" s="457">
        <f>'[1]ASU - 123'!J60</f>
        <v>0</v>
      </c>
      <c r="K60" s="457">
        <f>'[1]ASU - 123'!K60</f>
        <v>0</v>
      </c>
      <c r="L60" s="457">
        <f>'[1]ASU - 123'!L60</f>
        <v>0</v>
      </c>
      <c r="M60" s="457">
        <f>'[1]ASU - 123'!M60</f>
        <v>0</v>
      </c>
      <c r="N60" s="457">
        <f>'[1]ASU - 123'!N60</f>
        <v>0</v>
      </c>
      <c r="O60" s="457">
        <f>'[1]ASU - 123'!O60</f>
        <v>0</v>
      </c>
      <c r="P60" s="457">
        <f>'[1]ASU - 123'!P60</f>
        <v>0</v>
      </c>
      <c r="Q60" s="457">
        <f>'[1]ASU - 123'!Q60</f>
        <v>0</v>
      </c>
    </row>
    <row r="61" spans="1:17">
      <c r="A61" s="406" t="s">
        <v>2193</v>
      </c>
      <c r="B61" s="406" t="s">
        <v>2147</v>
      </c>
      <c r="C61" s="406"/>
      <c r="D61" s="407" t="s">
        <v>2357</v>
      </c>
      <c r="E61" s="457">
        <f>'[1]ASU - 123'!E61</f>
        <v>0</v>
      </c>
      <c r="F61" s="457">
        <f>'[1]ASU - 123'!F61</f>
        <v>0</v>
      </c>
      <c r="G61" s="457">
        <f>'[1]ASU - 123'!G61</f>
        <v>0</v>
      </c>
      <c r="H61" s="457">
        <f>'[1]ASU - 123'!H61</f>
        <v>0</v>
      </c>
      <c r="I61" s="457">
        <f>'[1]ASU - 123'!I61</f>
        <v>0</v>
      </c>
      <c r="J61" s="457">
        <f>'[1]ASU - 123'!J61</f>
        <v>0</v>
      </c>
      <c r="K61" s="457">
        <f>'[1]ASU - 123'!K61</f>
        <v>0</v>
      </c>
      <c r="L61" s="457">
        <f>'[1]ASU - 123'!L61</f>
        <v>0</v>
      </c>
      <c r="M61" s="457">
        <f>'[1]ASU - 123'!M61</f>
        <v>0</v>
      </c>
      <c r="N61" s="457">
        <f>'[1]ASU - 123'!N61</f>
        <v>0</v>
      </c>
      <c r="O61" s="457">
        <f>'[1]ASU - 123'!O61</f>
        <v>0</v>
      </c>
      <c r="P61" s="457">
        <f>'[1]ASU - 123'!P61</f>
        <v>0</v>
      </c>
      <c r="Q61" s="457">
        <f>'[1]ASU - 123'!Q61</f>
        <v>0</v>
      </c>
    </row>
    <row r="62" spans="1:17">
      <c r="A62" s="406" t="s">
        <v>2194</v>
      </c>
      <c r="B62" s="406" t="s">
        <v>2149</v>
      </c>
      <c r="C62" s="406"/>
      <c r="D62" s="407" t="s">
        <v>2357</v>
      </c>
      <c r="E62" s="457">
        <f>'[1]ASU - 123'!E62</f>
        <v>0</v>
      </c>
      <c r="F62" s="457">
        <f>'[1]ASU - 123'!F62</f>
        <v>0</v>
      </c>
      <c r="G62" s="457">
        <f>'[1]ASU - 123'!G62</f>
        <v>0</v>
      </c>
      <c r="H62" s="457">
        <f>'[1]ASU - 123'!H62</f>
        <v>0</v>
      </c>
      <c r="I62" s="457">
        <f>'[1]ASU - 123'!I62</f>
        <v>0</v>
      </c>
      <c r="J62" s="457">
        <f>'[1]ASU - 123'!J62</f>
        <v>0</v>
      </c>
      <c r="K62" s="457">
        <f>'[1]ASU - 123'!K62</f>
        <v>0</v>
      </c>
      <c r="L62" s="457">
        <f>'[1]ASU - 123'!L62</f>
        <v>0</v>
      </c>
      <c r="M62" s="457">
        <f>'[1]ASU - 123'!M62</f>
        <v>0</v>
      </c>
      <c r="N62" s="457">
        <f>'[1]ASU - 123'!N62</f>
        <v>0</v>
      </c>
      <c r="O62" s="457">
        <f>'[1]ASU - 123'!O62</f>
        <v>0</v>
      </c>
      <c r="P62" s="457">
        <f>'[1]ASU - 123'!P62</f>
        <v>0</v>
      </c>
      <c r="Q62" s="457">
        <f>'[1]ASU - 123'!Q62</f>
        <v>0</v>
      </c>
    </row>
    <row r="63" spans="1:17">
      <c r="A63" s="406" t="s">
        <v>2195</v>
      </c>
      <c r="B63" s="406" t="s">
        <v>2151</v>
      </c>
      <c r="C63" s="406"/>
      <c r="D63" s="407" t="s">
        <v>2357</v>
      </c>
      <c r="E63" s="457">
        <f>'[1]ASU - 123'!E63</f>
        <v>0</v>
      </c>
      <c r="F63" s="457">
        <f>'[1]ASU - 123'!F63</f>
        <v>0</v>
      </c>
      <c r="G63" s="457">
        <f>'[1]ASU - 123'!G63</f>
        <v>0</v>
      </c>
      <c r="H63" s="457">
        <f>'[1]ASU - 123'!H63</f>
        <v>0</v>
      </c>
      <c r="I63" s="457">
        <f>'[1]ASU - 123'!I63</f>
        <v>0</v>
      </c>
      <c r="J63" s="457">
        <f>'[1]ASU - 123'!J63</f>
        <v>0</v>
      </c>
      <c r="K63" s="457">
        <f>'[1]ASU - 123'!K63</f>
        <v>0</v>
      </c>
      <c r="L63" s="457">
        <f>'[1]ASU - 123'!L63</f>
        <v>0</v>
      </c>
      <c r="M63" s="457">
        <f>'[1]ASU - 123'!M63</f>
        <v>0</v>
      </c>
      <c r="N63" s="457">
        <f>'[1]ASU - 123'!N63</f>
        <v>0</v>
      </c>
      <c r="O63" s="457">
        <f>'[1]ASU - 123'!O63</f>
        <v>0</v>
      </c>
      <c r="P63" s="457">
        <f>'[1]ASU - 123'!P63</f>
        <v>0</v>
      </c>
      <c r="Q63" s="457">
        <f>'[1]ASU - 123'!Q63</f>
        <v>0</v>
      </c>
    </row>
    <row r="64" spans="1:17">
      <c r="D64" s="407"/>
      <c r="E64" s="458"/>
      <c r="F64" s="458"/>
      <c r="G64" s="458"/>
      <c r="H64" s="458"/>
      <c r="I64" s="458"/>
      <c r="J64" s="458"/>
      <c r="K64" s="458"/>
      <c r="L64" s="458"/>
      <c r="M64" s="458"/>
      <c r="N64" s="458"/>
      <c r="O64" s="458"/>
      <c r="P64" s="458"/>
      <c r="Q64" s="458"/>
    </row>
    <row r="65" spans="1:17">
      <c r="B65" s="406" t="s">
        <v>2196</v>
      </c>
      <c r="C65" s="406"/>
      <c r="D65" s="407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</row>
    <row r="66" spans="1:17">
      <c r="A66" s="406" t="s">
        <v>2197</v>
      </c>
      <c r="B66" s="406" t="s">
        <v>2175</v>
      </c>
      <c r="C66" s="406"/>
      <c r="D66" s="407" t="s">
        <v>2357</v>
      </c>
      <c r="E66" s="457">
        <f>'[1]ASU - 123'!E66</f>
        <v>0</v>
      </c>
      <c r="F66" s="457">
        <f>'[1]ASU - 123'!F66</f>
        <v>0</v>
      </c>
      <c r="G66" s="457">
        <f>'[1]ASU - 123'!G66</f>
        <v>0</v>
      </c>
      <c r="H66" s="457">
        <f>'[1]ASU - 123'!H66</f>
        <v>0</v>
      </c>
      <c r="I66" s="457">
        <f>'[1]ASU - 123'!I66</f>
        <v>0</v>
      </c>
      <c r="J66" s="457">
        <f>'[1]ASU - 123'!J66</f>
        <v>0</v>
      </c>
      <c r="K66" s="457">
        <f>'[1]ASU - 123'!K66</f>
        <v>0</v>
      </c>
      <c r="L66" s="457">
        <f>'[1]ASU - 123'!L66</f>
        <v>0</v>
      </c>
      <c r="M66" s="457">
        <f>'[1]ASU - 123'!M66</f>
        <v>0</v>
      </c>
      <c r="N66" s="457">
        <f>'[1]ASU - 123'!N66</f>
        <v>0</v>
      </c>
      <c r="O66" s="457">
        <f>'[1]ASU - 123'!O66</f>
        <v>0</v>
      </c>
      <c r="P66" s="457">
        <f>'[1]ASU - 123'!P66</f>
        <v>0</v>
      </c>
      <c r="Q66" s="457">
        <f>'[1]ASU - 123'!Q66</f>
        <v>0</v>
      </c>
    </row>
    <row r="67" spans="1:17">
      <c r="A67" s="406" t="s">
        <v>2198</v>
      </c>
      <c r="B67" s="406" t="s">
        <v>2177</v>
      </c>
      <c r="C67" s="406"/>
      <c r="D67" s="407" t="s">
        <v>2357</v>
      </c>
      <c r="E67" s="457">
        <f>'[1]ASU - 123'!E67</f>
        <v>0</v>
      </c>
      <c r="F67" s="457">
        <f>'[1]ASU - 123'!F67</f>
        <v>0</v>
      </c>
      <c r="G67" s="457">
        <f>'[1]ASU - 123'!G67</f>
        <v>0</v>
      </c>
      <c r="H67" s="457">
        <f>'[1]ASU - 123'!H67</f>
        <v>0</v>
      </c>
      <c r="I67" s="457">
        <f>'[1]ASU - 123'!I67</f>
        <v>0</v>
      </c>
      <c r="J67" s="457">
        <f>'[1]ASU - 123'!J67</f>
        <v>0</v>
      </c>
      <c r="K67" s="457">
        <f>'[1]ASU - 123'!K67</f>
        <v>0</v>
      </c>
      <c r="L67" s="457">
        <f>'[1]ASU - 123'!L67</f>
        <v>0</v>
      </c>
      <c r="M67" s="457">
        <f>'[1]ASU - 123'!M67</f>
        <v>0</v>
      </c>
      <c r="N67" s="457">
        <f>'[1]ASU - 123'!N67</f>
        <v>0</v>
      </c>
      <c r="O67" s="457">
        <f>'[1]ASU - 123'!O67</f>
        <v>0</v>
      </c>
      <c r="P67" s="457">
        <f>'[1]ASU - 123'!P67</f>
        <v>0</v>
      </c>
      <c r="Q67" s="457">
        <f>'[1]ASU - 123'!Q67</f>
        <v>0</v>
      </c>
    </row>
    <row r="68" spans="1:17">
      <c r="A68" s="406" t="s">
        <v>2199</v>
      </c>
      <c r="B68" s="406" t="s">
        <v>2179</v>
      </c>
      <c r="C68" s="406"/>
      <c r="D68" s="407" t="s">
        <v>2357</v>
      </c>
      <c r="E68" s="457">
        <f>'[1]ASU - 123'!E68</f>
        <v>0</v>
      </c>
      <c r="F68" s="457">
        <f>'[1]ASU - 123'!F68</f>
        <v>0</v>
      </c>
      <c r="G68" s="457">
        <f>'[1]ASU - 123'!G68</f>
        <v>0</v>
      </c>
      <c r="H68" s="457">
        <f>'[1]ASU - 123'!H68</f>
        <v>0</v>
      </c>
      <c r="I68" s="457">
        <f>'[1]ASU - 123'!I68</f>
        <v>0</v>
      </c>
      <c r="J68" s="457">
        <f>'[1]ASU - 123'!J68</f>
        <v>0</v>
      </c>
      <c r="K68" s="457">
        <f>'[1]ASU - 123'!K68</f>
        <v>0</v>
      </c>
      <c r="L68" s="457">
        <f>'[1]ASU - 123'!L68</f>
        <v>0</v>
      </c>
      <c r="M68" s="457">
        <f>'[1]ASU - 123'!M68</f>
        <v>0</v>
      </c>
      <c r="N68" s="457">
        <f>'[1]ASU - 123'!N68</f>
        <v>0</v>
      </c>
      <c r="O68" s="457">
        <f>'[1]ASU - 123'!O68</f>
        <v>0</v>
      </c>
      <c r="P68" s="457">
        <f>'[1]ASU - 123'!P68</f>
        <v>0</v>
      </c>
      <c r="Q68" s="457">
        <f>'[1]ASU - 123'!Q68</f>
        <v>0</v>
      </c>
    </row>
    <row r="69" spans="1:17">
      <c r="A69" s="406" t="s">
        <v>2200</v>
      </c>
      <c r="B69" s="406" t="s">
        <v>2181</v>
      </c>
      <c r="C69" s="406"/>
      <c r="D69" s="407" t="s">
        <v>2357</v>
      </c>
      <c r="E69" s="457">
        <f>'[1]ASU - 123'!E69</f>
        <v>0</v>
      </c>
      <c r="F69" s="457">
        <f>'[1]ASU - 123'!F69</f>
        <v>0</v>
      </c>
      <c r="G69" s="457">
        <f>'[1]ASU - 123'!G69</f>
        <v>0</v>
      </c>
      <c r="H69" s="457">
        <f>'[1]ASU - 123'!H69</f>
        <v>0</v>
      </c>
      <c r="I69" s="457">
        <f>'[1]ASU - 123'!I69</f>
        <v>0</v>
      </c>
      <c r="J69" s="457">
        <f>'[1]ASU - 123'!J69</f>
        <v>0</v>
      </c>
      <c r="K69" s="457">
        <f>'[1]ASU - 123'!K69</f>
        <v>0</v>
      </c>
      <c r="L69" s="457">
        <f>'[1]ASU - 123'!L69</f>
        <v>0</v>
      </c>
      <c r="M69" s="457">
        <f>'[1]ASU - 123'!M69</f>
        <v>0</v>
      </c>
      <c r="N69" s="457">
        <f>'[1]ASU - 123'!N69</f>
        <v>0</v>
      </c>
      <c r="O69" s="457">
        <f>'[1]ASU - 123'!O69</f>
        <v>0</v>
      </c>
      <c r="P69" s="457">
        <f>'[1]ASU - 123'!P69</f>
        <v>0</v>
      </c>
      <c r="Q69" s="457">
        <f>'[1]ASU - 123'!Q69</f>
        <v>0</v>
      </c>
    </row>
    <row r="70" spans="1:17">
      <c r="A70" s="406"/>
      <c r="B70" s="406" t="s">
        <v>2201</v>
      </c>
      <c r="C70" s="406"/>
      <c r="D70" s="407" t="s">
        <v>2357</v>
      </c>
      <c r="E70" s="457">
        <f>'[1]ASU - 123'!E70</f>
        <v>0</v>
      </c>
      <c r="F70" s="457">
        <f>'[1]ASU - 123'!F70</f>
        <v>0</v>
      </c>
      <c r="G70" s="457">
        <f>'[1]ASU - 123'!G70</f>
        <v>0</v>
      </c>
      <c r="H70" s="457">
        <f>'[1]ASU - 123'!H70</f>
        <v>0</v>
      </c>
      <c r="I70" s="457">
        <f>'[1]ASU - 123'!I70</f>
        <v>0</v>
      </c>
      <c r="J70" s="457">
        <f>'[1]ASU - 123'!J70</f>
        <v>0</v>
      </c>
      <c r="K70" s="457">
        <f>'[1]ASU - 123'!K70</f>
        <v>0</v>
      </c>
      <c r="L70" s="457">
        <f>'[1]ASU - 123'!L70</f>
        <v>0</v>
      </c>
      <c r="M70" s="457">
        <f>'[1]ASU - 123'!M70</f>
        <v>0</v>
      </c>
      <c r="N70" s="457">
        <f>'[1]ASU - 123'!N70</f>
        <v>0</v>
      </c>
      <c r="O70" s="457">
        <f>'[1]ASU - 123'!O70</f>
        <v>0</v>
      </c>
      <c r="P70" s="457">
        <f>'[1]ASU - 123'!P70</f>
        <v>0</v>
      </c>
      <c r="Q70" s="457">
        <f>'[1]ASU - 123'!Q70</f>
        <v>0</v>
      </c>
    </row>
    <row r="71" spans="1:17">
      <c r="A71" s="406" t="s">
        <v>2202</v>
      </c>
      <c r="B71" s="406" t="s">
        <v>2203</v>
      </c>
      <c r="C71" s="406"/>
      <c r="D71" s="407" t="s">
        <v>2357</v>
      </c>
      <c r="E71" s="457">
        <f>'[1]ASU - 123'!E71</f>
        <v>0</v>
      </c>
      <c r="F71" s="457">
        <f>'[1]ASU - 123'!F71</f>
        <v>0</v>
      </c>
      <c r="G71" s="457">
        <f>'[1]ASU - 123'!G71</f>
        <v>0</v>
      </c>
      <c r="H71" s="457">
        <f>'[1]ASU - 123'!H71</f>
        <v>0</v>
      </c>
      <c r="I71" s="457">
        <f>'[1]ASU - 123'!I71</f>
        <v>0</v>
      </c>
      <c r="J71" s="457">
        <f>'[1]ASU - 123'!J71</f>
        <v>0</v>
      </c>
      <c r="K71" s="457">
        <f>'[1]ASU - 123'!K71</f>
        <v>0</v>
      </c>
      <c r="L71" s="457">
        <f>'[1]ASU - 123'!L71</f>
        <v>0</v>
      </c>
      <c r="M71" s="457">
        <f>'[1]ASU - 123'!M71</f>
        <v>0</v>
      </c>
      <c r="N71" s="457">
        <f>'[1]ASU - 123'!N71</f>
        <v>0</v>
      </c>
      <c r="O71" s="457">
        <f>'[1]ASU - 123'!O71</f>
        <v>0</v>
      </c>
      <c r="P71" s="457">
        <f>'[1]ASU - 123'!P71</f>
        <v>0</v>
      </c>
      <c r="Q71" s="457">
        <f>'[1]ASU - 123'!Q71</f>
        <v>0</v>
      </c>
    </row>
    <row r="72" spans="1:17">
      <c r="A72" s="406" t="s">
        <v>2204</v>
      </c>
      <c r="B72" s="406" t="s">
        <v>2205</v>
      </c>
      <c r="C72" s="406"/>
      <c r="D72" s="407" t="s">
        <v>2357</v>
      </c>
      <c r="E72" s="457">
        <f>'[1]ASU - 123'!E72</f>
        <v>0</v>
      </c>
      <c r="F72" s="457">
        <f>'[1]ASU - 123'!F72</f>
        <v>0</v>
      </c>
      <c r="G72" s="457">
        <f>'[1]ASU - 123'!G72</f>
        <v>0</v>
      </c>
      <c r="H72" s="457">
        <f>'[1]ASU - 123'!H72</f>
        <v>0</v>
      </c>
      <c r="I72" s="457">
        <f>'[1]ASU - 123'!I72</f>
        <v>0</v>
      </c>
      <c r="J72" s="457">
        <f>'[1]ASU - 123'!J72</f>
        <v>0</v>
      </c>
      <c r="K72" s="457">
        <f>'[1]ASU - 123'!K72</f>
        <v>0</v>
      </c>
      <c r="L72" s="457">
        <f>'[1]ASU - 123'!L72</f>
        <v>0</v>
      </c>
      <c r="M72" s="457">
        <f>'[1]ASU - 123'!M72</f>
        <v>0</v>
      </c>
      <c r="N72" s="457">
        <f>'[1]ASU - 123'!N72</f>
        <v>0</v>
      </c>
      <c r="O72" s="457">
        <f>'[1]ASU - 123'!O72</f>
        <v>0</v>
      </c>
      <c r="P72" s="457">
        <f>'[1]ASU - 123'!P72</f>
        <v>0</v>
      </c>
      <c r="Q72" s="457">
        <f>'[1]ASU - 123'!Q72</f>
        <v>0</v>
      </c>
    </row>
    <row r="73" spans="1:17">
      <c r="A73" s="406" t="s">
        <v>2206</v>
      </c>
      <c r="B73" s="406" t="s">
        <v>2207</v>
      </c>
      <c r="C73" s="406"/>
      <c r="D73" s="407" t="s">
        <v>2357</v>
      </c>
      <c r="E73" s="457">
        <f>'[1]ASU - 123'!E73</f>
        <v>0</v>
      </c>
      <c r="F73" s="457">
        <f>'[1]ASU - 123'!F73</f>
        <v>0</v>
      </c>
      <c r="G73" s="457">
        <f>'[1]ASU - 123'!G73</f>
        <v>0</v>
      </c>
      <c r="H73" s="457">
        <f>'[1]ASU - 123'!H73</f>
        <v>0</v>
      </c>
      <c r="I73" s="457">
        <f>'[1]ASU - 123'!I73</f>
        <v>0</v>
      </c>
      <c r="J73" s="457">
        <f>'[1]ASU - 123'!J73</f>
        <v>0</v>
      </c>
      <c r="K73" s="457">
        <f>'[1]ASU - 123'!K73</f>
        <v>0</v>
      </c>
      <c r="L73" s="457">
        <f>'[1]ASU - 123'!L73</f>
        <v>0</v>
      </c>
      <c r="M73" s="457">
        <f>'[1]ASU - 123'!M73</f>
        <v>0</v>
      </c>
      <c r="N73" s="457">
        <f>'[1]ASU - 123'!N73</f>
        <v>0</v>
      </c>
      <c r="O73" s="457">
        <f>'[1]ASU - 123'!O73</f>
        <v>0</v>
      </c>
      <c r="P73" s="457">
        <f>'[1]ASU - 123'!P73</f>
        <v>0</v>
      </c>
      <c r="Q73" s="457">
        <f>'[1]ASU - 123'!Q73</f>
        <v>0</v>
      </c>
    </row>
    <row r="74" spans="1:17">
      <c r="D74" s="153"/>
      <c r="E74" s="458"/>
      <c r="F74" s="458"/>
      <c r="G74" s="458"/>
      <c r="H74" s="458"/>
      <c r="I74" s="458"/>
      <c r="J74" s="458"/>
      <c r="K74" s="458"/>
      <c r="L74" s="458"/>
      <c r="M74" s="458"/>
      <c r="N74" s="458"/>
      <c r="O74" s="458"/>
      <c r="P74" s="458"/>
      <c r="Q74" s="458"/>
    </row>
    <row r="75" spans="1:17">
      <c r="B75" s="424" t="s">
        <v>2208</v>
      </c>
      <c r="C75" s="406"/>
      <c r="D75" s="407"/>
      <c r="E75" s="458"/>
      <c r="F75" s="458"/>
      <c r="G75" s="458"/>
      <c r="H75" s="458"/>
      <c r="I75" s="458"/>
      <c r="J75" s="458"/>
      <c r="K75" s="458"/>
      <c r="L75" s="458"/>
      <c r="M75" s="458"/>
      <c r="N75" s="458"/>
      <c r="O75" s="458"/>
      <c r="P75" s="458"/>
      <c r="Q75" s="458"/>
    </row>
    <row r="76" spans="1:17">
      <c r="B76" s="406" t="s">
        <v>2209</v>
      </c>
      <c r="C76" s="406"/>
      <c r="D76" s="407"/>
      <c r="E76" s="458"/>
      <c r="F76" s="458"/>
      <c r="G76" s="458"/>
      <c r="H76" s="458"/>
      <c r="I76" s="458"/>
      <c r="J76" s="458"/>
      <c r="K76" s="458"/>
      <c r="L76" s="458"/>
      <c r="M76" s="458"/>
      <c r="N76" s="458"/>
      <c r="O76" s="458"/>
      <c r="P76" s="458"/>
      <c r="Q76" s="458"/>
    </row>
    <row r="77" spans="1:17">
      <c r="A77" s="406" t="s">
        <v>2210</v>
      </c>
      <c r="B77" s="406" t="s">
        <v>2211</v>
      </c>
      <c r="C77" s="406"/>
      <c r="D77" s="407"/>
      <c r="E77" s="457">
        <f>'[1]ASU - 123'!E77</f>
        <v>0.21992544900033884</v>
      </c>
      <c r="F77" s="457">
        <f>'[1]ASU - 123'!F77</f>
        <v>3.7037037037036979E-2</v>
      </c>
      <c r="G77" s="457">
        <f>'[1]ASU - 123'!G77</f>
        <v>3.5714285714285809E-2</v>
      </c>
      <c r="H77" s="457">
        <f>'[1]ASU - 123'!H77</f>
        <v>3.8068498171749621E-2</v>
      </c>
      <c r="I77" s="457">
        <f>'[1]ASU - 123'!I77</f>
        <v>3.8068498171749621E-2</v>
      </c>
      <c r="J77" s="457">
        <f>'[1]ASU - 123'!J77</f>
        <v>7.8749885178921505E-3</v>
      </c>
      <c r="K77" s="457">
        <f>'[1]ASU - 123'!K77</f>
        <v>7.8749885178921505E-3</v>
      </c>
      <c r="L77" s="457">
        <f>'[1]ASU - 123'!L77</f>
        <v>7.8749885178921505E-3</v>
      </c>
      <c r="M77" s="457">
        <f>'[1]ASU - 123'!M77</f>
        <v>7.8749885178921505E-3</v>
      </c>
      <c r="N77" s="457">
        <f>'[1]ASU - 123'!N77</f>
        <v>7.8749885178921505E-3</v>
      </c>
      <c r="O77" s="457">
        <f>'[1]ASU - 123'!O77</f>
        <v>7.8749885178921505E-3</v>
      </c>
      <c r="P77" s="457">
        <f>'[1]ASU - 123'!P77</f>
        <v>7.8749885178921505E-3</v>
      </c>
      <c r="Q77" s="457">
        <f>'[1]ASU - 123'!Q77</f>
        <v>7.8749885178921505E-3</v>
      </c>
    </row>
    <row r="78" spans="1:17">
      <c r="A78" s="406" t="s">
        <v>2212</v>
      </c>
      <c r="B78" s="406" t="s">
        <v>2141</v>
      </c>
      <c r="C78" s="406"/>
      <c r="D78" s="407"/>
      <c r="E78" s="457">
        <f>'[1]ASU - 123'!E78</f>
        <v>5.8774449368238058E-2</v>
      </c>
      <c r="F78" s="457">
        <f>'[1]ASU - 123'!F78</f>
        <v>3.0615856389651697E-2</v>
      </c>
      <c r="G78" s="457">
        <f>'[1]ASU - 123'!G78</f>
        <v>2.4424079978598634E-2</v>
      </c>
      <c r="H78" s="457">
        <f>'[1]ASU - 123'!H78</f>
        <v>2.2228007971235808E-2</v>
      </c>
      <c r="I78" s="457">
        <f>'[1]ASU - 123'!I78</f>
        <v>2.0396556880277306E-2</v>
      </c>
      <c r="J78" s="457">
        <f>'[1]ASU - 123'!J78</f>
        <v>2.0396556880277306E-2</v>
      </c>
      <c r="K78" s="457">
        <f>'[1]ASU - 123'!K78</f>
        <v>2.0396556880277306E-2</v>
      </c>
      <c r="L78" s="457">
        <f>'[1]ASU - 123'!L78</f>
        <v>2.0396556880277306E-2</v>
      </c>
      <c r="M78" s="457">
        <f>'[1]ASU - 123'!M78</f>
        <v>2.0396556880277306E-2</v>
      </c>
      <c r="N78" s="457">
        <f>'[1]ASU - 123'!N78</f>
        <v>2.0396556880277306E-2</v>
      </c>
      <c r="O78" s="457">
        <f>'[1]ASU - 123'!O78</f>
        <v>2.0396556880277306E-2</v>
      </c>
      <c r="P78" s="457">
        <f>'[1]ASU - 123'!P78</f>
        <v>2.0396556880277306E-2</v>
      </c>
      <c r="Q78" s="457">
        <f>'[1]ASU - 123'!Q78</f>
        <v>2.0396556880277306E-2</v>
      </c>
    </row>
    <row r="79" spans="1:17">
      <c r="A79" s="406" t="s">
        <v>2213</v>
      </c>
      <c r="B79" s="406" t="s">
        <v>2214</v>
      </c>
      <c r="C79" s="406"/>
      <c r="D79" s="407"/>
      <c r="E79" s="457">
        <f>'[1]ASU - 123'!E79</f>
        <v>7.0377308001070338E-2</v>
      </c>
      <c r="F79" s="457">
        <f>'[1]ASU - 123'!F79</f>
        <v>8.3333333333333259E-2</v>
      </c>
      <c r="G79" s="457">
        <f>'[1]ASU - 123'!G79</f>
        <v>3.076923076923066E-2</v>
      </c>
      <c r="H79" s="457">
        <f>'[1]ASU - 123'!H79</f>
        <v>2.2142905567995808E-2</v>
      </c>
      <c r="I79" s="457">
        <f>'[1]ASU - 123'!I79</f>
        <v>2.2142905567995808E-2</v>
      </c>
      <c r="J79" s="457">
        <f>'[1]ASU - 123'!J79</f>
        <v>1.3894214014664508E-2</v>
      </c>
      <c r="K79" s="457">
        <f>'[1]ASU - 123'!K79</f>
        <v>1.3894214014664508E-2</v>
      </c>
      <c r="L79" s="457">
        <f>'[1]ASU - 123'!L79</f>
        <v>1.3894214014664508E-2</v>
      </c>
      <c r="M79" s="457">
        <f>'[1]ASU - 123'!M79</f>
        <v>1.3894214014664508E-2</v>
      </c>
      <c r="N79" s="457">
        <f>'[1]ASU - 123'!N79</f>
        <v>1.3894214014664508E-2</v>
      </c>
      <c r="O79" s="457">
        <f>'[1]ASU - 123'!O79</f>
        <v>1.3894214014664508E-2</v>
      </c>
      <c r="P79" s="457">
        <f>'[1]ASU - 123'!P79</f>
        <v>1.3894214014664508E-2</v>
      </c>
      <c r="Q79" s="457">
        <f>'[1]ASU - 123'!Q79</f>
        <v>1.3894214014664508E-2</v>
      </c>
    </row>
    <row r="80" spans="1:17">
      <c r="A80" s="406" t="s">
        <v>2215</v>
      </c>
      <c r="B80" s="406" t="s">
        <v>2145</v>
      </c>
      <c r="C80" s="406"/>
      <c r="D80" s="407"/>
      <c r="E80" s="457">
        <f>'[1]ASU - 123'!E80</f>
        <v>5.8774449368238058E-2</v>
      </c>
      <c r="F80" s="457">
        <f>'[1]ASU - 123'!F80</f>
        <v>3.0615856389651697E-2</v>
      </c>
      <c r="G80" s="457">
        <f>'[1]ASU - 123'!G80</f>
        <v>2.4424079978598634E-2</v>
      </c>
      <c r="H80" s="457">
        <f>'[1]ASU - 123'!H80</f>
        <v>2.2228007971235808E-2</v>
      </c>
      <c r="I80" s="457">
        <f>'[1]ASU - 123'!I80</f>
        <v>2.0396556880277306E-2</v>
      </c>
      <c r="J80" s="457">
        <f>'[1]ASU - 123'!J80</f>
        <v>2.0396556880277306E-2</v>
      </c>
      <c r="K80" s="457">
        <f>'[1]ASU - 123'!K80</f>
        <v>2.0396556880277306E-2</v>
      </c>
      <c r="L80" s="457">
        <f>'[1]ASU - 123'!L80</f>
        <v>2.0396556880277306E-2</v>
      </c>
      <c r="M80" s="457">
        <f>'[1]ASU - 123'!M80</f>
        <v>2.0396556880277306E-2</v>
      </c>
      <c r="N80" s="457">
        <f>'[1]ASU - 123'!N80</f>
        <v>2.0396556880277306E-2</v>
      </c>
      <c r="O80" s="457">
        <f>'[1]ASU - 123'!O80</f>
        <v>2.0396556880277306E-2</v>
      </c>
      <c r="P80" s="457">
        <f>'[1]ASU - 123'!P80</f>
        <v>2.0396556880277306E-2</v>
      </c>
      <c r="Q80" s="457">
        <f>'[1]ASU - 123'!Q80</f>
        <v>2.0396556880277306E-2</v>
      </c>
    </row>
    <row r="81" spans="1:17">
      <c r="A81" s="406" t="s">
        <v>2216</v>
      </c>
      <c r="B81" s="406" t="s">
        <v>2147</v>
      </c>
      <c r="C81" s="406"/>
      <c r="D81" s="407" t="s">
        <v>2217</v>
      </c>
      <c r="E81" s="457">
        <f>'[1]ASU - 123'!E81</f>
        <v>-0.11441728657456607</v>
      </c>
      <c r="F81" s="457">
        <f>'[1]ASU - 123'!F81</f>
        <v>-0.16</v>
      </c>
      <c r="G81" s="457">
        <f>'[1]ASU - 123'!G81</f>
        <v>-4.7619047619047672E-2</v>
      </c>
      <c r="H81" s="457">
        <f>'[1]ASU - 123'!H81</f>
        <v>-5.1316701949486232E-2</v>
      </c>
      <c r="I81" s="457">
        <f>'[1]ASU - 123'!I81</f>
        <v>-5.1316701949486232E-2</v>
      </c>
      <c r="J81" s="457">
        <f>'[1]ASU - 123'!J81</f>
        <v>1.087212085035083E-2</v>
      </c>
      <c r="K81" s="457">
        <f>'[1]ASU - 123'!K81</f>
        <v>1.087212085035083E-2</v>
      </c>
      <c r="L81" s="457">
        <f>'[1]ASU - 123'!L81</f>
        <v>1.087212085035083E-2</v>
      </c>
      <c r="M81" s="457">
        <f>'[1]ASU - 123'!M81</f>
        <v>1.087212085035083E-2</v>
      </c>
      <c r="N81" s="457">
        <f>'[1]ASU - 123'!N81</f>
        <v>1.087212085035083E-2</v>
      </c>
      <c r="O81" s="457">
        <f>'[1]ASU - 123'!O81</f>
        <v>1.087212085035083E-2</v>
      </c>
      <c r="P81" s="457">
        <f>'[1]ASU - 123'!P81</f>
        <v>1.087212085035083E-2</v>
      </c>
      <c r="Q81" s="457">
        <f>'[1]ASU - 123'!Q81</f>
        <v>1.087212085035083E-2</v>
      </c>
    </row>
    <row r="82" spans="1:17">
      <c r="A82" s="406" t="s">
        <v>2218</v>
      </c>
      <c r="B82" s="406" t="s">
        <v>2149</v>
      </c>
      <c r="C82" s="406"/>
      <c r="D82" s="407"/>
      <c r="E82" s="457">
        <f>'[1]ASU - 123'!E82</f>
        <v>5.8774449368238058E-2</v>
      </c>
      <c r="F82" s="457">
        <f>'[1]ASU - 123'!F82</f>
        <v>3.0615856389651697E-2</v>
      </c>
      <c r="G82" s="457">
        <f>'[1]ASU - 123'!G82</f>
        <v>2.4424079978598634E-2</v>
      </c>
      <c r="H82" s="457">
        <f>'[1]ASU - 123'!H82</f>
        <v>2.2228007971235808E-2</v>
      </c>
      <c r="I82" s="457">
        <f>'[1]ASU - 123'!I82</f>
        <v>2.0396556880277306E-2</v>
      </c>
      <c r="J82" s="457">
        <f>'[1]ASU - 123'!J82</f>
        <v>2.0396556880277306E-2</v>
      </c>
      <c r="K82" s="457">
        <f>'[1]ASU - 123'!K82</f>
        <v>2.0396556880277306E-2</v>
      </c>
      <c r="L82" s="457">
        <f>'[1]ASU - 123'!L82</f>
        <v>2.0396556880277306E-2</v>
      </c>
      <c r="M82" s="457">
        <f>'[1]ASU - 123'!M82</f>
        <v>2.0396556880277306E-2</v>
      </c>
      <c r="N82" s="457">
        <f>'[1]ASU - 123'!N82</f>
        <v>2.0396556880277306E-2</v>
      </c>
      <c r="O82" s="457">
        <f>'[1]ASU - 123'!O82</f>
        <v>2.0396556880277306E-2</v>
      </c>
      <c r="P82" s="457">
        <f>'[1]ASU - 123'!P82</f>
        <v>2.0396556880277306E-2</v>
      </c>
      <c r="Q82" s="457">
        <f>'[1]ASU - 123'!Q82</f>
        <v>2.0396556880277306E-2</v>
      </c>
    </row>
    <row r="83" spans="1:17">
      <c r="A83" s="406" t="s">
        <v>2219</v>
      </c>
      <c r="B83" s="406" t="s">
        <v>2161</v>
      </c>
      <c r="C83" s="406"/>
      <c r="D83" s="407"/>
      <c r="E83" s="457">
        <f>'[1]ASU - 123'!E83</f>
        <v>5.8774449368238058E-2</v>
      </c>
      <c r="F83" s="457">
        <f>'[1]ASU - 123'!F83</f>
        <v>3.0615856389651697E-2</v>
      </c>
      <c r="G83" s="457">
        <f>'[1]ASU - 123'!G83</f>
        <v>2.4424079978598634E-2</v>
      </c>
      <c r="H83" s="457">
        <f>'[1]ASU - 123'!H83</f>
        <v>2.2228007971235808E-2</v>
      </c>
      <c r="I83" s="457">
        <f>'[1]ASU - 123'!I83</f>
        <v>2.0396556880277306E-2</v>
      </c>
      <c r="J83" s="457">
        <f>'[1]ASU - 123'!J83</f>
        <v>2.0396556880277306E-2</v>
      </c>
      <c r="K83" s="457">
        <f>'[1]ASU - 123'!K83</f>
        <v>2.0396556880277306E-2</v>
      </c>
      <c r="L83" s="457">
        <f>'[1]ASU - 123'!L83</f>
        <v>2.0396556880277306E-2</v>
      </c>
      <c r="M83" s="457">
        <f>'[1]ASU - 123'!M83</f>
        <v>2.0396556880277306E-2</v>
      </c>
      <c r="N83" s="457">
        <f>'[1]ASU - 123'!N83</f>
        <v>2.0396556880277306E-2</v>
      </c>
      <c r="O83" s="457">
        <f>'[1]ASU - 123'!O83</f>
        <v>2.0396556880277306E-2</v>
      </c>
      <c r="P83" s="457">
        <f>'[1]ASU - 123'!P83</f>
        <v>2.0396556880277306E-2</v>
      </c>
      <c r="Q83" s="457">
        <f>'[1]ASU - 123'!Q83</f>
        <v>2.0396556880277306E-2</v>
      </c>
    </row>
    <row r="84" spans="1:17">
      <c r="D84" s="153"/>
      <c r="E84" s="402"/>
      <c r="F84" s="402"/>
      <c r="G84" s="402"/>
      <c r="H84" s="402"/>
      <c r="I84" s="402"/>
      <c r="J84" s="402"/>
      <c r="K84" s="402"/>
      <c r="L84" s="402"/>
      <c r="M84" s="402"/>
      <c r="N84" s="402"/>
      <c r="O84" s="402"/>
      <c r="P84" s="402"/>
      <c r="Q84" s="402"/>
    </row>
    <row r="85" spans="1:17">
      <c r="B85" s="406" t="s">
        <v>2220</v>
      </c>
      <c r="C85" s="406"/>
      <c r="D85" s="407"/>
      <c r="E85" s="402"/>
      <c r="F85" s="402"/>
      <c r="G85" s="402"/>
      <c r="H85" s="402"/>
      <c r="I85" s="402"/>
      <c r="J85" s="402"/>
      <c r="K85" s="402"/>
      <c r="L85" s="402"/>
      <c r="M85" s="402"/>
      <c r="N85" s="402"/>
      <c r="O85" s="402"/>
      <c r="P85" s="402"/>
      <c r="Q85" s="402"/>
    </row>
    <row r="86" spans="1:17">
      <c r="A86" s="406" t="s">
        <v>2221</v>
      </c>
      <c r="B86" s="419" t="s">
        <v>2175</v>
      </c>
      <c r="C86" s="420"/>
      <c r="D86" s="408"/>
      <c r="E86" s="457">
        <f>'[1]ASU - 123'!E86</f>
        <v>6.1500879529300168E-2</v>
      </c>
      <c r="F86" s="457">
        <f>'[1]ASU - 123'!F86</f>
        <v>3.8961038961038863E-2</v>
      </c>
      <c r="G86" s="457">
        <f>'[1]ASU - 123'!G86</f>
        <v>0.05</v>
      </c>
      <c r="H86" s="457">
        <f>'[1]ASU - 123'!H86</f>
        <v>2.3532631438317964E-2</v>
      </c>
      <c r="I86" s="457">
        <f>'[1]ASU - 123'!I86</f>
        <v>2.3532631438317964E-2</v>
      </c>
      <c r="J86" s="457">
        <f>'[1]ASU - 123'!J86</f>
        <v>0</v>
      </c>
      <c r="K86" s="457">
        <f>'[1]ASU - 123'!K86</f>
        <v>0</v>
      </c>
      <c r="L86" s="457">
        <f>'[1]ASU - 123'!L86</f>
        <v>0</v>
      </c>
      <c r="M86" s="457">
        <f>'[1]ASU - 123'!M86</f>
        <v>0</v>
      </c>
      <c r="N86" s="457">
        <f>'[1]ASU - 123'!N86</f>
        <v>0</v>
      </c>
      <c r="O86" s="457">
        <f>'[1]ASU - 123'!O86</f>
        <v>0</v>
      </c>
      <c r="P86" s="457">
        <f>'[1]ASU - 123'!P86</f>
        <v>0</v>
      </c>
      <c r="Q86" s="457">
        <f>'[1]ASU - 123'!Q86</f>
        <v>0</v>
      </c>
    </row>
    <row r="87" spans="1:17">
      <c r="A87" s="406" t="s">
        <v>2222</v>
      </c>
      <c r="B87" s="419" t="s">
        <v>2177</v>
      </c>
      <c r="C87" s="420"/>
      <c r="D87" s="421"/>
      <c r="E87" s="457">
        <f>'[1]ASU - 123'!E87</f>
        <v>4.2345276872964188E-2</v>
      </c>
      <c r="F87" s="457">
        <f>'[1]ASU - 123'!F87</f>
        <v>0</v>
      </c>
      <c r="G87" s="457">
        <f>'[1]ASU - 123'!G87</f>
        <v>0</v>
      </c>
      <c r="H87" s="457">
        <f>'[1]ASU - 123'!H87</f>
        <v>0</v>
      </c>
      <c r="I87" s="457">
        <f>'[1]ASU - 123'!I87</f>
        <v>0</v>
      </c>
      <c r="J87" s="457">
        <f>'[1]ASU - 123'!J87</f>
        <v>0</v>
      </c>
      <c r="K87" s="457">
        <f>'[1]ASU - 123'!K87</f>
        <v>0</v>
      </c>
      <c r="L87" s="457">
        <f>'[1]ASU - 123'!L87</f>
        <v>0</v>
      </c>
      <c r="M87" s="457">
        <f>'[1]ASU - 123'!M87</f>
        <v>0</v>
      </c>
      <c r="N87" s="457">
        <f>'[1]ASU - 123'!N87</f>
        <v>0</v>
      </c>
      <c r="O87" s="457">
        <f>'[1]ASU - 123'!O87</f>
        <v>0</v>
      </c>
      <c r="P87" s="457">
        <f>'[1]ASU - 123'!P87</f>
        <v>0</v>
      </c>
      <c r="Q87" s="457">
        <f>'[1]ASU - 123'!Q87</f>
        <v>0</v>
      </c>
    </row>
    <row r="88" spans="1:17">
      <c r="A88" s="406" t="s">
        <v>2223</v>
      </c>
      <c r="B88" s="419" t="s">
        <v>2179</v>
      </c>
      <c r="C88" s="420"/>
      <c r="D88" s="421"/>
      <c r="E88" s="457">
        <f>'[1]ASU - 123'!E88</f>
        <v>7.953293677021378E-2</v>
      </c>
      <c r="F88" s="457">
        <f>'[1]ASU - 123'!F88</f>
        <v>6.1224489795918435E-2</v>
      </c>
      <c r="G88" s="457">
        <f>'[1]ASU - 123'!G88</f>
        <v>5.7692307692307709E-2</v>
      </c>
      <c r="H88" s="457">
        <f>'[1]ASU - 123'!H88</f>
        <v>4.4465935734187001E-2</v>
      </c>
      <c r="I88" s="457">
        <f>'[1]ASU - 123'!I88</f>
        <v>4.4465935734187001E-2</v>
      </c>
      <c r="J88" s="457">
        <f>'[1]ASU - 123'!J88</f>
        <v>1.299136822423641E-2</v>
      </c>
      <c r="K88" s="457">
        <f>'[1]ASU - 123'!K88</f>
        <v>1.299136822423641E-2</v>
      </c>
      <c r="L88" s="457">
        <f>'[1]ASU - 123'!L88</f>
        <v>1.299136822423641E-2</v>
      </c>
      <c r="M88" s="457">
        <f>'[1]ASU - 123'!M88</f>
        <v>1.299136822423641E-2</v>
      </c>
      <c r="N88" s="457">
        <f>'[1]ASU - 123'!N88</f>
        <v>1.299136822423641E-2</v>
      </c>
      <c r="O88" s="457">
        <f>'[1]ASU - 123'!O88</f>
        <v>1.299136822423641E-2</v>
      </c>
      <c r="P88" s="457">
        <f>'[1]ASU - 123'!P88</f>
        <v>1.299136822423641E-2</v>
      </c>
      <c r="Q88" s="457">
        <f>'[1]ASU - 123'!Q88</f>
        <v>1.299136822423641E-2</v>
      </c>
    </row>
    <row r="89" spans="1:17">
      <c r="A89" s="406" t="s">
        <v>2224</v>
      </c>
      <c r="B89" s="419" t="s">
        <v>2181</v>
      </c>
      <c r="C89" s="420"/>
      <c r="D89" s="421" t="s">
        <v>2225</v>
      </c>
      <c r="E89" s="457">
        <f>'[1]ASU - 123'!E89</f>
        <v>-2.4909139260703816E-2</v>
      </c>
      <c r="F89" s="457">
        <f>'[1]ASU - 123'!F89</f>
        <v>2.2727272727272707E-2</v>
      </c>
      <c r="G89" s="457">
        <f>'[1]ASU - 123'!G89</f>
        <v>2.2222222222222143E-2</v>
      </c>
      <c r="H89" s="457">
        <f>'[1]ASU - 123'!H89</f>
        <v>2.1507836910498401E-2</v>
      </c>
      <c r="I89" s="457">
        <f>'[1]ASU - 123'!I89</f>
        <v>2.1507836910498401E-2</v>
      </c>
      <c r="J89" s="457">
        <f>'[1]ASU - 123'!J89</f>
        <v>8.197818497166498E-3</v>
      </c>
      <c r="K89" s="457">
        <f>'[1]ASU - 123'!K89</f>
        <v>8.197818497166498E-3</v>
      </c>
      <c r="L89" s="457">
        <f>'[1]ASU - 123'!L89</f>
        <v>8.197818497166498E-3</v>
      </c>
      <c r="M89" s="457">
        <f>'[1]ASU - 123'!M89</f>
        <v>8.197818497166498E-3</v>
      </c>
      <c r="N89" s="457">
        <f>'[1]ASU - 123'!N89</f>
        <v>8.197818497166498E-3</v>
      </c>
      <c r="O89" s="457">
        <f>'[1]ASU - 123'!O89</f>
        <v>8.197818497166498E-3</v>
      </c>
      <c r="P89" s="457">
        <f>'[1]ASU - 123'!P89</f>
        <v>8.197818497166498E-3</v>
      </c>
      <c r="Q89" s="457">
        <f>'[1]ASU - 123'!Q89</f>
        <v>8.197818497166498E-3</v>
      </c>
    </row>
    <row r="90" spans="1:17">
      <c r="A90" s="406"/>
      <c r="B90" s="420" t="s">
        <v>2182</v>
      </c>
      <c r="C90" s="420"/>
      <c r="D90" s="421"/>
      <c r="E90" s="457">
        <f>'[1]ASU - 123'!E90</f>
        <v>0.01</v>
      </c>
      <c r="F90" s="457">
        <f>'[1]ASU - 123'!F90</f>
        <v>0.01</v>
      </c>
      <c r="G90" s="457">
        <f>'[1]ASU - 123'!G90</f>
        <v>0.01</v>
      </c>
      <c r="H90" s="457">
        <f>'[1]ASU - 123'!H90</f>
        <v>0.01</v>
      </c>
      <c r="I90" s="457">
        <f>'[1]ASU - 123'!I90</f>
        <v>0.01</v>
      </c>
      <c r="J90" s="457">
        <f>'[1]ASU - 123'!J90</f>
        <v>0.01</v>
      </c>
      <c r="K90" s="457">
        <f>'[1]ASU - 123'!K90</f>
        <v>0.01</v>
      </c>
      <c r="L90" s="457">
        <f>'[1]ASU - 123'!L90</f>
        <v>0.01</v>
      </c>
      <c r="M90" s="457">
        <f>'[1]ASU - 123'!M90</f>
        <v>0.01</v>
      </c>
      <c r="N90" s="457">
        <f>'[1]ASU - 123'!N90</f>
        <v>0.01</v>
      </c>
      <c r="O90" s="457">
        <f>'[1]ASU - 123'!O90</f>
        <v>0.01</v>
      </c>
      <c r="P90" s="457">
        <f>'[1]ASU - 123'!P90</f>
        <v>0.01</v>
      </c>
      <c r="Q90" s="457">
        <f>'[1]ASU - 123'!Q90</f>
        <v>0.01</v>
      </c>
    </row>
    <row r="91" spans="1:17">
      <c r="A91" s="406" t="s">
        <v>2226</v>
      </c>
      <c r="B91" s="420" t="s">
        <v>2167</v>
      </c>
      <c r="C91" s="420"/>
      <c r="D91" s="421"/>
      <c r="E91" s="457">
        <f>'[1]ASU - 123'!E91</f>
        <v>5.8774449368238058E-2</v>
      </c>
      <c r="F91" s="457">
        <f>'[1]ASU - 123'!F91</f>
        <v>3.0615856389651697E-2</v>
      </c>
      <c r="G91" s="457">
        <f>'[1]ASU - 123'!G91</f>
        <v>2.4424079978598634E-2</v>
      </c>
      <c r="H91" s="457">
        <f>'[1]ASU - 123'!H91</f>
        <v>2.2228007971235808E-2</v>
      </c>
      <c r="I91" s="457">
        <f>'[1]ASU - 123'!I91</f>
        <v>2.0396556880277306E-2</v>
      </c>
      <c r="J91" s="457">
        <f>'[1]ASU - 123'!J91</f>
        <v>2.0396556880277306E-2</v>
      </c>
      <c r="K91" s="457">
        <f>'[1]ASU - 123'!K91</f>
        <v>2.0396556880277306E-2</v>
      </c>
      <c r="L91" s="457">
        <f>'[1]ASU - 123'!L91</f>
        <v>2.0396556880277306E-2</v>
      </c>
      <c r="M91" s="457">
        <f>'[1]ASU - 123'!M91</f>
        <v>2.0396556880277306E-2</v>
      </c>
      <c r="N91" s="457">
        <f>'[1]ASU - 123'!N91</f>
        <v>2.0396556880277306E-2</v>
      </c>
      <c r="O91" s="457">
        <f>'[1]ASU - 123'!O91</f>
        <v>2.0396556880277306E-2</v>
      </c>
      <c r="P91" s="457">
        <f>'[1]ASU - 123'!P91</f>
        <v>2.0396556880277306E-2</v>
      </c>
      <c r="Q91" s="457">
        <f>'[1]ASU - 123'!Q91</f>
        <v>2.0396556880277306E-2</v>
      </c>
    </row>
    <row r="92" spans="1:17">
      <c r="A92" s="406" t="s">
        <v>2227</v>
      </c>
      <c r="B92" s="420" t="s">
        <v>2228</v>
      </c>
      <c r="C92" s="420"/>
      <c r="D92" s="421"/>
      <c r="E92" s="457">
        <f>'[1]ASU - 123'!E92</f>
        <v>5.8774449368238058E-2</v>
      </c>
      <c r="F92" s="457">
        <f>'[1]ASU - 123'!F92</f>
        <v>3.0615856389651697E-2</v>
      </c>
      <c r="G92" s="457">
        <f>'[1]ASU - 123'!G92</f>
        <v>2.4424079978598634E-2</v>
      </c>
      <c r="H92" s="457">
        <f>'[1]ASU - 123'!H92</f>
        <v>2.2228007971235808E-2</v>
      </c>
      <c r="I92" s="457">
        <f>'[1]ASU - 123'!I92</f>
        <v>2.0396556880277306E-2</v>
      </c>
      <c r="J92" s="457">
        <f>'[1]ASU - 123'!J92</f>
        <v>2.0396556880277306E-2</v>
      </c>
      <c r="K92" s="457">
        <f>'[1]ASU - 123'!K92</f>
        <v>2.0396556880277306E-2</v>
      </c>
      <c r="L92" s="457">
        <f>'[1]ASU - 123'!L92</f>
        <v>2.0396556880277306E-2</v>
      </c>
      <c r="M92" s="457">
        <f>'[1]ASU - 123'!M92</f>
        <v>2.0396556880277306E-2</v>
      </c>
      <c r="N92" s="457">
        <f>'[1]ASU - 123'!N92</f>
        <v>2.0396556880277306E-2</v>
      </c>
      <c r="O92" s="457">
        <f>'[1]ASU - 123'!O92</f>
        <v>2.0396556880277306E-2</v>
      </c>
      <c r="P92" s="457">
        <f>'[1]ASU - 123'!P92</f>
        <v>2.0396556880277306E-2</v>
      </c>
      <c r="Q92" s="457">
        <f>'[1]ASU - 123'!Q92</f>
        <v>2.0396556880277306E-2</v>
      </c>
    </row>
    <row r="93" spans="1:17">
      <c r="A93" s="406" t="s">
        <v>2229</v>
      </c>
      <c r="B93" s="406" t="s">
        <v>2161</v>
      </c>
      <c r="C93" s="406"/>
      <c r="D93" s="407"/>
      <c r="E93" s="457">
        <f>'[1]ASU - 123'!E93</f>
        <v>5.8774449368238058E-2</v>
      </c>
      <c r="F93" s="457">
        <f>'[1]ASU - 123'!F93</f>
        <v>3.0615856389651697E-2</v>
      </c>
      <c r="G93" s="457">
        <f>'[1]ASU - 123'!G93</f>
        <v>2.4424079978598634E-2</v>
      </c>
      <c r="H93" s="457">
        <f>'[1]ASU - 123'!H93</f>
        <v>2.2228007971235808E-2</v>
      </c>
      <c r="I93" s="457">
        <f>'[1]ASU - 123'!I93</f>
        <v>2.0396556880277306E-2</v>
      </c>
      <c r="J93" s="457">
        <f>'[1]ASU - 123'!J93</f>
        <v>2.0396556880277306E-2</v>
      </c>
      <c r="K93" s="457">
        <f>'[1]ASU - 123'!K93</f>
        <v>2.0396556880277306E-2</v>
      </c>
      <c r="L93" s="457">
        <f>'[1]ASU - 123'!L93</f>
        <v>2.0396556880277306E-2</v>
      </c>
      <c r="M93" s="457">
        <f>'[1]ASU - 123'!M93</f>
        <v>2.0396556880277306E-2</v>
      </c>
      <c r="N93" s="457">
        <f>'[1]ASU - 123'!N93</f>
        <v>2.0396556880277306E-2</v>
      </c>
      <c r="O93" s="457">
        <f>'[1]ASU - 123'!O93</f>
        <v>2.0396556880277306E-2</v>
      </c>
      <c r="P93" s="457">
        <f>'[1]ASU - 123'!P93</f>
        <v>2.0396556880277306E-2</v>
      </c>
      <c r="Q93" s="457">
        <f>'[1]ASU - 123'!Q93</f>
        <v>2.0396556880277306E-2</v>
      </c>
    </row>
    <row r="94" spans="1:17">
      <c r="D94" s="153"/>
      <c r="E94" s="402"/>
      <c r="F94" s="402"/>
      <c r="G94" s="402"/>
      <c r="H94" s="402"/>
      <c r="I94" s="402"/>
      <c r="J94" s="402"/>
      <c r="K94" s="402"/>
      <c r="L94" s="402"/>
      <c r="M94" s="402"/>
      <c r="N94" s="402"/>
      <c r="O94" s="402"/>
      <c r="P94" s="402"/>
      <c r="Q94" s="402"/>
    </row>
    <row r="95" spans="1:17">
      <c r="B95" s="406" t="s">
        <v>2230</v>
      </c>
      <c r="C95" s="406"/>
      <c r="D95" s="407"/>
      <c r="E95" s="402"/>
      <c r="F95" s="402"/>
      <c r="G95" s="402"/>
      <c r="H95" s="402"/>
      <c r="I95" s="402"/>
      <c r="J95" s="402"/>
      <c r="K95" s="402"/>
      <c r="L95" s="402"/>
      <c r="M95" s="402"/>
      <c r="N95" s="402"/>
      <c r="O95" s="402"/>
      <c r="P95" s="402"/>
      <c r="Q95" s="402"/>
    </row>
    <row r="96" spans="1:17" s="45" customFormat="1">
      <c r="A96" s="425" t="s">
        <v>2231</v>
      </c>
      <c r="B96" s="425" t="s">
        <v>2232</v>
      </c>
      <c r="C96" s="425"/>
      <c r="D96" s="426"/>
      <c r="E96" s="457">
        <f>'[1]ASU - 123'!E96</f>
        <v>0</v>
      </c>
      <c r="F96" s="457">
        <f>'[1]ASU - 123'!F96</f>
        <v>0</v>
      </c>
      <c r="G96" s="457">
        <f>'[1]ASU - 123'!G96</f>
        <v>0</v>
      </c>
      <c r="H96" s="457">
        <f>'[1]ASU - 123'!H96</f>
        <v>0</v>
      </c>
      <c r="I96" s="457">
        <f>'[1]ASU - 123'!I96</f>
        <v>0</v>
      </c>
      <c r="J96" s="457">
        <f>'[1]ASU - 123'!J96</f>
        <v>0</v>
      </c>
      <c r="K96" s="457">
        <f>'[1]ASU - 123'!K96</f>
        <v>0</v>
      </c>
      <c r="L96" s="457">
        <f>'[1]ASU - 123'!L96</f>
        <v>0</v>
      </c>
      <c r="M96" s="457">
        <f>'[1]ASU - 123'!M96</f>
        <v>0</v>
      </c>
      <c r="N96" s="457">
        <f>'[1]ASU - 123'!N96</f>
        <v>0</v>
      </c>
      <c r="O96" s="457">
        <f>'[1]ASU - 123'!O96</f>
        <v>0</v>
      </c>
      <c r="P96" s="457">
        <f>'[1]ASU - 123'!P96</f>
        <v>0</v>
      </c>
      <c r="Q96" s="457">
        <f>'[1]ASU - 123'!Q96</f>
        <v>0</v>
      </c>
    </row>
    <row r="97" spans="1:22" s="45" customFormat="1">
      <c r="A97" s="425" t="s">
        <v>2233</v>
      </c>
      <c r="B97" s="425" t="s">
        <v>2234</v>
      </c>
      <c r="C97" s="425"/>
      <c r="D97" s="427"/>
      <c r="E97" s="457">
        <f>'[1]ASU - 123'!E97</f>
        <v>9.0991920535919618E-2</v>
      </c>
      <c r="F97" s="457">
        <f>'[1]ASU - 123'!F97</f>
        <v>6.8045679760293881E-2</v>
      </c>
      <c r="G97" s="457">
        <f>'[1]ASU - 123'!G97</f>
        <v>6.5000000000000002E-2</v>
      </c>
      <c r="H97" s="457">
        <f>'[1]ASU - 123'!H97</f>
        <v>6.5000000000000002E-2</v>
      </c>
      <c r="I97" s="457">
        <f>'[1]ASU - 123'!I97</f>
        <v>6.5000000000000002E-2</v>
      </c>
      <c r="J97" s="457">
        <f>'[1]ASU - 123'!J97</f>
        <v>6.5000000000000002E-2</v>
      </c>
      <c r="K97" s="457">
        <f>'[1]ASU - 123'!K97</f>
        <v>6.5000000000000002E-2</v>
      </c>
      <c r="L97" s="457">
        <f>'[1]ASU - 123'!L97</f>
        <v>6.5000000000000002E-2</v>
      </c>
      <c r="M97" s="457">
        <f>'[1]ASU - 123'!M97</f>
        <v>6.5000000000000002E-2</v>
      </c>
      <c r="N97" s="457">
        <f>'[1]ASU - 123'!N97</f>
        <v>6.5000000000000002E-2</v>
      </c>
      <c r="O97" s="457">
        <f>'[1]ASU - 123'!O97</f>
        <v>6.5000000000000002E-2</v>
      </c>
      <c r="P97" s="457">
        <f>'[1]ASU - 123'!P97</f>
        <v>6.5000000000000002E-2</v>
      </c>
      <c r="Q97" s="457">
        <f>'[1]ASU - 123'!Q97</f>
        <v>6.5000000000000002E-2</v>
      </c>
    </row>
    <row r="98" spans="1:22" s="45" customFormat="1">
      <c r="A98" s="425" t="s">
        <v>2235</v>
      </c>
      <c r="B98" s="425" t="s">
        <v>2236</v>
      </c>
      <c r="C98" s="425"/>
      <c r="D98" s="427"/>
      <c r="E98" s="457">
        <f>'[1]ASU - 123'!E98</f>
        <v>1.0000000000000001E-5</v>
      </c>
      <c r="F98" s="457">
        <f>'[1]ASU - 123'!F98</f>
        <v>1.0000000000000001E-5</v>
      </c>
      <c r="G98" s="457">
        <f>'[1]ASU - 123'!G98</f>
        <v>0.05</v>
      </c>
      <c r="H98" s="457">
        <f>'[1]ASU - 123'!H98</f>
        <v>0.05</v>
      </c>
      <c r="I98" s="457">
        <f>'[1]ASU - 123'!I98</f>
        <v>0.05</v>
      </c>
      <c r="J98" s="457">
        <f>'[1]ASU - 123'!J98</f>
        <v>0.05</v>
      </c>
      <c r="K98" s="457">
        <f>'[1]ASU - 123'!K98</f>
        <v>0.05</v>
      </c>
      <c r="L98" s="457">
        <f>'[1]ASU - 123'!L98</f>
        <v>0.05</v>
      </c>
      <c r="M98" s="457">
        <f>'[1]ASU - 123'!M98</f>
        <v>0.05</v>
      </c>
      <c r="N98" s="457">
        <f>'[1]ASU - 123'!N98</f>
        <v>0.05</v>
      </c>
      <c r="O98" s="457">
        <f>'[1]ASU - 123'!O98</f>
        <v>0.05</v>
      </c>
      <c r="P98" s="457">
        <f>'[1]ASU - 123'!P98</f>
        <v>0.05</v>
      </c>
      <c r="Q98" s="457">
        <f>'[1]ASU - 123'!Q98</f>
        <v>0.05</v>
      </c>
    </row>
    <row r="99" spans="1:22" s="15" customFormat="1">
      <c r="A99" s="428" t="s">
        <v>2237</v>
      </c>
      <c r="B99" s="428" t="s">
        <v>2361</v>
      </c>
      <c r="C99" s="428"/>
      <c r="D99" s="429"/>
      <c r="E99" s="472">
        <f>'[1]ASU - 123'!E99</f>
        <v>0</v>
      </c>
      <c r="F99" s="472">
        <f>'[1]ASU - 123'!F99</f>
        <v>0</v>
      </c>
      <c r="G99" s="472">
        <f>'[1]ASU - 123'!G99</f>
        <v>0</v>
      </c>
      <c r="H99" s="472">
        <f>'[1]ASU - 123'!H99</f>
        <v>0</v>
      </c>
      <c r="I99" s="472">
        <f>'[1]ASU - 123'!I99</f>
        <v>0</v>
      </c>
      <c r="J99" s="472">
        <f>'[1]ASU - 123'!J99</f>
        <v>0</v>
      </c>
      <c r="K99" s="472">
        <f>'[1]ASU - 123'!K99</f>
        <v>0</v>
      </c>
      <c r="L99" s="472">
        <f>'[1]ASU - 123'!L99</f>
        <v>0</v>
      </c>
      <c r="M99" s="472">
        <f>'[1]ASU - 123'!M99</f>
        <v>0</v>
      </c>
      <c r="N99" s="472">
        <f>'[1]ASU - 123'!N99</f>
        <v>0</v>
      </c>
      <c r="O99" s="472">
        <f>'[1]ASU - 123'!O99</f>
        <v>0</v>
      </c>
      <c r="P99" s="472">
        <f>'[1]ASU - 123'!P99</f>
        <v>0</v>
      </c>
      <c r="Q99" s="472">
        <f>'[1]ASU - 123'!Q99</f>
        <v>0</v>
      </c>
    </row>
    <row r="100" spans="1:22" s="15" customFormat="1">
      <c r="A100" s="428" t="s">
        <v>2238</v>
      </c>
      <c r="B100" s="428" t="s">
        <v>2239</v>
      </c>
      <c r="C100" s="428"/>
      <c r="D100" s="429"/>
      <c r="E100" s="472">
        <f>'[1]ASU - 123'!E100</f>
        <v>18</v>
      </c>
      <c r="F100" s="472">
        <f>'[1]ASU - 123'!F100</f>
        <v>19</v>
      </c>
      <c r="G100" s="472">
        <f>'[1]ASU - 123'!G100</f>
        <v>20</v>
      </c>
      <c r="H100" s="472">
        <f>'[1]ASU - 123'!H100</f>
        <v>21</v>
      </c>
      <c r="I100" s="472">
        <f>'[1]ASU - 123'!I100</f>
        <v>22</v>
      </c>
      <c r="J100" s="472">
        <f>'[1]ASU - 123'!J100</f>
        <v>23</v>
      </c>
      <c r="K100" s="472">
        <f>'[1]ASU - 123'!K100</f>
        <v>24</v>
      </c>
      <c r="L100" s="472">
        <f>'[1]ASU - 123'!L100</f>
        <v>25</v>
      </c>
      <c r="M100" s="472">
        <f>'[1]ASU - 123'!M100</f>
        <v>26</v>
      </c>
      <c r="N100" s="472">
        <f>'[1]ASU - 123'!N100</f>
        <v>27</v>
      </c>
      <c r="O100" s="472">
        <f>'[1]ASU - 123'!O100</f>
        <v>28</v>
      </c>
      <c r="P100" s="472">
        <f>'[1]ASU - 123'!P100</f>
        <v>29</v>
      </c>
      <c r="Q100" s="472">
        <f>'[1]ASU - 123'!Q100</f>
        <v>30</v>
      </c>
    </row>
    <row r="101" spans="1:22" s="15" customFormat="1">
      <c r="A101" s="430" t="s">
        <v>2240</v>
      </c>
      <c r="B101" s="428" t="s">
        <v>2241</v>
      </c>
      <c r="C101" s="428"/>
      <c r="D101" s="429"/>
      <c r="E101" s="472">
        <f>'[1]ASU - 123'!E101</f>
        <v>0</v>
      </c>
      <c r="F101" s="472">
        <f>'[1]ASU - 123'!F101</f>
        <v>0</v>
      </c>
      <c r="G101" s="472">
        <f>'[1]ASU - 123'!G101</f>
        <v>0</v>
      </c>
      <c r="H101" s="472">
        <f>'[1]ASU - 123'!H101</f>
        <v>0</v>
      </c>
      <c r="I101" s="472">
        <f>'[1]ASU - 123'!I101</f>
        <v>0</v>
      </c>
      <c r="J101" s="472">
        <f>'[1]ASU - 123'!J101</f>
        <v>0</v>
      </c>
      <c r="K101" s="472">
        <f>'[1]ASU - 123'!K101</f>
        <v>0</v>
      </c>
      <c r="L101" s="472">
        <f>'[1]ASU - 123'!L101</f>
        <v>0</v>
      </c>
      <c r="M101" s="472">
        <f>'[1]ASU - 123'!M101</f>
        <v>0</v>
      </c>
      <c r="N101" s="472">
        <f>'[1]ASU - 123'!N101</f>
        <v>0</v>
      </c>
      <c r="O101" s="472">
        <f>'[1]ASU - 123'!O101</f>
        <v>0</v>
      </c>
      <c r="P101" s="472">
        <f>'[1]ASU - 123'!P101</f>
        <v>0</v>
      </c>
      <c r="Q101" s="472">
        <f>'[1]ASU - 123'!Q101</f>
        <v>0</v>
      </c>
    </row>
    <row r="102" spans="1:22" s="45" customFormat="1">
      <c r="A102" s="425" t="s">
        <v>2242</v>
      </c>
      <c r="B102" s="425" t="s">
        <v>2243</v>
      </c>
      <c r="C102" s="425"/>
      <c r="D102" s="427" t="s">
        <v>2358</v>
      </c>
      <c r="E102" s="457">
        <f>'[1]ASU - 123'!E102</f>
        <v>1</v>
      </c>
      <c r="F102" s="457">
        <f>'[1]ASU - 123'!F102</f>
        <v>1</v>
      </c>
      <c r="G102" s="457">
        <f>'[1]ASU - 123'!G102</f>
        <v>1</v>
      </c>
      <c r="H102" s="457">
        <f>'[1]ASU - 123'!H102</f>
        <v>1</v>
      </c>
      <c r="I102" s="457">
        <f>'[1]ASU - 123'!I102</f>
        <v>1</v>
      </c>
      <c r="J102" s="457">
        <f>'[1]ASU - 123'!J102</f>
        <v>1</v>
      </c>
      <c r="K102" s="457">
        <f>'[1]ASU - 123'!K102</f>
        <v>1</v>
      </c>
      <c r="L102" s="457">
        <f>'[1]ASU - 123'!L102</f>
        <v>1</v>
      </c>
      <c r="M102" s="457">
        <f>'[1]ASU - 123'!M102</f>
        <v>1</v>
      </c>
      <c r="N102" s="457">
        <f>'[1]ASU - 123'!N102</f>
        <v>1</v>
      </c>
      <c r="O102" s="457">
        <f>'[1]ASU - 123'!O102</f>
        <v>1</v>
      </c>
      <c r="P102" s="457">
        <f>'[1]ASU - 123'!P102</f>
        <v>1</v>
      </c>
      <c r="Q102" s="457">
        <f>'[1]ASU - 123'!Q102</f>
        <v>1</v>
      </c>
    </row>
    <row r="103" spans="1:22">
      <c r="A103" s="406"/>
      <c r="B103" s="406"/>
      <c r="C103" s="406"/>
      <c r="D103" s="407"/>
    </row>
    <row r="104" spans="1:22">
      <c r="B104" s="406" t="s">
        <v>2244</v>
      </c>
      <c r="C104" s="406"/>
      <c r="D104" s="407"/>
      <c r="E104" s="402"/>
      <c r="F104" s="402"/>
      <c r="G104" s="402"/>
      <c r="H104" s="402"/>
      <c r="I104" s="402"/>
      <c r="J104" s="402"/>
      <c r="K104" s="402"/>
      <c r="L104" s="402"/>
      <c r="M104" s="402"/>
      <c r="N104" s="402"/>
      <c r="O104" s="402"/>
      <c r="P104" s="402"/>
      <c r="Q104" s="402"/>
    </row>
    <row r="105" spans="1:22">
      <c r="A105" s="406" t="s">
        <v>2245</v>
      </c>
      <c r="B105" s="406" t="s">
        <v>2246</v>
      </c>
      <c r="C105" s="406"/>
      <c r="D105" s="407"/>
      <c r="E105" s="457">
        <f>'[1]ASU - 123'!E105</f>
        <v>0</v>
      </c>
      <c r="F105" s="457">
        <f>'[1]ASU - 123'!F105</f>
        <v>0</v>
      </c>
      <c r="G105" s="457">
        <f>'[1]ASU - 123'!G105</f>
        <v>0</v>
      </c>
      <c r="H105" s="457">
        <f>'[1]ASU - 123'!H105</f>
        <v>0</v>
      </c>
      <c r="I105" s="457">
        <f>'[1]ASU - 123'!I105</f>
        <v>0</v>
      </c>
      <c r="J105" s="457">
        <f>'[1]ASU - 123'!J105</f>
        <v>0</v>
      </c>
      <c r="K105" s="457">
        <f>'[1]ASU - 123'!K105</f>
        <v>0</v>
      </c>
      <c r="L105" s="457">
        <f>'[1]ASU - 123'!L105</f>
        <v>0</v>
      </c>
      <c r="M105" s="457">
        <f>'[1]ASU - 123'!M105</f>
        <v>0</v>
      </c>
      <c r="N105" s="457">
        <f>'[1]ASU - 123'!N105</f>
        <v>0</v>
      </c>
      <c r="O105" s="457">
        <f>'[1]ASU - 123'!O105</f>
        <v>0</v>
      </c>
      <c r="P105" s="457">
        <f>'[1]ASU - 123'!P105</f>
        <v>0</v>
      </c>
      <c r="Q105" s="457">
        <f>'[1]ASU - 123'!Q105</f>
        <v>0</v>
      </c>
    </row>
    <row r="106" spans="1:22">
      <c r="A106" s="406" t="s">
        <v>2247</v>
      </c>
      <c r="B106" s="406" t="s">
        <v>2248</v>
      </c>
      <c r="C106" s="406"/>
      <c r="D106" s="407"/>
      <c r="E106" s="457">
        <f>'[1]ASU - 123'!E106</f>
        <v>0.05</v>
      </c>
      <c r="F106" s="457">
        <f>'[1]ASU - 123'!F106</f>
        <v>0.05</v>
      </c>
      <c r="G106" s="457">
        <f>'[1]ASU - 123'!G106</f>
        <v>0.05</v>
      </c>
      <c r="H106" s="457">
        <f>'[1]ASU - 123'!H106</f>
        <v>0.05</v>
      </c>
      <c r="I106" s="457">
        <f>'[1]ASU - 123'!I106</f>
        <v>0.05</v>
      </c>
      <c r="J106" s="457">
        <f>'[1]ASU - 123'!J106</f>
        <v>0.05</v>
      </c>
      <c r="K106" s="457">
        <f>'[1]ASU - 123'!K106</f>
        <v>0.05</v>
      </c>
      <c r="L106" s="457">
        <f>'[1]ASU - 123'!L106</f>
        <v>0.05</v>
      </c>
      <c r="M106" s="457">
        <f>'[1]ASU - 123'!M106</f>
        <v>0.05</v>
      </c>
      <c r="N106" s="457">
        <f>'[1]ASU - 123'!N106</f>
        <v>0.05</v>
      </c>
      <c r="O106" s="457">
        <f>'[1]ASU - 123'!O106</f>
        <v>0.05</v>
      </c>
      <c r="P106" s="457">
        <f>'[1]ASU - 123'!P106</f>
        <v>0.05</v>
      </c>
      <c r="Q106" s="457">
        <f>'[1]ASU - 123'!Q106</f>
        <v>0.05</v>
      </c>
    </row>
    <row r="107" spans="1:22">
      <c r="A107" s="406" t="s">
        <v>2249</v>
      </c>
      <c r="B107" s="406" t="s">
        <v>2250</v>
      </c>
      <c r="C107" s="406"/>
      <c r="D107" s="407"/>
      <c r="E107" s="457">
        <f>'[1]ASU - 123'!E107</f>
        <v>0</v>
      </c>
      <c r="F107" s="457">
        <f>'[1]ASU - 123'!F107</f>
        <v>0</v>
      </c>
      <c r="G107" s="457">
        <f>'[1]ASU - 123'!G107</f>
        <v>0</v>
      </c>
      <c r="H107" s="457">
        <f>'[1]ASU - 123'!H107</f>
        <v>0</v>
      </c>
      <c r="I107" s="457">
        <f>'[1]ASU - 123'!I107</f>
        <v>0</v>
      </c>
      <c r="J107" s="457">
        <f>'[1]ASU - 123'!J107</f>
        <v>0</v>
      </c>
      <c r="K107" s="457">
        <f>'[1]ASU - 123'!K107</f>
        <v>0</v>
      </c>
      <c r="L107" s="457">
        <f>'[1]ASU - 123'!L107</f>
        <v>0</v>
      </c>
      <c r="M107" s="457">
        <f>'[1]ASU - 123'!M107</f>
        <v>0</v>
      </c>
      <c r="N107" s="457">
        <f>'[1]ASU - 123'!N107</f>
        <v>0</v>
      </c>
      <c r="O107" s="457">
        <f>'[1]ASU - 123'!O107</f>
        <v>0</v>
      </c>
      <c r="P107" s="457">
        <f>'[1]ASU - 123'!P107</f>
        <v>0</v>
      </c>
      <c r="Q107" s="457">
        <f>'[1]ASU - 123'!Q107</f>
        <v>0</v>
      </c>
    </row>
    <row r="108" spans="1:22">
      <c r="A108" s="406" t="s">
        <v>2251</v>
      </c>
      <c r="B108" s="406" t="s">
        <v>2252</v>
      </c>
      <c r="C108" s="406"/>
      <c r="D108" s="407"/>
      <c r="E108" s="457">
        <f>'[1]ASU - 123'!E108</f>
        <v>0.11111111111111104</v>
      </c>
      <c r="F108" s="457">
        <f>'[1]ASU - 123'!F108</f>
        <v>0.15</v>
      </c>
      <c r="G108" s="457">
        <f>'[1]ASU - 123'!G108</f>
        <v>0.34782608695652217</v>
      </c>
      <c r="H108" s="457">
        <f>'[1]ASU - 123'!H108</f>
        <v>0.1</v>
      </c>
      <c r="I108" s="457">
        <f>'[1]ASU - 123'!I108</f>
        <v>0.05</v>
      </c>
      <c r="J108" s="457">
        <f>'[1]ASU - 123'!J108</f>
        <v>0.05</v>
      </c>
      <c r="K108" s="457">
        <f>'[1]ASU - 123'!K108</f>
        <v>0.05</v>
      </c>
      <c r="L108" s="457">
        <f>'[1]ASU - 123'!L108</f>
        <v>0.05</v>
      </c>
      <c r="M108" s="457">
        <f>'[1]ASU - 123'!M108</f>
        <v>0.05</v>
      </c>
      <c r="N108" s="457">
        <f>'[1]ASU - 123'!N108</f>
        <v>0.05</v>
      </c>
      <c r="O108" s="457">
        <f>'[1]ASU - 123'!O108</f>
        <v>0.05</v>
      </c>
      <c r="P108" s="457">
        <f>'[1]ASU - 123'!P108</f>
        <v>0.05</v>
      </c>
      <c r="Q108" s="457">
        <f>'[1]ASU - 123'!Q108</f>
        <v>0.05</v>
      </c>
    </row>
    <row r="109" spans="1:22">
      <c r="D109" s="153"/>
      <c r="E109" s="402"/>
      <c r="F109" s="402"/>
      <c r="G109" s="402"/>
      <c r="H109" s="402"/>
      <c r="I109" s="402"/>
      <c r="J109" s="402"/>
      <c r="K109" s="402"/>
      <c r="L109" s="402"/>
      <c r="M109" s="402"/>
      <c r="N109" s="402"/>
      <c r="O109" s="402"/>
      <c r="P109" s="402"/>
      <c r="Q109" s="402"/>
    </row>
    <row r="110" spans="1:22">
      <c r="B110" s="406" t="s">
        <v>2253</v>
      </c>
      <c r="C110" s="406"/>
      <c r="D110" s="407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</row>
    <row r="111" spans="1:22">
      <c r="A111" s="406" t="s">
        <v>2254</v>
      </c>
      <c r="B111" s="406" t="s">
        <v>2255</v>
      </c>
      <c r="C111" s="406"/>
      <c r="D111" s="432">
        <v>163</v>
      </c>
      <c r="E111" s="461">
        <f>'[1]ASU - 123'!E111</f>
        <v>140</v>
      </c>
      <c r="F111" s="461">
        <f>'[1]ASU - 123'!F111</f>
        <v>150</v>
      </c>
      <c r="G111" s="461">
        <f>'[1]ASU - 123'!G111</f>
        <v>160</v>
      </c>
      <c r="H111" s="461">
        <f>'[1]ASU - 123'!H111</f>
        <v>220</v>
      </c>
      <c r="I111" s="461">
        <f>'[1]ASU - 123'!I111</f>
        <v>261.41959374999988</v>
      </c>
      <c r="J111" s="461">
        <f>'[1]ASU - 123'!J111</f>
        <v>265.34088765624983</v>
      </c>
      <c r="K111" s="461">
        <f>'[1]ASU - 123'!K111</f>
        <v>269.32100097109355</v>
      </c>
      <c r="L111" s="461">
        <f>'[1]ASU - 123'!L111</f>
        <v>273.36081598565994</v>
      </c>
      <c r="M111" s="461">
        <f>'[1]ASU - 123'!M111</f>
        <v>277.46122822544481</v>
      </c>
      <c r="N111" s="461">
        <f>'[1]ASU - 123'!N111</f>
        <v>281.62314664882643</v>
      </c>
      <c r="O111" s="461">
        <f>'[1]ASU - 123'!O111</f>
        <v>285.84749384855883</v>
      </c>
      <c r="P111" s="461">
        <f>'[1]ASU - 123'!P111</f>
        <v>290.13520625628718</v>
      </c>
      <c r="Q111" s="461">
        <f>'[1]ASU - 123'!Q111</f>
        <v>319.14872688191593</v>
      </c>
      <c r="R111" s="434"/>
      <c r="S111" s="152"/>
      <c r="T111" s="152"/>
      <c r="U111" s="152"/>
      <c r="V111" s="152"/>
    </row>
    <row r="112" spans="1:22" s="436" customFormat="1">
      <c r="A112" s="435"/>
      <c r="B112" s="435" t="s">
        <v>2256</v>
      </c>
      <c r="C112" s="435"/>
      <c r="D112" s="432">
        <v>0</v>
      </c>
      <c r="E112" s="461">
        <f>'[1]ASU - 123'!E112</f>
        <v>0</v>
      </c>
      <c r="F112" s="461">
        <f>'[1]ASU - 123'!F112</f>
        <v>0</v>
      </c>
      <c r="G112" s="461">
        <f>'[1]ASU - 123'!G112</f>
        <v>0</v>
      </c>
      <c r="H112" s="461">
        <f>'[1]ASU - 123'!H112</f>
        <v>0</v>
      </c>
      <c r="I112" s="461">
        <f>'[1]ASU - 123'!I112</f>
        <v>0</v>
      </c>
      <c r="J112" s="461">
        <f>'[1]ASU - 123'!J112</f>
        <v>0</v>
      </c>
      <c r="K112" s="461">
        <f>'[1]ASU - 123'!K112</f>
        <v>0</v>
      </c>
      <c r="L112" s="461">
        <f>'[1]ASU - 123'!L112</f>
        <v>0</v>
      </c>
      <c r="M112" s="461">
        <f>'[1]ASU - 123'!M112</f>
        <v>0</v>
      </c>
      <c r="N112" s="461">
        <f>'[1]ASU - 123'!N112</f>
        <v>0</v>
      </c>
      <c r="O112" s="461">
        <f>'[1]ASU - 123'!O112</f>
        <v>0</v>
      </c>
      <c r="P112" s="461">
        <f>'[1]ASU - 123'!P112</f>
        <v>1</v>
      </c>
      <c r="Q112" s="461">
        <f>'[1]ASU - 123'!Q112</f>
        <v>1</v>
      </c>
    </row>
    <row r="113" spans="1:18">
      <c r="A113" s="411" t="s">
        <v>2257</v>
      </c>
      <c r="B113" s="406" t="s">
        <v>2258</v>
      </c>
      <c r="C113" s="406"/>
      <c r="D113" s="432">
        <v>214</v>
      </c>
      <c r="E113" s="461">
        <f>'[1]ASU - 123'!E113</f>
        <v>300</v>
      </c>
      <c r="F113" s="461">
        <f>'[1]ASU - 123'!F113</f>
        <v>305</v>
      </c>
      <c r="G113" s="461">
        <f>'[1]ASU - 123'!G113</f>
        <v>310</v>
      </c>
      <c r="H113" s="461">
        <f>'[1]ASU - 123'!H113</f>
        <v>312</v>
      </c>
      <c r="I113" s="461">
        <f>'[1]ASU - 123'!I113</f>
        <v>314</v>
      </c>
      <c r="J113" s="461">
        <f>'[1]ASU - 123'!J113</f>
        <v>316</v>
      </c>
      <c r="K113" s="461">
        <f>'[1]ASU - 123'!K113</f>
        <v>318</v>
      </c>
      <c r="L113" s="461">
        <f>'[1]ASU - 123'!L113</f>
        <v>320</v>
      </c>
      <c r="M113" s="461">
        <f>'[1]ASU - 123'!M113</f>
        <v>322</v>
      </c>
      <c r="N113" s="461">
        <f>'[1]ASU - 123'!N113</f>
        <v>324</v>
      </c>
      <c r="O113" s="461">
        <f>'[1]ASU - 123'!O113</f>
        <v>326</v>
      </c>
      <c r="P113" s="461">
        <f>'[1]ASU - 123'!P113</f>
        <v>328</v>
      </c>
      <c r="Q113" s="461">
        <f>'[1]ASU - 123'!Q113</f>
        <v>330</v>
      </c>
      <c r="R113" s="434"/>
    </row>
    <row r="114" spans="1:18">
      <c r="A114" s="406" t="s">
        <v>2259</v>
      </c>
      <c r="B114" s="411" t="s">
        <v>2260</v>
      </c>
      <c r="C114" s="411"/>
      <c r="D114" s="427" t="s">
        <v>2358</v>
      </c>
      <c r="E114" s="461">
        <f>'[1]ASU - 123'!E114</f>
        <v>0.99836560720888901</v>
      </c>
      <c r="F114" s="461">
        <f>'[1]ASU - 123'!F114</f>
        <v>1</v>
      </c>
      <c r="G114" s="461">
        <f>'[1]ASU - 123'!G114</f>
        <v>1</v>
      </c>
      <c r="H114" s="461">
        <f>'[1]ASU - 123'!H114</f>
        <v>1</v>
      </c>
      <c r="I114" s="461">
        <f>'[1]ASU - 123'!I114</f>
        <v>1</v>
      </c>
      <c r="J114" s="461">
        <f>'[1]ASU - 123'!J114</f>
        <v>1</v>
      </c>
      <c r="K114" s="461">
        <f>'[1]ASU - 123'!K114</f>
        <v>1</v>
      </c>
      <c r="L114" s="461">
        <f>'[1]ASU - 123'!L114</f>
        <v>1</v>
      </c>
      <c r="M114" s="461">
        <f>'[1]ASU - 123'!M114</f>
        <v>1</v>
      </c>
      <c r="N114" s="461">
        <f>'[1]ASU - 123'!N114</f>
        <v>1</v>
      </c>
      <c r="O114" s="461">
        <f>'[1]ASU - 123'!O114</f>
        <v>1</v>
      </c>
      <c r="P114" s="461">
        <f>'[1]ASU - 123'!P114</f>
        <v>1</v>
      </c>
      <c r="Q114" s="461">
        <f>'[1]ASU - 123'!Q114</f>
        <v>1</v>
      </c>
      <c r="R114" s="434"/>
    </row>
    <row r="115" spans="1:18">
      <c r="A115" s="406"/>
      <c r="B115" s="406" t="s">
        <v>2261</v>
      </c>
      <c r="C115" s="411"/>
      <c r="D115" s="432">
        <v>0</v>
      </c>
      <c r="E115" s="461">
        <f>'[1]ASU - 123'!E115</f>
        <v>0</v>
      </c>
      <c r="F115" s="461">
        <f>'[1]ASU - 123'!F115</f>
        <v>0</v>
      </c>
      <c r="G115" s="461">
        <f>'[1]ASU - 123'!G115</f>
        <v>0</v>
      </c>
      <c r="H115" s="461">
        <f>'[1]ASU - 123'!H115</f>
        <v>0</v>
      </c>
      <c r="I115" s="461">
        <f>'[1]ASU - 123'!I115</f>
        <v>0</v>
      </c>
      <c r="J115" s="461">
        <f>'[1]ASU - 123'!J115</f>
        <v>0</v>
      </c>
      <c r="K115" s="461">
        <f>'[1]ASU - 123'!K115</f>
        <v>0</v>
      </c>
      <c r="L115" s="461">
        <f>'[1]ASU - 123'!L115</f>
        <v>0</v>
      </c>
      <c r="M115" s="461">
        <f>'[1]ASU - 123'!M115</f>
        <v>0</v>
      </c>
      <c r="N115" s="461">
        <f>'[1]ASU - 123'!N115</f>
        <v>0</v>
      </c>
      <c r="O115" s="461">
        <f>'[1]ASU - 123'!O115</f>
        <v>0</v>
      </c>
      <c r="P115" s="461">
        <f>'[1]ASU - 123'!P115</f>
        <v>0</v>
      </c>
      <c r="Q115" s="461">
        <f>'[1]ASU - 123'!Q115</f>
        <v>0</v>
      </c>
      <c r="R115" s="434"/>
    </row>
    <row r="116" spans="1:18">
      <c r="A116" s="406"/>
      <c r="B116" s="428" t="s">
        <v>2262</v>
      </c>
      <c r="C116" s="411"/>
      <c r="D116" s="432">
        <v>2</v>
      </c>
      <c r="E116" s="461">
        <f>'[1]ASU - 123'!E116</f>
        <v>-15</v>
      </c>
      <c r="F116" s="461">
        <f>'[1]ASU - 123'!F116</f>
        <v>0</v>
      </c>
      <c r="G116" s="461">
        <f>'[1]ASU - 123'!G116</f>
        <v>0</v>
      </c>
      <c r="H116" s="461">
        <f>'[1]ASU - 123'!H116</f>
        <v>0</v>
      </c>
      <c r="I116" s="461">
        <f>'[1]ASU - 123'!I116</f>
        <v>0</v>
      </c>
      <c r="J116" s="461">
        <f>'[1]ASU - 123'!J116</f>
        <v>0</v>
      </c>
      <c r="K116" s="461">
        <f>'[1]ASU - 123'!K116</f>
        <v>0</v>
      </c>
      <c r="L116" s="461">
        <f>'[1]ASU - 123'!L116</f>
        <v>0</v>
      </c>
      <c r="M116" s="461">
        <f>'[1]ASU - 123'!M116</f>
        <v>0</v>
      </c>
      <c r="N116" s="461">
        <f>'[1]ASU - 123'!N116</f>
        <v>0</v>
      </c>
      <c r="O116" s="461">
        <f>'[1]ASU - 123'!O116</f>
        <v>0</v>
      </c>
      <c r="P116" s="461">
        <f>'[1]ASU - 123'!P116</f>
        <v>0</v>
      </c>
      <c r="Q116" s="461">
        <f>'[1]ASU - 123'!Q116</f>
        <v>0</v>
      </c>
    </row>
    <row r="117" spans="1:18">
      <c r="A117" s="406" t="s">
        <v>2263</v>
      </c>
      <c r="B117" s="406" t="s">
        <v>2264</v>
      </c>
      <c r="C117" s="406"/>
      <c r="D117" s="429">
        <v>-172</v>
      </c>
      <c r="E117" s="461">
        <f>'[1]ASU - 123'!E117</f>
        <v>0</v>
      </c>
      <c r="F117" s="461">
        <f>'[1]ASU - 123'!F117</f>
        <v>0</v>
      </c>
      <c r="G117" s="461">
        <f>'[1]ASU - 123'!G117</f>
        <v>0</v>
      </c>
      <c r="H117" s="461">
        <f>'[1]ASU - 123'!H117</f>
        <v>0</v>
      </c>
      <c r="I117" s="461">
        <f>'[1]ASU - 123'!I117</f>
        <v>0</v>
      </c>
      <c r="J117" s="461">
        <f>'[1]ASU - 123'!J117</f>
        <v>0</v>
      </c>
      <c r="K117" s="461">
        <f>'[1]ASU - 123'!K117</f>
        <v>0</v>
      </c>
      <c r="L117" s="461">
        <f>'[1]ASU - 123'!L117</f>
        <v>0</v>
      </c>
      <c r="M117" s="461">
        <f>'[1]ASU - 123'!M117</f>
        <v>0</v>
      </c>
      <c r="N117" s="461">
        <f>'[1]ASU - 123'!N117</f>
        <v>0</v>
      </c>
      <c r="O117" s="461">
        <f>'[1]ASU - 123'!O117</f>
        <v>0</v>
      </c>
      <c r="P117" s="461">
        <f>'[1]ASU - 123'!P117</f>
        <v>0</v>
      </c>
      <c r="Q117" s="461">
        <f>'[1]ASU - 123'!Q117</f>
        <v>0</v>
      </c>
    </row>
    <row r="118" spans="1:18">
      <c r="D118" s="153"/>
      <c r="E118" s="402"/>
      <c r="F118" s="402"/>
      <c r="G118" s="402"/>
      <c r="H118" s="402"/>
      <c r="I118" s="402"/>
      <c r="J118" s="402"/>
      <c r="K118" s="402"/>
      <c r="L118" s="402"/>
      <c r="M118" s="402"/>
      <c r="N118" s="402"/>
      <c r="O118" s="402"/>
      <c r="P118" s="402"/>
      <c r="Q118" s="402"/>
    </row>
    <row r="119" spans="1:18">
      <c r="B119" s="406" t="s">
        <v>2265</v>
      </c>
      <c r="C119" s="406"/>
      <c r="D119" s="407"/>
      <c r="E119" s="402"/>
      <c r="F119" s="402"/>
      <c r="G119" s="402"/>
      <c r="H119" s="402"/>
      <c r="I119" s="402"/>
      <c r="J119" s="402"/>
      <c r="K119" s="402"/>
      <c r="L119" s="402"/>
      <c r="M119" s="402"/>
      <c r="N119" s="402"/>
      <c r="O119" s="402"/>
      <c r="P119" s="402"/>
      <c r="Q119" s="402"/>
    </row>
    <row r="120" spans="1:18">
      <c r="A120" s="406" t="s">
        <v>2266</v>
      </c>
      <c r="B120" s="438" t="s">
        <v>2267</v>
      </c>
      <c r="C120" s="406"/>
      <c r="D120" s="432">
        <v>0.41348086334820333</v>
      </c>
      <c r="E120" s="461">
        <f>'[1]ASU - 123'!E120</f>
        <v>1.8458270706568172</v>
      </c>
      <c r="F120" s="461">
        <f>'[1]ASU - 123'!F120</f>
        <v>2.5175421438847723</v>
      </c>
      <c r="G120" s="461">
        <f>'[1]ASU - 123'!G120</f>
        <v>2.9555620098751145</v>
      </c>
      <c r="H120" s="461">
        <f>'[1]ASU - 123'!H120</f>
        <v>4</v>
      </c>
      <c r="I120" s="461">
        <f>'[1]ASU - 123'!I120</f>
        <v>4</v>
      </c>
      <c r="J120" s="461">
        <f>'[1]ASU - 123'!J120</f>
        <v>4</v>
      </c>
      <c r="K120" s="461">
        <f>'[1]ASU - 123'!K120</f>
        <v>4</v>
      </c>
      <c r="L120" s="461">
        <f>'[1]ASU - 123'!L120</f>
        <v>4</v>
      </c>
      <c r="M120" s="461">
        <f>'[1]ASU - 123'!M120</f>
        <v>4</v>
      </c>
      <c r="N120" s="461">
        <f>'[1]ASU - 123'!N120</f>
        <v>4</v>
      </c>
      <c r="O120" s="461">
        <f>'[1]ASU - 123'!O120</f>
        <v>4</v>
      </c>
      <c r="P120" s="461">
        <f>'[1]ASU - 123'!P120</f>
        <v>4</v>
      </c>
      <c r="Q120" s="461">
        <f>'[1]ASU - 123'!Q120</f>
        <v>4</v>
      </c>
    </row>
    <row r="121" spans="1:18">
      <c r="A121" s="406"/>
      <c r="B121" s="406" t="s">
        <v>2268</v>
      </c>
      <c r="C121" s="406"/>
      <c r="D121" s="432">
        <v>0</v>
      </c>
      <c r="E121" s="461">
        <f>'[1]ASU - 123'!E121</f>
        <v>0</v>
      </c>
      <c r="F121" s="461">
        <f>'[1]ASU - 123'!F121</f>
        <v>0</v>
      </c>
      <c r="G121" s="461">
        <f>'[1]ASU - 123'!G121</f>
        <v>0</v>
      </c>
      <c r="H121" s="461">
        <f>'[1]ASU - 123'!H121</f>
        <v>0</v>
      </c>
      <c r="I121" s="461">
        <f>'[1]ASU - 123'!I121</f>
        <v>0</v>
      </c>
      <c r="J121" s="461">
        <f>'[1]ASU - 123'!J121</f>
        <v>0</v>
      </c>
      <c r="K121" s="461">
        <f>'[1]ASU - 123'!K121</f>
        <v>0</v>
      </c>
      <c r="L121" s="461">
        <f>'[1]ASU - 123'!L121</f>
        <v>0</v>
      </c>
      <c r="M121" s="461">
        <f>'[1]ASU - 123'!M121</f>
        <v>0</v>
      </c>
      <c r="N121" s="461">
        <f>'[1]ASU - 123'!N121</f>
        <v>0</v>
      </c>
      <c r="O121" s="461">
        <f>'[1]ASU - 123'!O121</f>
        <v>0</v>
      </c>
      <c r="P121" s="461">
        <f>'[1]ASU - 123'!P121</f>
        <v>0</v>
      </c>
      <c r="Q121" s="461">
        <f>'[1]ASU - 123'!Q121</f>
        <v>0</v>
      </c>
    </row>
    <row r="122" spans="1:18">
      <c r="A122" s="406"/>
      <c r="B122" s="406" t="s">
        <v>2269</v>
      </c>
      <c r="C122" s="406"/>
      <c r="D122" s="432"/>
      <c r="E122" s="457">
        <f>'[1]ASU - 123'!E122</f>
        <v>-1.4442891445364148E-2</v>
      </c>
      <c r="F122" s="457">
        <f>'[1]ASU - 123'!F122</f>
        <v>0</v>
      </c>
      <c r="G122" s="457">
        <f>'[1]ASU - 123'!G122</f>
        <v>0</v>
      </c>
      <c r="H122" s="457">
        <f>'[1]ASU - 123'!H122</f>
        <v>0</v>
      </c>
      <c r="I122" s="457">
        <f>'[1]ASU - 123'!I122</f>
        <v>1.7554577175587616E-2</v>
      </c>
      <c r="J122" s="457">
        <f>'[1]ASU - 123'!J122</f>
        <v>1.7554577175587616E-2</v>
      </c>
      <c r="K122" s="457">
        <f>'[1]ASU - 123'!K122</f>
        <v>1.7554577175587616E-2</v>
      </c>
      <c r="L122" s="457">
        <f>'[1]ASU - 123'!L122</f>
        <v>1.7554577175587616E-2</v>
      </c>
      <c r="M122" s="457">
        <f>'[1]ASU - 123'!M122</f>
        <v>1.7554577175587616E-2</v>
      </c>
      <c r="N122" s="457">
        <f>'[1]ASU - 123'!N122</f>
        <v>1.7554577175587616E-2</v>
      </c>
      <c r="O122" s="457">
        <f>'[1]ASU - 123'!O122</f>
        <v>1.7554577175587616E-2</v>
      </c>
      <c r="P122" s="457">
        <f>'[1]ASU - 123'!P122</f>
        <v>1.7554577175587616E-2</v>
      </c>
      <c r="Q122" s="457">
        <f>'[1]ASU - 123'!Q122</f>
        <v>1.7554577175587616E-2</v>
      </c>
    </row>
    <row r="123" spans="1:18">
      <c r="D123" s="153"/>
      <c r="E123" s="402"/>
      <c r="F123" s="402"/>
      <c r="G123" s="402"/>
      <c r="H123" s="402"/>
      <c r="I123" s="402"/>
      <c r="J123" s="402"/>
      <c r="K123" s="402"/>
      <c r="L123" s="402"/>
      <c r="M123" s="402"/>
      <c r="N123" s="402"/>
      <c r="O123" s="402"/>
      <c r="P123" s="402"/>
      <c r="Q123" s="402"/>
    </row>
    <row r="124" spans="1:18">
      <c r="B124" s="395" t="s">
        <v>2270</v>
      </c>
      <c r="C124" s="396"/>
      <c r="D124" s="407"/>
      <c r="E124" s="402"/>
      <c r="F124" s="402"/>
      <c r="G124" s="402"/>
      <c r="H124" s="402"/>
      <c r="I124" s="402"/>
      <c r="J124" s="402"/>
      <c r="K124" s="402"/>
      <c r="L124" s="402"/>
      <c r="M124" s="402"/>
      <c r="N124" s="402"/>
      <c r="O124" s="402"/>
      <c r="P124" s="402"/>
      <c r="Q124" s="402"/>
    </row>
    <row r="125" spans="1:18">
      <c r="B125" s="397" t="s">
        <v>2135</v>
      </c>
      <c r="C125" s="397"/>
      <c r="D125" s="407"/>
      <c r="E125" s="402"/>
      <c r="F125" s="402"/>
      <c r="G125" s="402"/>
      <c r="H125" s="402"/>
      <c r="I125" s="402"/>
      <c r="J125" s="402"/>
      <c r="K125" s="402"/>
      <c r="L125" s="402"/>
      <c r="M125" s="402"/>
      <c r="N125" s="402"/>
      <c r="O125" s="402"/>
      <c r="P125" s="402"/>
      <c r="Q125" s="402"/>
    </row>
    <row r="126" spans="1:18">
      <c r="B126" s="406" t="s">
        <v>2271</v>
      </c>
      <c r="C126" s="406"/>
      <c r="D126" s="407"/>
      <c r="E126" s="402"/>
      <c r="F126" s="402"/>
      <c r="G126" s="402"/>
      <c r="H126" s="402"/>
      <c r="I126" s="402"/>
      <c r="J126" s="402"/>
      <c r="K126" s="402"/>
      <c r="L126" s="402"/>
      <c r="M126" s="402"/>
      <c r="N126" s="402"/>
      <c r="O126" s="402"/>
      <c r="P126" s="402"/>
      <c r="Q126" s="402"/>
    </row>
    <row r="127" spans="1:18">
      <c r="A127" s="406" t="s">
        <v>2272</v>
      </c>
      <c r="B127" s="406" t="s">
        <v>2273</v>
      </c>
      <c r="C127" s="406"/>
      <c r="D127" s="437">
        <v>6.9634809428218175E-2</v>
      </c>
      <c r="E127" s="437">
        <f>(RESULTS!E70-RESULTS!E71)/RESULTS!E67</f>
        <v>3.5659174588820335E-3</v>
      </c>
      <c r="F127" s="437">
        <f>(RESULTS!F70-RESULTS!F71)/RESULTS!F67</f>
        <v>-2.0677850736329478E-2</v>
      </c>
      <c r="G127" s="437">
        <f>(RESULTS!G70-RESULTS!G71)/RESULTS!G67</f>
        <v>8.2667145800903938E-3</v>
      </c>
      <c r="H127" s="437" t="e">
        <f>(RESULTS!H70-RESULTS!H71)/RESULTS!H67</f>
        <v>#VALUE!</v>
      </c>
      <c r="I127" s="437" t="e">
        <f>(RESULTS!I70-RESULTS!I71)/RESULTS!I67</f>
        <v>#VALUE!</v>
      </c>
      <c r="J127" s="437" t="e">
        <f>(RESULTS!J70-RESULTS!J71)/RESULTS!J67</f>
        <v>#VALUE!</v>
      </c>
      <c r="K127" s="437" t="e">
        <f>(RESULTS!K70-RESULTS!K71)/RESULTS!K67</f>
        <v>#VALUE!</v>
      </c>
      <c r="L127" s="437" t="e">
        <f>(RESULTS!L70-RESULTS!L71)/RESULTS!L67</f>
        <v>#VALUE!</v>
      </c>
      <c r="M127" s="437" t="e">
        <f>(RESULTS!M70-RESULTS!M71)/RESULTS!M67</f>
        <v>#VALUE!</v>
      </c>
      <c r="N127" s="437" t="e">
        <f>(RESULTS!N70-RESULTS!N71)/RESULTS!N67</f>
        <v>#VALUE!</v>
      </c>
      <c r="O127" s="437" t="e">
        <f>(RESULTS!O70-RESULTS!O71)/RESULTS!O67</f>
        <v>#VALUE!</v>
      </c>
      <c r="P127" s="437" t="e">
        <f>(RESULTS!P70-RESULTS!P71)/RESULTS!P67</f>
        <v>#VALUE!</v>
      </c>
      <c r="Q127" s="437" t="e">
        <f>(RESULTS!Q70-RESULTS!Q71)/RESULTS!Q67</f>
        <v>#VALUE!</v>
      </c>
    </row>
    <row r="128" spans="1:18">
      <c r="A128" s="411" t="s">
        <v>2274</v>
      </c>
      <c r="B128" s="406" t="s">
        <v>2275</v>
      </c>
      <c r="C128" s="406"/>
      <c r="D128" s="437">
        <v>0.10502386301697664</v>
      </c>
      <c r="E128" s="423">
        <f>RESULTS!E71/RESULTS!E67</f>
        <v>0.14757368310046542</v>
      </c>
      <c r="F128" s="423">
        <f>RESULTS!F71/RESULTS!F67</f>
        <v>0.13630726918800418</v>
      </c>
      <c r="G128" s="423">
        <f>RESULTS!G71/RESULTS!G67</f>
        <v>0.13142981715154625</v>
      </c>
      <c r="H128" s="423" t="e">
        <f>RESULTS!H71/RESULTS!H67</f>
        <v>#VALUE!</v>
      </c>
      <c r="I128" s="423" t="e">
        <f>RESULTS!I71/RESULTS!I67</f>
        <v>#VALUE!</v>
      </c>
      <c r="J128" s="423" t="e">
        <f>RESULTS!J71/RESULTS!J67</f>
        <v>#VALUE!</v>
      </c>
      <c r="K128" s="423" t="e">
        <f>RESULTS!K71/RESULTS!K67</f>
        <v>#VALUE!</v>
      </c>
      <c r="L128" s="423" t="e">
        <f>RESULTS!L71/RESULTS!L67</f>
        <v>#VALUE!</v>
      </c>
      <c r="M128" s="423" t="e">
        <f>RESULTS!M71/RESULTS!M67</f>
        <v>#VALUE!</v>
      </c>
      <c r="N128" s="423" t="e">
        <f>RESULTS!N71/RESULTS!N67</f>
        <v>#VALUE!</v>
      </c>
      <c r="O128" s="423" t="e">
        <f>RESULTS!O71/RESULTS!O67</f>
        <v>#VALUE!</v>
      </c>
      <c r="P128" s="423" t="e">
        <f>RESULTS!P71/RESULTS!P67</f>
        <v>#VALUE!</v>
      </c>
      <c r="Q128" s="423" t="e">
        <f>RESULTS!Q71/RESULTS!Q67</f>
        <v>#VALUE!</v>
      </c>
      <c r="R128" s="434"/>
    </row>
    <row r="129" spans="1:26">
      <c r="A129" s="411"/>
      <c r="B129" s="406" t="s">
        <v>2276</v>
      </c>
      <c r="C129" s="406"/>
      <c r="D129" s="437">
        <v>1.5514284574786296E-2</v>
      </c>
      <c r="E129" s="457">
        <f>'[1]ASU - 123'!E129</f>
        <v>1.5514284574786296E-2</v>
      </c>
      <c r="F129" s="457">
        <f>'[1]ASU - 123'!F129</f>
        <v>1.5514284574786296E-2</v>
      </c>
      <c r="G129" s="457">
        <f>'[1]ASU - 123'!G129</f>
        <v>1.5514284574786296E-2</v>
      </c>
      <c r="H129" s="457">
        <f>'[1]ASU - 123'!H129</f>
        <v>1.5514284574786296E-2</v>
      </c>
      <c r="I129" s="457">
        <f>'[1]ASU - 123'!I129</f>
        <v>1.5514284574786296E-2</v>
      </c>
      <c r="J129" s="457">
        <f>'[1]ASU - 123'!J129</f>
        <v>1.5514284574786296E-2</v>
      </c>
      <c r="K129" s="457">
        <f>'[1]ASU - 123'!K129</f>
        <v>1.5514284574786296E-2</v>
      </c>
      <c r="L129" s="457">
        <f>'[1]ASU - 123'!L129</f>
        <v>1.5514284574786296E-2</v>
      </c>
      <c r="M129" s="457">
        <f>'[1]ASU - 123'!M129</f>
        <v>1.5514284574786296E-2</v>
      </c>
      <c r="N129" s="457">
        <f>'[1]ASU - 123'!N129</f>
        <v>1.5514284574786296E-2</v>
      </c>
      <c r="O129" s="457">
        <f>'[1]ASU - 123'!O129</f>
        <v>1.5514284574786296E-2</v>
      </c>
      <c r="P129" s="457">
        <f>'[1]ASU - 123'!P129</f>
        <v>1.5514284574786296E-2</v>
      </c>
      <c r="Q129" s="457">
        <f>'[1]ASU - 123'!Q129</f>
        <v>1.5514284574786296E-2</v>
      </c>
      <c r="R129" s="434"/>
    </row>
    <row r="130" spans="1:26">
      <c r="D130" s="437"/>
      <c r="E130" s="402"/>
      <c r="F130" s="402"/>
      <c r="G130" s="402"/>
      <c r="H130" s="402"/>
      <c r="I130" s="402"/>
      <c r="J130" s="402"/>
      <c r="K130" s="402"/>
      <c r="L130" s="402"/>
      <c r="M130" s="402"/>
      <c r="N130" s="402"/>
      <c r="O130" s="402"/>
      <c r="P130" s="402"/>
      <c r="Q130" s="402"/>
    </row>
    <row r="131" spans="1:26">
      <c r="B131" s="406" t="s">
        <v>2277</v>
      </c>
      <c r="C131" s="406"/>
      <c r="D131" s="437"/>
      <c r="E131" s="402"/>
      <c r="F131" s="402"/>
      <c r="G131" s="402"/>
      <c r="H131" s="402"/>
      <c r="I131" s="402"/>
      <c r="J131" s="402"/>
      <c r="K131" s="402"/>
      <c r="L131" s="402"/>
      <c r="M131" s="402"/>
      <c r="N131" s="402"/>
      <c r="O131" s="402"/>
      <c r="P131" s="402"/>
      <c r="Q131" s="402"/>
    </row>
    <row r="132" spans="1:26">
      <c r="A132" s="406" t="s">
        <v>2278</v>
      </c>
      <c r="B132" s="406" t="s">
        <v>2279</v>
      </c>
      <c r="C132" s="406"/>
      <c r="D132" s="427">
        <v>1.0405328924770259</v>
      </c>
      <c r="E132" s="410" t="e">
        <f>NA()</f>
        <v>#N/A</v>
      </c>
      <c r="F132" s="410" t="e">
        <f>NA()</f>
        <v>#N/A</v>
      </c>
      <c r="G132" s="410" t="e">
        <f>NA()</f>
        <v>#N/A</v>
      </c>
      <c r="H132" s="410" t="e">
        <f>NA()</f>
        <v>#N/A</v>
      </c>
      <c r="I132" s="410" t="e">
        <f>NA()</f>
        <v>#N/A</v>
      </c>
      <c r="J132" s="410" t="e">
        <f>NA()</f>
        <v>#N/A</v>
      </c>
      <c r="K132" s="410" t="e">
        <f>NA()</f>
        <v>#N/A</v>
      </c>
      <c r="L132" s="410" t="e">
        <f>NA()</f>
        <v>#N/A</v>
      </c>
      <c r="M132" s="410" t="e">
        <f>NA()</f>
        <v>#N/A</v>
      </c>
      <c r="N132" s="410" t="e">
        <f>NA()</f>
        <v>#N/A</v>
      </c>
      <c r="O132" s="410" t="e">
        <f>NA()</f>
        <v>#N/A</v>
      </c>
      <c r="P132" s="410" t="e">
        <f>NA()</f>
        <v>#N/A</v>
      </c>
      <c r="Q132" s="410" t="e">
        <f>NA()</f>
        <v>#N/A</v>
      </c>
    </row>
    <row r="133" spans="1:26" s="37" customFormat="1">
      <c r="A133" s="420" t="s">
        <v>2280</v>
      </c>
      <c r="B133" s="420" t="s">
        <v>2281</v>
      </c>
      <c r="C133" s="420"/>
      <c r="D133" s="437">
        <v>9.5930657662089039E-2</v>
      </c>
      <c r="E133" s="410">
        <f>RESULTS!E69/RESULTS!E67</f>
        <v>0.11882550726095152</v>
      </c>
      <c r="F133" s="410">
        <f>RESULTS!F69/RESULTS!F67</f>
        <v>0.11872904572509912</v>
      </c>
      <c r="G133" s="410">
        <f>RESULTS!G69/RESULTS!G67</f>
        <v>0.11856460690771078</v>
      </c>
      <c r="H133" s="410" t="e">
        <f>RESULTS!H69/RESULTS!H67</f>
        <v>#VALUE!</v>
      </c>
      <c r="I133" s="410" t="e">
        <f>RESULTS!I69/RESULTS!I67</f>
        <v>#VALUE!</v>
      </c>
      <c r="J133" s="410" t="e">
        <f>RESULTS!J69/RESULTS!J67</f>
        <v>#VALUE!</v>
      </c>
      <c r="K133" s="410" t="e">
        <f>RESULTS!K69/RESULTS!K67</f>
        <v>#VALUE!</v>
      </c>
      <c r="L133" s="410" t="e">
        <f>RESULTS!L69/RESULTS!L67</f>
        <v>#VALUE!</v>
      </c>
      <c r="M133" s="410" t="e">
        <f>RESULTS!M69/RESULTS!M67</f>
        <v>#VALUE!</v>
      </c>
      <c r="N133" s="410" t="e">
        <f>RESULTS!N69/RESULTS!N67</f>
        <v>#VALUE!</v>
      </c>
      <c r="O133" s="410" t="e">
        <f>RESULTS!O69/RESULTS!O67</f>
        <v>#VALUE!</v>
      </c>
      <c r="P133" s="410" t="e">
        <f>RESULTS!P69/RESULTS!P67</f>
        <v>#VALUE!</v>
      </c>
      <c r="Q133" s="410" t="e">
        <f>RESULTS!Q69/RESULTS!Q67</f>
        <v>#VALUE!</v>
      </c>
      <c r="R133" s="439"/>
      <c r="S133" s="439"/>
      <c r="T133" s="439"/>
      <c r="U133" s="439"/>
      <c r="V133" s="439"/>
      <c r="W133" s="439"/>
      <c r="X133" s="439"/>
      <c r="Y133" s="439"/>
      <c r="Z133" s="439"/>
    </row>
    <row r="134" spans="1:26">
      <c r="D134" s="153"/>
      <c r="E134" s="462"/>
      <c r="F134" s="462"/>
      <c r="G134" s="462"/>
      <c r="H134" s="462"/>
      <c r="I134" s="462"/>
      <c r="J134" s="462"/>
      <c r="K134" s="462"/>
      <c r="L134" s="462"/>
      <c r="M134" s="462"/>
      <c r="N134" s="462"/>
      <c r="O134" s="462"/>
      <c r="P134" s="462"/>
      <c r="Q134" s="462"/>
    </row>
    <row r="135" spans="1:26">
      <c r="B135" s="411" t="s">
        <v>2282</v>
      </c>
      <c r="C135" s="411"/>
      <c r="D135" s="412"/>
      <c r="E135" s="402"/>
      <c r="F135" s="402"/>
      <c r="G135" s="402"/>
      <c r="H135" s="402"/>
      <c r="I135" s="402"/>
      <c r="J135" s="402"/>
      <c r="K135" s="402"/>
      <c r="L135" s="402"/>
      <c r="M135" s="402"/>
      <c r="N135" s="402"/>
      <c r="O135" s="402"/>
      <c r="P135" s="402"/>
      <c r="Q135" s="402"/>
    </row>
    <row r="136" spans="1:26">
      <c r="A136" s="406" t="s">
        <v>2283</v>
      </c>
      <c r="B136" s="406" t="s">
        <v>2284</v>
      </c>
      <c r="C136" s="406"/>
      <c r="D136" s="407"/>
      <c r="E136" s="408">
        <f>RESULTS!E$65/RESULTS!D$65-1</f>
        <v>4.3227519678949333E-2</v>
      </c>
      <c r="F136" s="408">
        <f>RESULTS!F$65/RESULTS!E$65-1</f>
        <v>3.7790259229561807E-2</v>
      </c>
      <c r="G136" s="408">
        <f>RESULTS!G$65/RESULTS!F$65-1</f>
        <v>4.0641904976608911E-2</v>
      </c>
      <c r="H136" s="408" t="e">
        <f>RESULTS!H$65/RESULTS!G$65-1</f>
        <v>#VALUE!</v>
      </c>
      <c r="I136" s="408" t="e">
        <f>RESULTS!I$65/RESULTS!H$65-1</f>
        <v>#VALUE!</v>
      </c>
      <c r="J136" s="408" t="e">
        <f>RESULTS!J$65/RESULTS!I$65-1</f>
        <v>#VALUE!</v>
      </c>
      <c r="K136" s="408" t="e">
        <f>RESULTS!K$65/RESULTS!J$65-1</f>
        <v>#VALUE!</v>
      </c>
      <c r="L136" s="408" t="e">
        <f>RESULTS!L$65/RESULTS!K$65-1</f>
        <v>#VALUE!</v>
      </c>
      <c r="M136" s="408" t="e">
        <f>RESULTS!M$65/RESULTS!L$65-1</f>
        <v>#VALUE!</v>
      </c>
      <c r="N136" s="408" t="e">
        <f>RESULTS!N$65/RESULTS!M$65-1</f>
        <v>#VALUE!</v>
      </c>
      <c r="O136" s="408" t="e">
        <f>RESULTS!O$65/RESULTS!N$65-1</f>
        <v>#VALUE!</v>
      </c>
      <c r="P136" s="408" t="e">
        <f>RESULTS!P$65/RESULTS!O$65-1</f>
        <v>#VALUE!</v>
      </c>
      <c r="Q136" s="408" t="e">
        <f>RESULTS!Q$65/RESULTS!P$65-1</f>
        <v>#VALUE!</v>
      </c>
    </row>
    <row r="137" spans="1:26">
      <c r="A137" s="406"/>
      <c r="B137" s="406" t="s">
        <v>2285</v>
      </c>
      <c r="C137" s="406"/>
      <c r="D137" s="407"/>
      <c r="E137" s="408">
        <f>RESULTS!E$65/RESULTS!D$65-1</f>
        <v>4.3227519678949333E-2</v>
      </c>
      <c r="F137" s="408">
        <f>RESULTS!F$65/RESULTS!E$65-1</f>
        <v>3.7790259229561807E-2</v>
      </c>
      <c r="G137" s="408">
        <f>RESULTS!G$65/RESULTS!F$65-1</f>
        <v>4.0641904976608911E-2</v>
      </c>
      <c r="H137" s="408" t="e">
        <f>RESULTS!H$65/RESULTS!G$65-1</f>
        <v>#VALUE!</v>
      </c>
      <c r="I137" s="408" t="e">
        <f>RESULTS!I$65/RESULTS!H$65-1</f>
        <v>#VALUE!</v>
      </c>
      <c r="J137" s="408" t="e">
        <f>RESULTS!J$65/RESULTS!I$65-1</f>
        <v>#VALUE!</v>
      </c>
      <c r="K137" s="408" t="e">
        <f>RESULTS!K$65/RESULTS!J$65-1</f>
        <v>#VALUE!</v>
      </c>
      <c r="L137" s="408" t="e">
        <f>RESULTS!L$65/RESULTS!K$65-1</f>
        <v>#VALUE!</v>
      </c>
      <c r="M137" s="408" t="e">
        <f>RESULTS!M$65/RESULTS!L$65-1</f>
        <v>#VALUE!</v>
      </c>
      <c r="N137" s="408" t="e">
        <f>RESULTS!N$65/RESULTS!M$65-1</f>
        <v>#VALUE!</v>
      </c>
      <c r="O137" s="408" t="e">
        <f>RESULTS!O$65/RESULTS!N$65-1</f>
        <v>#VALUE!</v>
      </c>
      <c r="P137" s="408" t="e">
        <f>RESULTS!P$65/RESULTS!O$65-1</f>
        <v>#VALUE!</v>
      </c>
      <c r="Q137" s="408" t="e">
        <f>RESULTS!Q$65/RESULTS!P$65-1</f>
        <v>#VALUE!</v>
      </c>
    </row>
    <row r="138" spans="1:26">
      <c r="A138" s="406" t="s">
        <v>2286</v>
      </c>
      <c r="B138" s="406" t="s">
        <v>2287</v>
      </c>
      <c r="C138" s="406"/>
      <c r="D138" s="407"/>
      <c r="E138" s="408">
        <f>RESULTS!E$65/RESULTS!D$65-1</f>
        <v>4.3227519678949333E-2</v>
      </c>
      <c r="F138" s="408">
        <f>RESULTS!F$65/RESULTS!E$65-1</f>
        <v>3.7790259229561807E-2</v>
      </c>
      <c r="G138" s="408">
        <f>RESULTS!G$65/RESULTS!F$65-1</f>
        <v>4.0641904976608911E-2</v>
      </c>
      <c r="H138" s="408" t="e">
        <f>RESULTS!H$65/RESULTS!G$65-1</f>
        <v>#VALUE!</v>
      </c>
      <c r="I138" s="408" t="e">
        <f>RESULTS!I$65/RESULTS!H$65-1</f>
        <v>#VALUE!</v>
      </c>
      <c r="J138" s="408" t="e">
        <f>RESULTS!J$65/RESULTS!I$65-1</f>
        <v>#VALUE!</v>
      </c>
      <c r="K138" s="408" t="e">
        <f>RESULTS!K$65/RESULTS!J$65-1</f>
        <v>#VALUE!</v>
      </c>
      <c r="L138" s="408" t="e">
        <f>RESULTS!L$65/RESULTS!K$65-1</f>
        <v>#VALUE!</v>
      </c>
      <c r="M138" s="408" t="e">
        <f>RESULTS!M$65/RESULTS!L$65-1</f>
        <v>#VALUE!</v>
      </c>
      <c r="N138" s="408" t="e">
        <f>RESULTS!N$65/RESULTS!M$65-1</f>
        <v>#VALUE!</v>
      </c>
      <c r="O138" s="408" t="e">
        <f>RESULTS!O$65/RESULTS!N$65-1</f>
        <v>#VALUE!</v>
      </c>
      <c r="P138" s="408" t="e">
        <f>RESULTS!P$65/RESULTS!O$65-1</f>
        <v>#VALUE!</v>
      </c>
      <c r="Q138" s="408" t="e">
        <f>RESULTS!Q$65/RESULTS!P$65-1</f>
        <v>#VALUE!</v>
      </c>
    </row>
    <row r="139" spans="1:26">
      <c r="A139" s="406" t="s">
        <v>2288</v>
      </c>
      <c r="B139" s="406" t="s">
        <v>2289</v>
      </c>
      <c r="C139" s="406"/>
      <c r="D139" s="407"/>
      <c r="E139" s="408">
        <f>RESULTS!E$65/RESULTS!D$65-1</f>
        <v>4.3227519678949333E-2</v>
      </c>
      <c r="F139" s="408">
        <f>RESULTS!F$65/RESULTS!E$65-1</f>
        <v>3.7790259229561807E-2</v>
      </c>
      <c r="G139" s="408">
        <f>RESULTS!G$65/RESULTS!F$65-1</f>
        <v>4.0641904976608911E-2</v>
      </c>
      <c r="H139" s="408" t="e">
        <f>RESULTS!H$65/RESULTS!G$65-1</f>
        <v>#VALUE!</v>
      </c>
      <c r="I139" s="408" t="e">
        <f>RESULTS!I$65/RESULTS!H$65-1</f>
        <v>#VALUE!</v>
      </c>
      <c r="J139" s="408" t="e">
        <f>RESULTS!J$65/RESULTS!I$65-1</f>
        <v>#VALUE!</v>
      </c>
      <c r="K139" s="408" t="e">
        <f>RESULTS!K$65/RESULTS!J$65-1</f>
        <v>#VALUE!</v>
      </c>
      <c r="L139" s="408" t="e">
        <f>RESULTS!L$65/RESULTS!K$65-1</f>
        <v>#VALUE!</v>
      </c>
      <c r="M139" s="408" t="e">
        <f>RESULTS!M$65/RESULTS!L$65-1</f>
        <v>#VALUE!</v>
      </c>
      <c r="N139" s="408" t="e">
        <f>RESULTS!N$65/RESULTS!M$65-1</f>
        <v>#VALUE!</v>
      </c>
      <c r="O139" s="408" t="e">
        <f>RESULTS!O$65/RESULTS!N$65-1</f>
        <v>#VALUE!</v>
      </c>
      <c r="P139" s="408" t="e">
        <f>RESULTS!P$65/RESULTS!O$65-1</f>
        <v>#VALUE!</v>
      </c>
      <c r="Q139" s="408" t="e">
        <f>RESULTS!Q$65/RESULTS!P$65-1</f>
        <v>#VALUE!</v>
      </c>
    </row>
    <row r="140" spans="1:26">
      <c r="D140" s="153"/>
      <c r="E140" s="402"/>
      <c r="F140" s="402"/>
      <c r="G140" s="402"/>
      <c r="H140" s="402"/>
      <c r="I140" s="402"/>
      <c r="J140" s="402"/>
      <c r="K140" s="402"/>
      <c r="L140" s="402"/>
      <c r="M140" s="402"/>
      <c r="N140" s="402"/>
      <c r="O140" s="402"/>
      <c r="P140" s="402"/>
      <c r="Q140" s="402"/>
    </row>
    <row r="141" spans="1:26">
      <c r="B141" s="406" t="s">
        <v>2290</v>
      </c>
      <c r="C141" s="406"/>
      <c r="D141" s="407"/>
      <c r="E141" s="402"/>
      <c r="F141" s="402"/>
      <c r="G141" s="402"/>
      <c r="H141" s="402"/>
      <c r="I141" s="402"/>
      <c r="J141" s="402"/>
      <c r="K141" s="402"/>
      <c r="L141" s="402"/>
      <c r="M141" s="402"/>
      <c r="N141" s="402"/>
      <c r="O141" s="402"/>
      <c r="P141" s="402"/>
      <c r="Q141" s="402"/>
    </row>
    <row r="142" spans="1:26">
      <c r="B142" s="397" t="s">
        <v>2135</v>
      </c>
      <c r="C142" s="397"/>
      <c r="D142" s="407"/>
      <c r="E142" s="402"/>
      <c r="F142" s="402"/>
      <c r="G142" s="402"/>
      <c r="H142" s="402"/>
      <c r="I142" s="402"/>
      <c r="J142" s="402"/>
      <c r="K142" s="402"/>
      <c r="L142" s="402"/>
      <c r="M142" s="402"/>
      <c r="N142" s="402"/>
      <c r="O142" s="402"/>
      <c r="P142" s="402"/>
      <c r="Q142" s="402"/>
    </row>
    <row r="143" spans="1:26">
      <c r="A143" s="406" t="s">
        <v>2291</v>
      </c>
      <c r="B143" s="406" t="s">
        <v>2284</v>
      </c>
      <c r="C143" s="406"/>
      <c r="D143" s="407"/>
      <c r="E143" s="423">
        <f>(RESULTS!E$54/RESULTS!E$65)/(RESULTS!D$54/RESULTS!D$65)-1</f>
        <v>0.24899999999999989</v>
      </c>
      <c r="F143" s="423">
        <f>(RESULTS!F$54/RESULTS!F$65)/(RESULTS!E$54/RESULTS!E$65)-1</f>
        <v>0.17200000000000015</v>
      </c>
      <c r="G143" s="423">
        <f>(RESULTS!G$54/RESULTS!G$65)/(RESULTS!F$54/RESULTS!F$65)-1</f>
        <v>0.13300000000000001</v>
      </c>
      <c r="H143" s="423" t="e">
        <f>(RESULTS!H$54/RESULTS!H$65)/(RESULTS!G$54/RESULTS!G$65)-1</f>
        <v>#VALUE!</v>
      </c>
      <c r="I143" s="423" t="e">
        <f>(RESULTS!I$54/RESULTS!I$65)/(RESULTS!H$54/RESULTS!H$65)-1</f>
        <v>#VALUE!</v>
      </c>
      <c r="J143" s="423" t="e">
        <f>(RESULTS!J$54/RESULTS!J$65)/(RESULTS!I$54/RESULTS!I$65)-1</f>
        <v>#VALUE!</v>
      </c>
      <c r="K143" s="423" t="e">
        <f>(RESULTS!K$54/RESULTS!K$65)/(RESULTS!J$54/RESULTS!J$65)-1</f>
        <v>#VALUE!</v>
      </c>
      <c r="L143" s="423" t="e">
        <f>(RESULTS!L$54/RESULTS!L$65)/(RESULTS!K$54/RESULTS!K$65)-1</f>
        <v>#VALUE!</v>
      </c>
      <c r="M143" s="423" t="e">
        <f>(RESULTS!M$54/RESULTS!M$65)/(RESULTS!L$54/RESULTS!L$65)-1</f>
        <v>#VALUE!</v>
      </c>
      <c r="N143" s="423" t="e">
        <f>(RESULTS!N$54/RESULTS!N$65)/(RESULTS!M$54/RESULTS!M$65)-1</f>
        <v>#VALUE!</v>
      </c>
      <c r="O143" s="423" t="e">
        <f>(RESULTS!O$54/RESULTS!O$65)/(RESULTS!N$54/RESULTS!N$65)-1</f>
        <v>#VALUE!</v>
      </c>
      <c r="P143" s="423" t="e">
        <f>(RESULTS!P$54/RESULTS!P$65)/(RESULTS!O$54/RESULTS!O$65)-1</f>
        <v>#VALUE!</v>
      </c>
      <c r="Q143" s="423" t="e">
        <f>(RESULTS!Q$54/RESULTS!Q$65)/(RESULTS!P$54/RESULTS!P$65)-1</f>
        <v>#VALUE!</v>
      </c>
      <c r="R143" s="440"/>
    </row>
    <row r="144" spans="1:26">
      <c r="A144" s="406"/>
      <c r="B144" s="406" t="s">
        <v>2285</v>
      </c>
      <c r="C144" s="406"/>
      <c r="D144" s="407"/>
      <c r="E144" s="423">
        <f>(RESULTS!E$54/RESULTS!E$65)/(RESULTS!D$54/RESULTS!D$65)-1</f>
        <v>0.24899999999999989</v>
      </c>
      <c r="F144" s="423">
        <f>(RESULTS!F$54/RESULTS!F$65)/(RESULTS!E$54/RESULTS!E$65)-1</f>
        <v>0.17200000000000015</v>
      </c>
      <c r="G144" s="423">
        <f>(RESULTS!G$54/RESULTS!G$65)/(RESULTS!F$54/RESULTS!F$65)-1</f>
        <v>0.13300000000000001</v>
      </c>
      <c r="H144" s="423" t="e">
        <f>(RESULTS!H$54/RESULTS!H$65)/(RESULTS!G$54/RESULTS!G$65)-1</f>
        <v>#VALUE!</v>
      </c>
      <c r="I144" s="423" t="e">
        <f>(RESULTS!I$54/RESULTS!I$65)/(RESULTS!H$54/RESULTS!H$65)-1</f>
        <v>#VALUE!</v>
      </c>
      <c r="J144" s="423" t="e">
        <f>(RESULTS!J$54/RESULTS!J$65)/(RESULTS!I$54/RESULTS!I$65)-1</f>
        <v>#VALUE!</v>
      </c>
      <c r="K144" s="423" t="e">
        <f>(RESULTS!K$54/RESULTS!K$65)/(RESULTS!J$54/RESULTS!J$65)-1</f>
        <v>#VALUE!</v>
      </c>
      <c r="L144" s="423" t="e">
        <f>(RESULTS!L$54/RESULTS!L$65)/(RESULTS!K$54/RESULTS!K$65)-1</f>
        <v>#VALUE!</v>
      </c>
      <c r="M144" s="423" t="e">
        <f>(RESULTS!M$54/RESULTS!M$65)/(RESULTS!L$54/RESULTS!L$65)-1</f>
        <v>#VALUE!</v>
      </c>
      <c r="N144" s="423" t="e">
        <f>(RESULTS!N$54/RESULTS!N$65)/(RESULTS!M$54/RESULTS!M$65)-1</f>
        <v>#VALUE!</v>
      </c>
      <c r="O144" s="423" t="e">
        <f>(RESULTS!O$54/RESULTS!O$65)/(RESULTS!N$54/RESULTS!N$65)-1</f>
        <v>#VALUE!</v>
      </c>
      <c r="P144" s="423" t="e">
        <f>(RESULTS!P$54/RESULTS!P$65)/(RESULTS!O$54/RESULTS!O$65)-1</f>
        <v>#VALUE!</v>
      </c>
      <c r="Q144" s="423" t="e">
        <f>(RESULTS!Q$54/RESULTS!Q$65)/(RESULTS!P$54/RESULTS!P$65)-1</f>
        <v>#VALUE!</v>
      </c>
      <c r="R144" s="440"/>
    </row>
    <row r="145" spans="1:17">
      <c r="A145" s="406" t="s">
        <v>2292</v>
      </c>
      <c r="B145" s="406" t="s">
        <v>2287</v>
      </c>
      <c r="C145" s="406"/>
      <c r="D145" s="407"/>
      <c r="E145" s="423">
        <f>(RESULTS!E$54/RESULTS!E$65)/(RESULTS!D$54/RESULTS!D$65)-1</f>
        <v>0.24899999999999989</v>
      </c>
      <c r="F145" s="423">
        <f>(RESULTS!F$54/RESULTS!F$65)/(RESULTS!E$54/RESULTS!E$65)-1</f>
        <v>0.17200000000000015</v>
      </c>
      <c r="G145" s="423">
        <f>(RESULTS!G$54/RESULTS!G$65)/(RESULTS!F$54/RESULTS!F$65)-1</f>
        <v>0.13300000000000001</v>
      </c>
      <c r="H145" s="423" t="e">
        <f>(RESULTS!H$54/RESULTS!H$65)/(RESULTS!G$54/RESULTS!G$65)-1</f>
        <v>#VALUE!</v>
      </c>
      <c r="I145" s="423" t="e">
        <f>(RESULTS!I$54/RESULTS!I$65)/(RESULTS!H$54/RESULTS!H$65)-1</f>
        <v>#VALUE!</v>
      </c>
      <c r="J145" s="423" t="e">
        <f>(RESULTS!J$54/RESULTS!J$65)/(RESULTS!I$54/RESULTS!I$65)-1</f>
        <v>#VALUE!</v>
      </c>
      <c r="K145" s="423" t="e">
        <f>(RESULTS!K$54/RESULTS!K$65)/(RESULTS!J$54/RESULTS!J$65)-1</f>
        <v>#VALUE!</v>
      </c>
      <c r="L145" s="423" t="e">
        <f>(RESULTS!L$54/RESULTS!L$65)/(RESULTS!K$54/RESULTS!K$65)-1</f>
        <v>#VALUE!</v>
      </c>
      <c r="M145" s="423" t="e">
        <f>(RESULTS!M$54/RESULTS!M$65)/(RESULTS!L$54/RESULTS!L$65)-1</f>
        <v>#VALUE!</v>
      </c>
      <c r="N145" s="423" t="e">
        <f>(RESULTS!N$54/RESULTS!N$65)/(RESULTS!M$54/RESULTS!M$65)-1</f>
        <v>#VALUE!</v>
      </c>
      <c r="O145" s="423" t="e">
        <f>(RESULTS!O$54/RESULTS!O$65)/(RESULTS!N$54/RESULTS!N$65)-1</f>
        <v>#VALUE!</v>
      </c>
      <c r="P145" s="423" t="e">
        <f>(RESULTS!P$54/RESULTS!P$65)/(RESULTS!O$54/RESULTS!O$65)-1</f>
        <v>#VALUE!</v>
      </c>
      <c r="Q145" s="423" t="e">
        <f>(RESULTS!Q$54/RESULTS!Q$65)/(RESULTS!P$54/RESULTS!P$65)-1</f>
        <v>#VALUE!</v>
      </c>
    </row>
    <row r="146" spans="1:17">
      <c r="A146" s="406" t="s">
        <v>2293</v>
      </c>
      <c r="B146" s="406" t="s">
        <v>2289</v>
      </c>
      <c r="C146" s="406"/>
      <c r="D146" s="407"/>
      <c r="E146" s="423">
        <f>(RESULTS!E$54/RESULTS!E$65)/(RESULTS!D$54/RESULTS!D$65)-1</f>
        <v>0.24899999999999989</v>
      </c>
      <c r="F146" s="423">
        <f>(RESULTS!F$54/RESULTS!F$65)/(RESULTS!E$54/RESULTS!E$65)-1</f>
        <v>0.17200000000000015</v>
      </c>
      <c r="G146" s="423">
        <f>(RESULTS!G$54/RESULTS!G$65)/(RESULTS!F$54/RESULTS!F$65)-1</f>
        <v>0.13300000000000001</v>
      </c>
      <c r="H146" s="423" t="e">
        <f>(RESULTS!H$54/RESULTS!H$65)/(RESULTS!G$54/RESULTS!G$65)-1</f>
        <v>#VALUE!</v>
      </c>
      <c r="I146" s="423" t="e">
        <f>(RESULTS!I$54/RESULTS!I$65)/(RESULTS!H$54/RESULTS!H$65)-1</f>
        <v>#VALUE!</v>
      </c>
      <c r="J146" s="423" t="e">
        <f>(RESULTS!J$54/RESULTS!J$65)/(RESULTS!I$54/RESULTS!I$65)-1</f>
        <v>#VALUE!</v>
      </c>
      <c r="K146" s="423" t="e">
        <f>(RESULTS!K$54/RESULTS!K$65)/(RESULTS!J$54/RESULTS!J$65)-1</f>
        <v>#VALUE!</v>
      </c>
      <c r="L146" s="423" t="e">
        <f>(RESULTS!L$54/RESULTS!L$65)/(RESULTS!K$54/RESULTS!K$65)-1</f>
        <v>#VALUE!</v>
      </c>
      <c r="M146" s="423" t="e">
        <f>(RESULTS!M$54/RESULTS!M$65)/(RESULTS!L$54/RESULTS!L$65)-1</f>
        <v>#VALUE!</v>
      </c>
      <c r="N146" s="423" t="e">
        <f>(RESULTS!N$54/RESULTS!N$65)/(RESULTS!M$54/RESULTS!M$65)-1</f>
        <v>#VALUE!</v>
      </c>
      <c r="O146" s="423" t="e">
        <f>(RESULTS!O$54/RESULTS!O$65)/(RESULTS!N$54/RESULTS!N$65)-1</f>
        <v>#VALUE!</v>
      </c>
      <c r="P146" s="423" t="e">
        <f>(RESULTS!P$54/RESULTS!P$65)/(RESULTS!O$54/RESULTS!O$65)-1</f>
        <v>#VALUE!</v>
      </c>
      <c r="Q146" s="423" t="e">
        <f>(RESULTS!Q$54/RESULTS!Q$65)/(RESULTS!P$54/RESULTS!P$65)-1</f>
        <v>#VALUE!</v>
      </c>
    </row>
    <row r="147" spans="1:17">
      <c r="D147" s="153"/>
      <c r="E147" s="402"/>
      <c r="F147" s="402"/>
      <c r="G147" s="402"/>
      <c r="H147" s="402"/>
      <c r="I147" s="402"/>
      <c r="J147" s="402"/>
      <c r="K147" s="402"/>
      <c r="L147" s="402"/>
      <c r="M147" s="402"/>
      <c r="N147" s="402"/>
      <c r="O147" s="402"/>
      <c r="P147" s="402"/>
      <c r="Q147" s="402"/>
    </row>
    <row r="148" spans="1:17">
      <c r="B148" s="395" t="s">
        <v>2294</v>
      </c>
      <c r="C148" s="396"/>
      <c r="D148" s="407"/>
      <c r="E148" s="402"/>
      <c r="F148" s="402"/>
      <c r="G148" s="402"/>
      <c r="H148" s="402"/>
      <c r="I148" s="402"/>
      <c r="J148" s="402"/>
      <c r="K148" s="402"/>
      <c r="L148" s="402"/>
      <c r="M148" s="402"/>
      <c r="N148" s="402"/>
      <c r="O148" s="402"/>
      <c r="P148" s="402"/>
      <c r="Q148" s="402"/>
    </row>
    <row r="149" spans="1:17">
      <c r="B149" s="397" t="s">
        <v>2135</v>
      </c>
      <c r="C149" s="397"/>
      <c r="D149" s="407"/>
      <c r="E149" s="402"/>
      <c r="F149" s="402"/>
      <c r="G149" s="402"/>
      <c r="H149" s="402"/>
      <c r="I149" s="402"/>
      <c r="J149" s="402"/>
      <c r="K149" s="402"/>
      <c r="L149" s="402"/>
      <c r="M149" s="402"/>
      <c r="N149" s="402"/>
      <c r="O149" s="402"/>
      <c r="P149" s="402"/>
      <c r="Q149" s="402"/>
    </row>
    <row r="150" spans="1:17">
      <c r="B150" s="406" t="s">
        <v>2295</v>
      </c>
      <c r="C150" s="406"/>
      <c r="D150" s="407"/>
      <c r="E150" s="402"/>
      <c r="F150" s="402"/>
      <c r="G150" s="402"/>
      <c r="H150" s="402"/>
      <c r="I150" s="402"/>
      <c r="J150" s="402"/>
      <c r="K150" s="402"/>
      <c r="L150" s="402"/>
      <c r="M150" s="402"/>
      <c r="N150" s="402"/>
      <c r="O150" s="402"/>
      <c r="P150" s="402"/>
      <c r="Q150" s="402"/>
    </row>
    <row r="151" spans="1:17">
      <c r="D151" s="153"/>
      <c r="E151" s="402"/>
      <c r="F151" s="402"/>
      <c r="G151" s="402"/>
      <c r="H151" s="402"/>
      <c r="I151" s="402"/>
      <c r="J151" s="402"/>
      <c r="K151" s="402"/>
      <c r="L151" s="402"/>
      <c r="M151" s="402"/>
      <c r="N151" s="402"/>
      <c r="O151" s="402"/>
      <c r="P151" s="402"/>
      <c r="Q151" s="402"/>
    </row>
    <row r="152" spans="1:17">
      <c r="A152" s="406" t="s">
        <v>2304</v>
      </c>
      <c r="B152" s="406" t="s">
        <v>2305</v>
      </c>
      <c r="C152" s="406"/>
      <c r="D152" s="437"/>
      <c r="E152" s="423">
        <f>RESULTS!E12/RESULTS!E54</f>
        <v>7.498502673323916E-2</v>
      </c>
      <c r="F152" s="423">
        <f>RESULTS!F12/RESULTS!F54</f>
        <v>7.2591718836253732E-2</v>
      </c>
      <c r="G152" s="423">
        <f>RESULTS!G12/RESULTS!G54</f>
        <v>7.4407003490399332E-2</v>
      </c>
      <c r="H152" s="423" t="e">
        <f>RESULTS!H12/RESULTS!H54</f>
        <v>#VALUE!</v>
      </c>
      <c r="I152" s="423" t="e">
        <f>RESULTS!I12/RESULTS!I54</f>
        <v>#VALUE!</v>
      </c>
      <c r="J152" s="423" t="e">
        <f>RESULTS!J12/RESULTS!J54</f>
        <v>#VALUE!</v>
      </c>
      <c r="K152" s="423" t="e">
        <f>RESULTS!K12/RESULTS!K54</f>
        <v>#VALUE!</v>
      </c>
      <c r="L152" s="423" t="e">
        <f>RESULTS!L12/RESULTS!L54</f>
        <v>#VALUE!</v>
      </c>
      <c r="M152" s="423" t="e">
        <f>RESULTS!M12/RESULTS!M54</f>
        <v>#VALUE!</v>
      </c>
      <c r="N152" s="423" t="e">
        <f>RESULTS!N12/RESULTS!N54</f>
        <v>#VALUE!</v>
      </c>
      <c r="O152" s="423" t="e">
        <f>RESULTS!O12/RESULTS!O54</f>
        <v>#VALUE!</v>
      </c>
      <c r="P152" s="423" t="e">
        <f>RESULTS!P12/RESULTS!P54</f>
        <v>#VALUE!</v>
      </c>
      <c r="Q152" s="423" t="e">
        <f>RESULTS!Q12/RESULTS!Q54</f>
        <v>#VALUE!</v>
      </c>
    </row>
    <row r="153" spans="1:17">
      <c r="A153" t="s">
        <v>2306</v>
      </c>
      <c r="B153" t="s">
        <v>2307</v>
      </c>
      <c r="D153" s="463" t="s">
        <v>2359</v>
      </c>
      <c r="E153" s="423">
        <f>(RESULTS!E10)/(RESULTS!E62-[1]TRA!E$81)</f>
        <v>0.13372929604902173</v>
      </c>
      <c r="F153" s="423">
        <f>(RESULTS!F10)/(RESULTS!F62-[1]TRA!F$81)</f>
        <v>0.14638787490494914</v>
      </c>
      <c r="G153" s="423">
        <f>(RESULTS!G10)/(RESULTS!G62-[1]TRA!G$81)</f>
        <v>0.14859684010951013</v>
      </c>
      <c r="H153" s="423" t="e">
        <f>(RESULTS!H10)/(RESULTS!H62-[1]TRA!H$81)</f>
        <v>#VALUE!</v>
      </c>
      <c r="I153" s="423" t="e">
        <f>(RESULTS!I10)/(RESULTS!I62-[1]TRA!I$81)</f>
        <v>#VALUE!</v>
      </c>
      <c r="J153" s="423" t="e">
        <f>(RESULTS!J10)/(RESULTS!J62-[1]TRA!J$81)</f>
        <v>#VALUE!</v>
      </c>
      <c r="K153" s="423" t="e">
        <f>(RESULTS!K10)/(RESULTS!K62-[1]TRA!K$81)</f>
        <v>#VALUE!</v>
      </c>
      <c r="L153" s="423" t="e">
        <f>(RESULTS!L10)/(RESULTS!L62-[1]TRA!L$81)</f>
        <v>#VALUE!</v>
      </c>
      <c r="M153" s="423" t="e">
        <f>(RESULTS!M10)/(RESULTS!M62-[1]TRA!M$81)</f>
        <v>#VALUE!</v>
      </c>
      <c r="N153" s="423" t="e">
        <f>(RESULTS!N10)/(RESULTS!N62-[1]TRA!N$81)</f>
        <v>#VALUE!</v>
      </c>
      <c r="O153" s="423" t="e">
        <f>(RESULTS!O10)/(RESULTS!O62-[1]TRA!O$81)</f>
        <v>#VALUE!</v>
      </c>
      <c r="P153" s="423" t="e">
        <f>(RESULTS!P10)/(RESULTS!P62-[1]TRA!P$81)</f>
        <v>#VALUE!</v>
      </c>
      <c r="Q153" s="423" t="e">
        <f>(RESULTS!Q10)/(RESULTS!Q62-[1]TRA!Q$81)</f>
        <v>#VALUE!</v>
      </c>
    </row>
    <row r="154" spans="1:17">
      <c r="A154" s="406" t="s">
        <v>2308</v>
      </c>
      <c r="B154" s="406" t="s">
        <v>2309</v>
      </c>
      <c r="C154" s="406"/>
      <c r="D154" s="437"/>
      <c r="E154" s="423">
        <f>RESULTS!E9/RESULTS!E56</f>
        <v>7.0363689394269777E-2</v>
      </c>
      <c r="F154" s="423">
        <f>RESULTS!F9/RESULTS!F56</f>
        <v>7.4131465380027226E-2</v>
      </c>
      <c r="G154" s="423">
        <f>RESULTS!G9/RESULTS!G56</f>
        <v>7.6365275028445381E-2</v>
      </c>
      <c r="H154" s="423" t="e">
        <f>RESULTS!H9/RESULTS!H56</f>
        <v>#VALUE!</v>
      </c>
      <c r="I154" s="423" t="e">
        <f>RESULTS!I9/RESULTS!I56</f>
        <v>#VALUE!</v>
      </c>
      <c r="J154" s="423" t="e">
        <f>RESULTS!J9/RESULTS!J56</f>
        <v>#VALUE!</v>
      </c>
      <c r="K154" s="423" t="e">
        <f>RESULTS!K9/RESULTS!K56</f>
        <v>#VALUE!</v>
      </c>
      <c r="L154" s="423" t="e">
        <f>RESULTS!L9/RESULTS!L56</f>
        <v>#VALUE!</v>
      </c>
      <c r="M154" s="423" t="e">
        <f>RESULTS!M9/RESULTS!M56</f>
        <v>#VALUE!</v>
      </c>
      <c r="N154" s="423" t="e">
        <f>RESULTS!N9/RESULTS!N56</f>
        <v>#VALUE!</v>
      </c>
      <c r="O154" s="423" t="e">
        <f>RESULTS!O9/RESULTS!O56</f>
        <v>#VALUE!</v>
      </c>
      <c r="P154" s="423" t="e">
        <f>RESULTS!P9/RESULTS!P56</f>
        <v>#VALUE!</v>
      </c>
      <c r="Q154" s="423" t="e">
        <f>RESULTS!Q9/RESULTS!Q56</f>
        <v>#VALUE!</v>
      </c>
    </row>
    <row r="155" spans="1:17">
      <c r="A155" s="406" t="s">
        <v>2310</v>
      </c>
      <c r="B155" s="406" t="s">
        <v>2311</v>
      </c>
      <c r="C155" s="406"/>
      <c r="D155" s="437"/>
      <c r="E155" s="423">
        <f>RESULTS!E6/RESULTS!E56</f>
        <v>3.1684177133198578E-3</v>
      </c>
      <c r="F155" s="423">
        <f>RESULTS!F6/RESULTS!F56</f>
        <v>4.4837088637514639E-3</v>
      </c>
      <c r="G155" s="423">
        <f>RESULTS!G6/RESULTS!G56</f>
        <v>4.5699910768128675E-3</v>
      </c>
      <c r="H155" s="423" t="e">
        <f>RESULTS!H6/RESULTS!H56</f>
        <v>#VALUE!</v>
      </c>
      <c r="I155" s="423" t="e">
        <f>RESULTS!I6/RESULTS!I56</f>
        <v>#VALUE!</v>
      </c>
      <c r="J155" s="423" t="e">
        <f>RESULTS!J6/RESULTS!J56</f>
        <v>#VALUE!</v>
      </c>
      <c r="K155" s="423" t="e">
        <f>RESULTS!K6/RESULTS!K56</f>
        <v>#VALUE!</v>
      </c>
      <c r="L155" s="423" t="e">
        <f>RESULTS!L6/RESULTS!L56</f>
        <v>#VALUE!</v>
      </c>
      <c r="M155" s="423" t="e">
        <f>RESULTS!M6/RESULTS!M56</f>
        <v>#VALUE!</v>
      </c>
      <c r="N155" s="423" t="e">
        <f>RESULTS!N6/RESULTS!N56</f>
        <v>#VALUE!</v>
      </c>
      <c r="O155" s="423" t="e">
        <f>RESULTS!O6/RESULTS!O56</f>
        <v>#VALUE!</v>
      </c>
      <c r="P155" s="423" t="e">
        <f>RESULTS!P6/RESULTS!P56</f>
        <v>#VALUE!</v>
      </c>
      <c r="Q155" s="423" t="e">
        <f>RESULTS!Q6/RESULTS!Q56</f>
        <v>#VALUE!</v>
      </c>
    </row>
    <row r="156" spans="1:17">
      <c r="A156" s="406"/>
      <c r="B156" s="406" t="s">
        <v>2312</v>
      </c>
      <c r="C156" s="406"/>
      <c r="D156" s="437"/>
      <c r="E156" s="464">
        <f>RESULTS!E15/RESULTS!E58</f>
        <v>0.55808042774842026</v>
      </c>
      <c r="F156" s="464">
        <f>RESULTS!F15/RESULTS!F58</f>
        <v>0.63059609308959386</v>
      </c>
      <c r="G156" s="464">
        <f>RESULTS!G15/RESULTS!G58</f>
        <v>0.55215242820126853</v>
      </c>
      <c r="H156" s="464" t="e">
        <f>RESULTS!H15/RESULTS!H58</f>
        <v>#VALUE!</v>
      </c>
      <c r="I156" s="464" t="e">
        <f>RESULTS!I15/RESULTS!I58</f>
        <v>#VALUE!</v>
      </c>
      <c r="J156" s="464" t="e">
        <f>RESULTS!J15/RESULTS!J58</f>
        <v>#VALUE!</v>
      </c>
      <c r="K156" s="464" t="e">
        <f>RESULTS!K15/RESULTS!K58</f>
        <v>#VALUE!</v>
      </c>
      <c r="L156" s="464" t="e">
        <f>RESULTS!L15/RESULTS!L58</f>
        <v>#VALUE!</v>
      </c>
      <c r="M156" s="464" t="e">
        <f>RESULTS!M15/RESULTS!M58</f>
        <v>#VALUE!</v>
      </c>
      <c r="N156" s="464" t="e">
        <f>RESULTS!N15/RESULTS!N58</f>
        <v>#VALUE!</v>
      </c>
      <c r="O156" s="464" t="e">
        <f>RESULTS!O15/RESULTS!O58</f>
        <v>#VALUE!</v>
      </c>
      <c r="P156" s="464" t="e">
        <f>RESULTS!P15/RESULTS!P58</f>
        <v>#VALUE!</v>
      </c>
      <c r="Q156" s="464" t="e">
        <f>RESULTS!Q15/RESULTS!Q58</f>
        <v>#VALUE!</v>
      </c>
    </row>
    <row r="157" spans="1:17" s="45" customFormat="1">
      <c r="A157" s="425" t="s">
        <v>2313</v>
      </c>
      <c r="B157" s="441" t="s">
        <v>2314</v>
      </c>
      <c r="C157" s="441"/>
      <c r="D157" s="437" t="s">
        <v>2359</v>
      </c>
      <c r="E157" s="423">
        <f>(RESULTS!E19)/RESULTS!E56</f>
        <v>1.6441518722218485E-2</v>
      </c>
      <c r="F157" s="423">
        <f>(RESULTS!F19)/RESULTS!F56</f>
        <v>1.4922343496332365E-2</v>
      </c>
      <c r="G157" s="423">
        <f>(RESULTS!G19)/RESULTS!G56</f>
        <v>1.3888024742236662E-2</v>
      </c>
      <c r="H157" s="423" t="e">
        <f>(RESULTS!H19)/RESULTS!H56</f>
        <v>#VALUE!</v>
      </c>
      <c r="I157" s="423" t="e">
        <f>(RESULTS!I19)/RESULTS!I56</f>
        <v>#VALUE!</v>
      </c>
      <c r="J157" s="423" t="e">
        <f>(RESULTS!J19)/RESULTS!J56</f>
        <v>#VALUE!</v>
      </c>
      <c r="K157" s="423" t="e">
        <f>(RESULTS!K19)/RESULTS!K56</f>
        <v>#VALUE!</v>
      </c>
      <c r="L157" s="423" t="e">
        <f>(RESULTS!L19)/RESULTS!L56</f>
        <v>#VALUE!</v>
      </c>
      <c r="M157" s="423" t="e">
        <f>(RESULTS!M19)/RESULTS!M56</f>
        <v>#VALUE!</v>
      </c>
      <c r="N157" s="423" t="e">
        <f>(RESULTS!N19)/RESULTS!N56</f>
        <v>#VALUE!</v>
      </c>
      <c r="O157" s="423" t="e">
        <f>(RESULTS!O19)/RESULTS!O56</f>
        <v>#VALUE!</v>
      </c>
      <c r="P157" s="423" t="e">
        <f>(RESULTS!P19)/RESULTS!P56</f>
        <v>#VALUE!</v>
      </c>
      <c r="Q157" s="423" t="e">
        <f>(RESULTS!Q19)/RESULTS!Q56</f>
        <v>#VALUE!</v>
      </c>
    </row>
    <row r="158" spans="1:17" s="45" customFormat="1">
      <c r="A158" s="428" t="s">
        <v>2315</v>
      </c>
      <c r="B158" s="425" t="s">
        <v>2316</v>
      </c>
      <c r="C158" s="441"/>
      <c r="D158" s="442"/>
      <c r="E158" s="423">
        <f>RESULTS!E18/RESULTS!E61</f>
        <v>0</v>
      </c>
      <c r="F158" s="423">
        <f>RESULTS!F18/RESULTS!F61</f>
        <v>-1.3852524572596425E-15</v>
      </c>
      <c r="G158" s="423">
        <f>RESULTS!G18/RESULTS!G61</f>
        <v>0</v>
      </c>
      <c r="H158" s="423" t="e">
        <f>RESULTS!H18/RESULTS!H61</f>
        <v>#VALUE!</v>
      </c>
      <c r="I158" s="423" t="e">
        <f>RESULTS!I18/RESULTS!I61</f>
        <v>#VALUE!</v>
      </c>
      <c r="J158" s="423" t="e">
        <f>RESULTS!J18/RESULTS!J61</f>
        <v>#VALUE!</v>
      </c>
      <c r="K158" s="423" t="e">
        <f>RESULTS!K18/RESULTS!K61</f>
        <v>#VALUE!</v>
      </c>
      <c r="L158" s="423" t="e">
        <f>RESULTS!L18/RESULTS!L61</f>
        <v>#VALUE!</v>
      </c>
      <c r="M158" s="423" t="e">
        <f>RESULTS!M18/RESULTS!M61</f>
        <v>#VALUE!</v>
      </c>
      <c r="N158" s="423" t="e">
        <f>RESULTS!N18/RESULTS!N61</f>
        <v>#VALUE!</v>
      </c>
      <c r="O158" s="423" t="e">
        <f>RESULTS!O18/RESULTS!O61</f>
        <v>#VALUE!</v>
      </c>
      <c r="P158" s="423" t="e">
        <f>RESULTS!P18/RESULTS!P61</f>
        <v>#VALUE!</v>
      </c>
      <c r="Q158" s="423" t="e">
        <f>RESULTS!Q18/RESULTS!Q61</f>
        <v>#VALUE!</v>
      </c>
    </row>
    <row r="159" spans="1:17" s="37" customFormat="1">
      <c r="A159" s="443" t="s">
        <v>2317</v>
      </c>
      <c r="B159" s="443" t="s">
        <v>2318</v>
      </c>
      <c r="C159" s="443"/>
      <c r="D159" s="442"/>
      <c r="E159" s="423">
        <f>RESULTS!E20/RESULTS!E56</f>
        <v>3.6308353481713608E-2</v>
      </c>
      <c r="F159" s="423">
        <f>RESULTS!F20/RESULTS!F56</f>
        <v>3.7201664429378258E-2</v>
      </c>
      <c r="G159" s="423">
        <f>RESULTS!G20/RESULTS!G56</f>
        <v>3.8755898302353965E-2</v>
      </c>
      <c r="H159" s="423" t="e">
        <f>RESULTS!H20/RESULTS!H56</f>
        <v>#VALUE!</v>
      </c>
      <c r="I159" s="423" t="e">
        <f>RESULTS!I20/RESULTS!I56</f>
        <v>#VALUE!</v>
      </c>
      <c r="J159" s="423" t="e">
        <f>RESULTS!J20/RESULTS!J56</f>
        <v>#VALUE!</v>
      </c>
      <c r="K159" s="423" t="e">
        <f>RESULTS!K20/RESULTS!K56</f>
        <v>#VALUE!</v>
      </c>
      <c r="L159" s="423" t="e">
        <f>RESULTS!L20/RESULTS!L56</f>
        <v>#VALUE!</v>
      </c>
      <c r="M159" s="423" t="e">
        <f>RESULTS!M20/RESULTS!M56</f>
        <v>#VALUE!</v>
      </c>
      <c r="N159" s="423" t="e">
        <f>RESULTS!N20/RESULTS!N56</f>
        <v>#VALUE!</v>
      </c>
      <c r="O159" s="423" t="e">
        <f>RESULTS!O20/RESULTS!O56</f>
        <v>#VALUE!</v>
      </c>
      <c r="P159" s="423" t="e">
        <f>RESULTS!P20/RESULTS!P56</f>
        <v>#VALUE!</v>
      </c>
      <c r="Q159" s="423" t="e">
        <f>RESULTS!Q20/RESULTS!Q56</f>
        <v>#VALUE!</v>
      </c>
    </row>
    <row r="160" spans="1:17" s="37" customFormat="1">
      <c r="A160" s="443"/>
      <c r="B160" s="420" t="s">
        <v>2319</v>
      </c>
      <c r="C160" s="443"/>
      <c r="D160" s="437" t="s">
        <v>2051</v>
      </c>
      <c r="E160" s="423">
        <v>0</v>
      </c>
      <c r="F160" s="423">
        <v>0</v>
      </c>
      <c r="G160" s="423">
        <v>0</v>
      </c>
      <c r="H160" s="423">
        <v>0</v>
      </c>
      <c r="I160" s="423">
        <v>0</v>
      </c>
      <c r="J160" s="423">
        <v>0</v>
      </c>
      <c r="K160" s="423">
        <v>0</v>
      </c>
      <c r="L160" s="423">
        <v>0</v>
      </c>
      <c r="M160" s="423">
        <v>0</v>
      </c>
      <c r="N160" s="423">
        <v>0</v>
      </c>
      <c r="O160" s="423">
        <v>0</v>
      </c>
      <c r="P160" s="423">
        <v>0</v>
      </c>
      <c r="Q160" s="423">
        <v>0</v>
      </c>
    </row>
    <row r="161" spans="1:18">
      <c r="A161" s="406"/>
      <c r="B161" s="406"/>
      <c r="C161" s="406"/>
      <c r="D161" s="407"/>
      <c r="E161" s="402"/>
      <c r="F161" s="402"/>
      <c r="G161" s="402"/>
      <c r="H161" s="402"/>
      <c r="I161" s="402"/>
      <c r="J161" s="402"/>
      <c r="K161" s="402"/>
      <c r="L161" s="402"/>
      <c r="M161" s="402"/>
      <c r="N161" s="402"/>
      <c r="O161" s="402"/>
      <c r="P161" s="402"/>
      <c r="Q161" s="402"/>
    </row>
    <row r="162" spans="1:18">
      <c r="B162" s="406" t="s">
        <v>2320</v>
      </c>
      <c r="C162" s="406"/>
      <c r="D162" s="407"/>
      <c r="E162" s="402"/>
      <c r="F162" s="402"/>
      <c r="G162" s="402"/>
      <c r="H162" s="402"/>
      <c r="I162" s="402"/>
      <c r="J162" s="402"/>
      <c r="K162" s="402"/>
      <c r="L162" s="402"/>
      <c r="M162" s="402"/>
      <c r="N162" s="402"/>
      <c r="O162" s="402"/>
      <c r="P162" s="402"/>
      <c r="Q162" s="402"/>
    </row>
    <row r="163" spans="1:18">
      <c r="A163" s="406" t="s">
        <v>2321</v>
      </c>
      <c r="B163" s="406" t="s">
        <v>2322</v>
      </c>
      <c r="C163" s="406"/>
      <c r="D163" s="407" t="s">
        <v>2051</v>
      </c>
      <c r="E163" s="473">
        <v>0</v>
      </c>
      <c r="F163" s="473">
        <v>0</v>
      </c>
      <c r="G163" s="473">
        <v>0</v>
      </c>
      <c r="H163" s="473">
        <v>0</v>
      </c>
      <c r="I163" s="473">
        <v>0</v>
      </c>
      <c r="J163" s="473">
        <v>0</v>
      </c>
      <c r="K163" s="473">
        <v>0</v>
      </c>
      <c r="L163" s="473">
        <v>0</v>
      </c>
      <c r="M163" s="473">
        <v>0</v>
      </c>
      <c r="N163" s="473">
        <v>0</v>
      </c>
      <c r="O163" s="473">
        <v>0</v>
      </c>
      <c r="P163" s="473">
        <v>0</v>
      </c>
      <c r="Q163" s="473">
        <v>0</v>
      </c>
    </row>
    <row r="164" spans="1:18">
      <c r="A164" s="406" t="s">
        <v>2323</v>
      </c>
      <c r="B164" s="406" t="s">
        <v>2324</v>
      </c>
      <c r="C164" s="406"/>
      <c r="D164" s="407">
        <v>152</v>
      </c>
      <c r="E164" s="433">
        <f>RESULTS!E26</f>
        <v>177.00000000000006</v>
      </c>
      <c r="F164" s="433">
        <f>RESULTS!F26</f>
        <v>200.00000000000006</v>
      </c>
      <c r="G164" s="433">
        <f>RESULTS!G26</f>
        <v>150.00000000000003</v>
      </c>
      <c r="H164" s="433" t="e">
        <f>RESULTS!H26</f>
        <v>#VALUE!</v>
      </c>
      <c r="I164" s="433" t="e">
        <f>RESULTS!I26</f>
        <v>#VALUE!</v>
      </c>
      <c r="J164" s="433" t="e">
        <f>RESULTS!J26</f>
        <v>#VALUE!</v>
      </c>
      <c r="K164" s="433" t="e">
        <f>RESULTS!K26</f>
        <v>#VALUE!</v>
      </c>
      <c r="L164" s="433" t="e">
        <f>RESULTS!L26</f>
        <v>#VALUE!</v>
      </c>
      <c r="M164" s="433" t="e">
        <f>RESULTS!M26</f>
        <v>#VALUE!</v>
      </c>
      <c r="N164" s="433" t="e">
        <f>RESULTS!N26</f>
        <v>#VALUE!</v>
      </c>
      <c r="O164" s="433" t="e">
        <f>RESULTS!O26</f>
        <v>#VALUE!</v>
      </c>
      <c r="P164" s="433" t="e">
        <f>RESULTS!P26</f>
        <v>#VALUE!</v>
      </c>
      <c r="Q164" s="433" t="e">
        <f>RESULTS!Q26</f>
        <v>#VALUE!</v>
      </c>
    </row>
    <row r="165" spans="1:18">
      <c r="B165" s="444" t="s">
        <v>2325</v>
      </c>
      <c r="D165" s="445">
        <v>4.6666666666666669E-2</v>
      </c>
      <c r="E165" s="457">
        <f>'[1]ASU - 123'!E165</f>
        <v>-4.3553922137134223E-2</v>
      </c>
      <c r="F165" s="457">
        <f>'[1]ASU - 123'!F165</f>
        <v>0</v>
      </c>
      <c r="G165" s="457">
        <f>'[1]ASU - 123'!G165</f>
        <v>0</v>
      </c>
      <c r="H165" s="457">
        <f>'[1]ASU - 123'!H165</f>
        <v>0</v>
      </c>
      <c r="I165" s="457">
        <f>'[1]ASU - 123'!I165</f>
        <v>0</v>
      </c>
      <c r="J165" s="457">
        <f>'[1]ASU - 123'!J165</f>
        <v>0</v>
      </c>
      <c r="K165" s="457">
        <f>'[1]ASU - 123'!K165</f>
        <v>0</v>
      </c>
      <c r="L165" s="457">
        <f>'[1]ASU - 123'!L165</f>
        <v>0</v>
      </c>
      <c r="M165" s="457">
        <f>'[1]ASU - 123'!M165</f>
        <v>0</v>
      </c>
      <c r="N165" s="457">
        <f>'[1]ASU - 123'!N165</f>
        <v>0</v>
      </c>
      <c r="O165" s="457">
        <f>'[1]ASU - 123'!O165</f>
        <v>0</v>
      </c>
      <c r="P165" s="457">
        <f>'[1]ASU - 123'!P165</f>
        <v>0</v>
      </c>
      <c r="Q165" s="457">
        <f>'[1]ASU - 123'!Q165</f>
        <v>0</v>
      </c>
    </row>
    <row r="166" spans="1:18">
      <c r="D166" s="153"/>
    </row>
    <row r="167" spans="1:18">
      <c r="B167" s="395" t="s">
        <v>2326</v>
      </c>
      <c r="C167" s="396"/>
      <c r="D167" s="407"/>
      <c r="E167" s="402"/>
      <c r="F167" s="402"/>
      <c r="G167" s="402"/>
      <c r="H167" s="402"/>
      <c r="I167" s="402"/>
      <c r="J167" s="402"/>
      <c r="K167" s="402"/>
      <c r="L167" s="402"/>
      <c r="M167" s="402"/>
      <c r="N167" s="402"/>
      <c r="O167" s="402"/>
      <c r="P167" s="402"/>
      <c r="Q167" s="402"/>
    </row>
    <row r="168" spans="1:18">
      <c r="B168" s="397" t="s">
        <v>2135</v>
      </c>
      <c r="C168" s="397"/>
      <c r="D168" s="407"/>
      <c r="E168" s="402"/>
      <c r="F168" s="402"/>
      <c r="G168" s="402"/>
      <c r="H168" s="402"/>
      <c r="I168" s="402"/>
      <c r="J168" s="402"/>
      <c r="K168" s="402"/>
      <c r="L168" s="402"/>
      <c r="M168" s="402"/>
      <c r="N168" s="402"/>
      <c r="O168" s="402"/>
      <c r="P168" s="402"/>
      <c r="Q168" s="402"/>
    </row>
    <row r="169" spans="1:18">
      <c r="B169" s="406" t="s">
        <v>2327</v>
      </c>
      <c r="C169" s="406"/>
      <c r="D169" s="407"/>
      <c r="E169" s="402"/>
      <c r="F169" s="402"/>
      <c r="G169" s="402"/>
      <c r="H169" s="402"/>
      <c r="I169" s="402"/>
      <c r="J169" s="402"/>
      <c r="K169" s="402"/>
      <c r="L169" s="402"/>
      <c r="M169" s="402"/>
      <c r="N169" s="402"/>
      <c r="O169" s="402"/>
      <c r="P169" s="402"/>
      <c r="Q169" s="402"/>
    </row>
    <row r="170" spans="1:18" s="45" customFormat="1">
      <c r="A170" s="425" t="s">
        <v>2328</v>
      </c>
      <c r="B170" s="425" t="s">
        <v>2329</v>
      </c>
      <c r="C170" s="425"/>
      <c r="D170" s="437">
        <v>0.36686378737541531</v>
      </c>
      <c r="E170" s="437"/>
      <c r="F170" s="437"/>
      <c r="G170" s="437"/>
      <c r="H170" s="437"/>
      <c r="I170" s="437"/>
      <c r="J170" s="437"/>
      <c r="K170" s="437"/>
      <c r="L170" s="437"/>
      <c r="M170" s="437"/>
      <c r="N170" s="437"/>
      <c r="O170" s="437"/>
      <c r="P170" s="437"/>
      <c r="Q170" s="437"/>
    </row>
    <row r="171" spans="1:18" s="45" customFormat="1">
      <c r="A171" s="425"/>
      <c r="B171" s="425" t="s">
        <v>2330</v>
      </c>
      <c r="C171" s="425"/>
      <c r="D171" s="437">
        <v>0.1707641196013289</v>
      </c>
      <c r="E171" s="457">
        <f>'[1]ASU - 123'!E171</f>
        <v>0.10057447318789731</v>
      </c>
      <c r="F171" s="457">
        <f>'[1]ASU - 123'!F171</f>
        <v>8.3372833120815587E-2</v>
      </c>
      <c r="G171" s="457">
        <f>'[1]ASU - 123'!G171</f>
        <v>7.0000000000000007E-2</v>
      </c>
      <c r="H171" s="457">
        <f>'[1]ASU - 123'!H171</f>
        <v>0.06</v>
      </c>
      <c r="I171" s="457">
        <f>'[1]ASU - 123'!I171</f>
        <v>0.05</v>
      </c>
      <c r="J171" s="457">
        <f>'[1]ASU - 123'!J171</f>
        <v>0.04</v>
      </c>
      <c r="K171" s="457">
        <f>'[1]ASU - 123'!K171</f>
        <v>0.03</v>
      </c>
      <c r="L171" s="457">
        <f>'[1]ASU - 123'!L171</f>
        <v>0.02</v>
      </c>
      <c r="M171" s="457">
        <f>'[1]ASU - 123'!M171</f>
        <v>0.01</v>
      </c>
      <c r="N171" s="457">
        <f>'[1]ASU - 123'!N171</f>
        <v>0.01</v>
      </c>
      <c r="O171" s="457">
        <f>'[1]ASU - 123'!O171</f>
        <v>0.01</v>
      </c>
      <c r="P171" s="457">
        <f>'[1]ASU - 123'!P171</f>
        <v>0.01</v>
      </c>
      <c r="Q171" s="457">
        <f>'[1]ASU - 123'!Q171</f>
        <v>0.01</v>
      </c>
      <c r="R171" s="446"/>
    </row>
    <row r="172" spans="1:18" s="45" customFormat="1">
      <c r="A172" s="425"/>
      <c r="B172" s="425" t="s">
        <v>2331</v>
      </c>
      <c r="C172" s="425"/>
      <c r="D172" s="437">
        <v>1.9069767441860467E-3</v>
      </c>
      <c r="E172" s="457">
        <f>'[1]ASU - 123'!E172</f>
        <v>2.6541033434650456E-3</v>
      </c>
      <c r="F172" s="457">
        <f>'[1]ASU - 123'!F172</f>
        <v>2.6541033434650456E-3</v>
      </c>
      <c r="G172" s="457">
        <f>'[1]ASU - 123'!G172</f>
        <v>2.6541033434650456E-3</v>
      </c>
      <c r="H172" s="457">
        <f>'[1]ASU - 123'!H172</f>
        <v>2.6541033434650456E-3</v>
      </c>
      <c r="I172" s="457">
        <f>'[1]ASU - 123'!I172</f>
        <v>2.6541033434650456E-3</v>
      </c>
      <c r="J172" s="457">
        <f>'[1]ASU - 123'!J172</f>
        <v>2.6541033434650456E-3</v>
      </c>
      <c r="K172" s="457">
        <f>'[1]ASU - 123'!K172</f>
        <v>2.6541033434650456E-3</v>
      </c>
      <c r="L172" s="457">
        <f>'[1]ASU - 123'!L172</f>
        <v>2.6541033434650456E-3</v>
      </c>
      <c r="M172" s="457">
        <f>'[1]ASU - 123'!M172</f>
        <v>2.6541033434650456E-3</v>
      </c>
      <c r="N172" s="457">
        <f>'[1]ASU - 123'!N172</f>
        <v>2.6541033434650456E-3</v>
      </c>
      <c r="O172" s="457">
        <f>'[1]ASU - 123'!O172</f>
        <v>2.6541033434650456E-3</v>
      </c>
      <c r="P172" s="457">
        <f>'[1]ASU - 123'!P172</f>
        <v>2.6541033434650456E-3</v>
      </c>
      <c r="Q172" s="457">
        <f>'[1]ASU - 123'!Q172</f>
        <v>2.6541033434650456E-3</v>
      </c>
      <c r="R172" s="446"/>
    </row>
    <row r="173" spans="1:18">
      <c r="D173" s="153"/>
      <c r="E173" s="402"/>
      <c r="F173" s="402"/>
      <c r="G173" s="402"/>
      <c r="H173" s="402"/>
      <c r="I173" s="402"/>
      <c r="J173" s="402"/>
      <c r="K173" s="402"/>
      <c r="L173" s="402"/>
      <c r="M173" s="402"/>
      <c r="N173" s="402"/>
      <c r="O173" s="402"/>
      <c r="P173" s="402"/>
      <c r="Q173" s="402"/>
      <c r="R173" s="434"/>
    </row>
    <row r="174" spans="1:18">
      <c r="B174" s="406" t="s">
        <v>2332</v>
      </c>
      <c r="C174" s="406"/>
      <c r="D174" s="447"/>
      <c r="E174" s="402"/>
      <c r="F174" s="402"/>
      <c r="G174" s="402"/>
      <c r="H174" s="402"/>
      <c r="I174" s="402"/>
      <c r="J174" s="402"/>
      <c r="K174" s="402"/>
      <c r="L174" s="402"/>
      <c r="M174" s="402"/>
      <c r="N174" s="402"/>
      <c r="O174" s="402"/>
      <c r="P174" s="402"/>
      <c r="Q174" s="402"/>
      <c r="R174" s="434"/>
    </row>
    <row r="175" spans="1:18">
      <c r="A175" s="406" t="s">
        <v>2333</v>
      </c>
      <c r="B175" s="406" t="s">
        <v>2334</v>
      </c>
      <c r="C175" s="406"/>
      <c r="D175" s="437">
        <v>-3.2975891996142814E-2</v>
      </c>
      <c r="E175" s="457">
        <f>'[1]ASU - 123'!E175</f>
        <v>0</v>
      </c>
      <c r="F175" s="457">
        <f>'[1]ASU - 123'!F175</f>
        <v>0</v>
      </c>
      <c r="G175" s="457">
        <f>'[1]ASU - 123'!G175</f>
        <v>0</v>
      </c>
      <c r="H175" s="457">
        <f>'[1]ASU - 123'!H175</f>
        <v>0</v>
      </c>
      <c r="I175" s="457">
        <f>'[1]ASU - 123'!I175</f>
        <v>0</v>
      </c>
      <c r="J175" s="457">
        <f>'[1]ASU - 123'!J175</f>
        <v>0</v>
      </c>
      <c r="K175" s="457">
        <f>'[1]ASU - 123'!K175</f>
        <v>0</v>
      </c>
      <c r="L175" s="457">
        <f>'[1]ASU - 123'!L175</f>
        <v>0</v>
      </c>
      <c r="M175" s="457">
        <f>'[1]ASU - 123'!M175</f>
        <v>0</v>
      </c>
      <c r="N175" s="457">
        <f>'[1]ASU - 123'!N175</f>
        <v>0</v>
      </c>
      <c r="O175" s="457">
        <f>'[1]ASU - 123'!O175</f>
        <v>0</v>
      </c>
      <c r="P175" s="457">
        <f>'[1]ASU - 123'!P175</f>
        <v>0</v>
      </c>
      <c r="Q175" s="457">
        <f>'[1]ASU - 123'!Q175</f>
        <v>0</v>
      </c>
      <c r="R175" s="446"/>
    </row>
    <row r="176" spans="1:18">
      <c r="A176" s="406" t="s">
        <v>2335</v>
      </c>
      <c r="B176" s="406" t="s">
        <v>2336</v>
      </c>
      <c r="C176" s="406"/>
      <c r="D176" s="437">
        <v>-4.2492767598842685E-2</v>
      </c>
      <c r="E176" s="457">
        <f>'[1]ASU - 123'!E176</f>
        <v>0</v>
      </c>
      <c r="F176" s="457">
        <f>'[1]ASU - 123'!F176</f>
        <v>0</v>
      </c>
      <c r="G176" s="457">
        <f>'[1]ASU - 123'!G176</f>
        <v>0</v>
      </c>
      <c r="H176" s="457">
        <f>'[1]ASU - 123'!H176</f>
        <v>0</v>
      </c>
      <c r="I176" s="457">
        <f>'[1]ASU - 123'!I176</f>
        <v>0</v>
      </c>
      <c r="J176" s="457">
        <f>'[1]ASU - 123'!J176</f>
        <v>0</v>
      </c>
      <c r="K176" s="457">
        <f>'[1]ASU - 123'!K176</f>
        <v>0</v>
      </c>
      <c r="L176" s="457">
        <f>'[1]ASU - 123'!L176</f>
        <v>0</v>
      </c>
      <c r="M176" s="457">
        <f>'[1]ASU - 123'!M176</f>
        <v>0</v>
      </c>
      <c r="N176" s="457">
        <f>'[1]ASU - 123'!N176</f>
        <v>0</v>
      </c>
      <c r="O176" s="457">
        <f>'[1]ASU - 123'!O176</f>
        <v>0</v>
      </c>
      <c r="P176" s="457">
        <f>'[1]ASU - 123'!P176</f>
        <v>0</v>
      </c>
      <c r="Q176" s="457">
        <f>'[1]ASU - 123'!Q176</f>
        <v>0</v>
      </c>
      <c r="R176" s="446"/>
    </row>
    <row r="177" spans="1:18">
      <c r="A177" s="406" t="s">
        <v>2337</v>
      </c>
      <c r="B177" s="406" t="s">
        <v>2338</v>
      </c>
      <c r="C177" s="406"/>
      <c r="D177" s="437">
        <v>0.12156721311475382</v>
      </c>
      <c r="E177" s="457">
        <f>'[1]ASU - 123'!E177</f>
        <v>4.9369286825126313E-2</v>
      </c>
      <c r="F177" s="457">
        <f>'[1]ASU - 123'!F177</f>
        <v>0.11</v>
      </c>
      <c r="G177" s="457">
        <f>'[1]ASU - 123'!G177</f>
        <v>0.1</v>
      </c>
      <c r="H177" s="457">
        <f>'[1]ASU - 123'!H177</f>
        <v>0.09</v>
      </c>
      <c r="I177" s="457">
        <f>'[1]ASU - 123'!I177</f>
        <v>0.08</v>
      </c>
      <c r="J177" s="457">
        <f>'[1]ASU - 123'!J177</f>
        <v>7.0000000000000007E-2</v>
      </c>
      <c r="K177" s="457">
        <f>'[1]ASU - 123'!K177</f>
        <v>0.06</v>
      </c>
      <c r="L177" s="457">
        <f>'[1]ASU - 123'!L177</f>
        <v>0.05</v>
      </c>
      <c r="M177" s="457">
        <f>'[1]ASU - 123'!M177</f>
        <v>0.05</v>
      </c>
      <c r="N177" s="457">
        <f>'[1]ASU - 123'!N177</f>
        <v>0.05</v>
      </c>
      <c r="O177" s="457">
        <f>'[1]ASU - 123'!O177</f>
        <v>0.05</v>
      </c>
      <c r="P177" s="457">
        <f>'[1]ASU - 123'!P177</f>
        <v>0.05</v>
      </c>
      <c r="Q177" s="457">
        <f>'[1]ASU - 123'!Q177</f>
        <v>0.05</v>
      </c>
      <c r="R177" s="446"/>
    </row>
    <row r="178" spans="1:18">
      <c r="A178" s="406" t="s">
        <v>2339</v>
      </c>
      <c r="B178" s="406" t="s">
        <v>2340</v>
      </c>
      <c r="C178" s="406"/>
      <c r="D178" s="437">
        <v>0.1527880424300867</v>
      </c>
      <c r="E178" s="457">
        <f>'[1]ASU - 123'!E178</f>
        <v>8.7209626674021434E-2</v>
      </c>
      <c r="F178" s="457">
        <f>'[1]ASU - 123'!F178</f>
        <v>8.7209626674021434E-2</v>
      </c>
      <c r="G178" s="457">
        <f>'[1]ASU - 123'!G178</f>
        <v>8.7209626674021434E-2</v>
      </c>
      <c r="H178" s="457">
        <f>'[1]ASU - 123'!H178</f>
        <v>8.7209626674021434E-2</v>
      </c>
      <c r="I178" s="457">
        <f>'[1]ASU - 123'!I178</f>
        <v>8.7209626674021434E-2</v>
      </c>
      <c r="J178" s="457">
        <f>'[1]ASU - 123'!J178</f>
        <v>8.7209626674021434E-2</v>
      </c>
      <c r="K178" s="457">
        <f>'[1]ASU - 123'!K178</f>
        <v>8.7209626674021434E-2</v>
      </c>
      <c r="L178" s="457">
        <f>'[1]ASU - 123'!L178</f>
        <v>8.7209626674021434E-2</v>
      </c>
      <c r="M178" s="457">
        <f>'[1]ASU - 123'!M178</f>
        <v>8.7209626674021434E-2</v>
      </c>
      <c r="N178" s="457">
        <f>'[1]ASU - 123'!N178</f>
        <v>8.7209626674021434E-2</v>
      </c>
      <c r="O178" s="457">
        <f>'[1]ASU - 123'!O178</f>
        <v>8.7209626674021434E-2</v>
      </c>
      <c r="P178" s="457">
        <f>'[1]ASU - 123'!P178</f>
        <v>8.7209626674021434E-2</v>
      </c>
      <c r="Q178" s="457">
        <f>'[1]ASU - 123'!Q178</f>
        <v>8.7209626674021434E-2</v>
      </c>
      <c r="R178" s="446"/>
    </row>
    <row r="179" spans="1:18">
      <c r="A179" s="406"/>
      <c r="B179" s="406" t="s">
        <v>2341</v>
      </c>
      <c r="C179" s="406"/>
      <c r="D179" s="437">
        <v>-0.17839922854387669</v>
      </c>
      <c r="E179" s="457">
        <f>'[1]ASU - 123'!E179</f>
        <v>-0.19935948759007216</v>
      </c>
      <c r="F179" s="457">
        <f>'[1]ASU - 123'!F179</f>
        <v>-0.14675767918088733</v>
      </c>
      <c r="G179" s="457">
        <f>'[1]ASU - 123'!G179</f>
        <v>-0.11660777385159016</v>
      </c>
      <c r="H179" s="457">
        <f>'[1]ASU - 123'!H179</f>
        <v>-6.5420560747663559E-2</v>
      </c>
      <c r="I179" s="457">
        <f>'[1]ASU - 123'!I179</f>
        <v>-3.8461538461538547E-2</v>
      </c>
      <c r="J179" s="457">
        <f>'[1]ASU - 123'!J179</f>
        <v>-3.8461538461538547E-2</v>
      </c>
      <c r="K179" s="457">
        <f>'[1]ASU - 123'!K179</f>
        <v>-3.8461538461538547E-2</v>
      </c>
      <c r="L179" s="457">
        <f>'[1]ASU - 123'!L179</f>
        <v>-3.8461538461538547E-2</v>
      </c>
      <c r="M179" s="457">
        <f>'[1]ASU - 123'!M179</f>
        <v>-3.8461538461538547E-2</v>
      </c>
      <c r="N179" s="457">
        <f>'[1]ASU - 123'!N179</f>
        <v>-3.8461538461538547E-2</v>
      </c>
      <c r="O179" s="457">
        <f>'[1]ASU - 123'!O179</f>
        <v>-3.8461538461538547E-2</v>
      </c>
      <c r="P179" s="457">
        <f>'[1]ASU - 123'!P179</f>
        <v>-3.8461538461538547E-2</v>
      </c>
      <c r="Q179" s="457">
        <f>'[1]ASU - 123'!Q179</f>
        <v>-3.8461538461538547E-2</v>
      </c>
      <c r="R179" s="446"/>
    </row>
    <row r="180" spans="1:18">
      <c r="D180" s="153"/>
      <c r="E180" s="402"/>
      <c r="F180" s="402"/>
      <c r="G180" s="402"/>
      <c r="H180" s="402"/>
      <c r="I180" s="402"/>
      <c r="J180" s="402"/>
      <c r="K180" s="402"/>
      <c r="L180" s="402"/>
      <c r="M180" s="402"/>
      <c r="N180" s="402"/>
      <c r="O180" s="402"/>
      <c r="P180" s="402"/>
      <c r="Q180" s="402"/>
      <c r="R180" s="434"/>
    </row>
    <row r="181" spans="1:18">
      <c r="B181" s="406" t="s">
        <v>2342</v>
      </c>
      <c r="C181" s="406"/>
      <c r="D181" s="407"/>
      <c r="E181" s="402"/>
      <c r="F181" s="402"/>
      <c r="G181" s="402"/>
      <c r="H181" s="402"/>
      <c r="I181" s="402"/>
      <c r="J181" s="402"/>
      <c r="K181" s="402"/>
      <c r="L181" s="402"/>
      <c r="M181" s="402"/>
      <c r="N181" s="402"/>
      <c r="O181" s="402"/>
      <c r="P181" s="402"/>
      <c r="Q181" s="402"/>
      <c r="R181" s="434"/>
    </row>
    <row r="182" spans="1:18">
      <c r="A182" s="406" t="s">
        <v>2343</v>
      </c>
      <c r="B182" s="406" t="s">
        <v>2344</v>
      </c>
      <c r="C182" s="406"/>
      <c r="D182" s="421">
        <v>5.2675770308123253</v>
      </c>
      <c r="E182" s="461">
        <f>'[1]ASU - 123'!E182</f>
        <v>4.2396200607484724</v>
      </c>
      <c r="F182" s="461">
        <f>'[1]ASU - 123'!F182</f>
        <v>4.4000000000000004</v>
      </c>
      <c r="G182" s="461">
        <f>'[1]ASU - 123'!G182</f>
        <v>4.5</v>
      </c>
      <c r="H182" s="461">
        <f>'[1]ASU - 123'!H182</f>
        <v>4.4000000000000004</v>
      </c>
      <c r="I182" s="461">
        <f>'[1]ASU - 123'!I182</f>
        <v>4.4000000000000004</v>
      </c>
      <c r="J182" s="461">
        <f>'[1]ASU - 123'!J182</f>
        <v>4.4000000000000004</v>
      </c>
      <c r="K182" s="461">
        <f>'[1]ASU - 123'!K182</f>
        <v>4.4000000000000004</v>
      </c>
      <c r="L182" s="461">
        <f>'[1]ASU - 123'!L182</f>
        <v>4.4000000000000004</v>
      </c>
      <c r="M182" s="461">
        <f>'[1]ASU - 123'!M182</f>
        <v>4.4000000000000004</v>
      </c>
      <c r="N182" s="461">
        <f>'[1]ASU - 123'!N182</f>
        <v>4.4000000000000004</v>
      </c>
      <c r="O182" s="461">
        <f>'[1]ASU - 123'!O182</f>
        <v>4.4000000000000004</v>
      </c>
      <c r="P182" s="461">
        <f>'[1]ASU - 123'!P182</f>
        <v>4.4000000000000004</v>
      </c>
      <c r="Q182" s="461">
        <f>'[1]ASU - 123'!Q182</f>
        <v>4.4000000000000004</v>
      </c>
      <c r="R182" s="434"/>
    </row>
    <row r="183" spans="1:18">
      <c r="A183" s="406" t="s">
        <v>2345</v>
      </c>
      <c r="B183" s="406" t="s">
        <v>2346</v>
      </c>
      <c r="C183" s="406"/>
      <c r="D183" s="437">
        <v>0</v>
      </c>
      <c r="E183" s="457">
        <f>'[1]ASU - 123'!E183</f>
        <v>0</v>
      </c>
      <c r="F183" s="457">
        <f>'[1]ASU - 123'!F183</f>
        <v>0</v>
      </c>
      <c r="G183" s="457">
        <f>'[1]ASU - 123'!G183</f>
        <v>0</v>
      </c>
      <c r="H183" s="457">
        <f>'[1]ASU - 123'!H183</f>
        <v>0</v>
      </c>
      <c r="I183" s="457">
        <f>'[1]ASU - 123'!I183</f>
        <v>0</v>
      </c>
      <c r="J183" s="457">
        <f>'[1]ASU - 123'!J183</f>
        <v>0</v>
      </c>
      <c r="K183" s="457">
        <f>'[1]ASU - 123'!K183</f>
        <v>0</v>
      </c>
      <c r="L183" s="457">
        <f>'[1]ASU - 123'!L183</f>
        <v>0</v>
      </c>
      <c r="M183" s="457">
        <f>'[1]ASU - 123'!M183</f>
        <v>0</v>
      </c>
      <c r="N183" s="457">
        <f>'[1]ASU - 123'!N183</f>
        <v>0</v>
      </c>
      <c r="O183" s="457">
        <f>'[1]ASU - 123'!O183</f>
        <v>0</v>
      </c>
      <c r="P183" s="457">
        <f>'[1]ASU - 123'!P183</f>
        <v>0</v>
      </c>
      <c r="Q183" s="457">
        <f>'[1]ASU - 123'!Q183</f>
        <v>0</v>
      </c>
      <c r="R183" s="434"/>
    </row>
    <row r="184" spans="1:18">
      <c r="A184" s="406" t="s">
        <v>2347</v>
      </c>
      <c r="B184" s="406" t="s">
        <v>2348</v>
      </c>
      <c r="C184" s="406"/>
      <c r="D184" s="437">
        <v>0.2921217670941465</v>
      </c>
      <c r="E184" s="457">
        <f>'[1]ASU - 123'!E184</f>
        <v>0</v>
      </c>
      <c r="F184" s="457">
        <f>'[1]ASU - 123'!F184</f>
        <v>0</v>
      </c>
      <c r="G184" s="457">
        <f>'[1]ASU - 123'!G184</f>
        <v>0</v>
      </c>
      <c r="H184" s="457">
        <f>'[1]ASU - 123'!H184</f>
        <v>0</v>
      </c>
      <c r="I184" s="457">
        <f>'[1]ASU - 123'!I184</f>
        <v>0</v>
      </c>
      <c r="J184" s="457">
        <f>'[1]ASU - 123'!J184</f>
        <v>0</v>
      </c>
      <c r="K184" s="457">
        <f>'[1]ASU - 123'!K184</f>
        <v>0</v>
      </c>
      <c r="L184" s="457">
        <f>'[1]ASU - 123'!L184</f>
        <v>0</v>
      </c>
      <c r="M184" s="457">
        <f>'[1]ASU - 123'!M184</f>
        <v>0</v>
      </c>
      <c r="N184" s="457">
        <f>'[1]ASU - 123'!N184</f>
        <v>0</v>
      </c>
      <c r="O184" s="457">
        <f>'[1]ASU - 123'!O184</f>
        <v>0</v>
      </c>
      <c r="P184" s="457">
        <f>'[1]ASU - 123'!P184</f>
        <v>0</v>
      </c>
      <c r="Q184" s="457">
        <f>'[1]ASU - 123'!Q184</f>
        <v>0</v>
      </c>
      <c r="R184" s="448"/>
    </row>
    <row r="185" spans="1:18">
      <c r="A185" s="406" t="s">
        <v>2349</v>
      </c>
      <c r="B185" s="406" t="s">
        <v>2350</v>
      </c>
      <c r="C185" s="406"/>
      <c r="D185" s="437">
        <v>0.5220588235294118</v>
      </c>
      <c r="E185" s="457">
        <f>'[1]ASU - 123'!E185</f>
        <v>0.15589423076923081</v>
      </c>
      <c r="F185" s="457">
        <f>'[1]ASU - 123'!F185</f>
        <v>0.15589423076923081</v>
      </c>
      <c r="G185" s="457">
        <f>'[1]ASU - 123'!G185</f>
        <v>0.15589423076923081</v>
      </c>
      <c r="H185" s="457">
        <f>'[1]ASU - 123'!H185</f>
        <v>0.15589423076923081</v>
      </c>
      <c r="I185" s="457">
        <f>'[1]ASU - 123'!I185</f>
        <v>0.15589423076923081</v>
      </c>
      <c r="J185" s="457">
        <f>'[1]ASU - 123'!J185</f>
        <v>0.15589423076923081</v>
      </c>
      <c r="K185" s="457">
        <f>'[1]ASU - 123'!K185</f>
        <v>0.15589423076923081</v>
      </c>
      <c r="L185" s="457">
        <f>'[1]ASU - 123'!L185</f>
        <v>0.15589423076923081</v>
      </c>
      <c r="M185" s="457">
        <f>'[1]ASU - 123'!M185</f>
        <v>0.15589423076923081</v>
      </c>
      <c r="N185" s="457">
        <f>'[1]ASU - 123'!N185</f>
        <v>0.15589423076923081</v>
      </c>
      <c r="O185" s="457">
        <f>'[1]ASU - 123'!O185</f>
        <v>0.15589423076923081</v>
      </c>
      <c r="P185" s="457">
        <f>'[1]ASU - 123'!P185</f>
        <v>0.15589423076923081</v>
      </c>
      <c r="Q185" s="457">
        <f>'[1]ASU - 123'!Q185</f>
        <v>0.15589423076923081</v>
      </c>
      <c r="R185" s="434"/>
    </row>
    <row r="186" spans="1:18">
      <c r="A186" s="406" t="s">
        <v>2351</v>
      </c>
      <c r="B186" s="406" t="s">
        <v>2352</v>
      </c>
      <c r="C186" s="406"/>
      <c r="D186" s="427">
        <v>0.27359943977591034</v>
      </c>
      <c r="E186" s="457">
        <f>'[1]ASU - 123'!E186</f>
        <v>0.20000167224080267</v>
      </c>
      <c r="F186" s="457">
        <f>'[1]ASU - 123'!F186</f>
        <v>0.20000167224080267</v>
      </c>
      <c r="G186" s="457">
        <f>'[1]ASU - 123'!G186</f>
        <v>0.20000167224080267</v>
      </c>
      <c r="H186" s="457">
        <f>'[1]ASU - 123'!H186</f>
        <v>0.20000167224080267</v>
      </c>
      <c r="I186" s="457">
        <f>'[1]ASU - 123'!I186</f>
        <v>0.20000167224080267</v>
      </c>
      <c r="J186" s="457">
        <f>'[1]ASU - 123'!J186</f>
        <v>0.20000167224080267</v>
      </c>
      <c r="K186" s="457">
        <f>'[1]ASU - 123'!K186</f>
        <v>0.20000167224080267</v>
      </c>
      <c r="L186" s="457">
        <f>'[1]ASU - 123'!L186</f>
        <v>0.20000167224080267</v>
      </c>
      <c r="M186" s="457">
        <f>'[1]ASU - 123'!M186</f>
        <v>0.20000167224080267</v>
      </c>
      <c r="N186" s="457">
        <f>'[1]ASU - 123'!N186</f>
        <v>0.20000167224080267</v>
      </c>
      <c r="O186" s="457">
        <f>'[1]ASU - 123'!O186</f>
        <v>0.20000167224080267</v>
      </c>
      <c r="P186" s="457">
        <f>'[1]ASU - 123'!P186</f>
        <v>0.20000167224080267</v>
      </c>
      <c r="Q186" s="457">
        <f>'[1]ASU - 123'!Q186</f>
        <v>0.20000167224080267</v>
      </c>
      <c r="R186" s="434"/>
    </row>
    <row r="187" spans="1:18">
      <c r="A187" s="406"/>
      <c r="B187" s="406" t="s">
        <v>2353</v>
      </c>
      <c r="C187" s="406"/>
      <c r="D187" s="449">
        <v>0</v>
      </c>
      <c r="E187" s="457">
        <f>'[1]ASU - 123'!E187</f>
        <v>0</v>
      </c>
      <c r="F187" s="457">
        <f>'[1]ASU - 123'!F187</f>
        <v>0</v>
      </c>
      <c r="G187" s="457">
        <f>'[1]ASU - 123'!G187</f>
        <v>0</v>
      </c>
      <c r="H187" s="457">
        <f>'[1]ASU - 123'!H187</f>
        <v>0</v>
      </c>
      <c r="I187" s="457">
        <f>'[1]ASU - 123'!I187</f>
        <v>0</v>
      </c>
      <c r="J187" s="457">
        <f>'[1]ASU - 123'!J187</f>
        <v>0</v>
      </c>
      <c r="K187" s="457">
        <f>'[1]ASU - 123'!K187</f>
        <v>0</v>
      </c>
      <c r="L187" s="457">
        <f>'[1]ASU - 123'!L187</f>
        <v>0</v>
      </c>
      <c r="M187" s="457">
        <f>'[1]ASU - 123'!M187</f>
        <v>0</v>
      </c>
      <c r="N187" s="457">
        <f>'[1]ASU - 123'!N187</f>
        <v>0</v>
      </c>
      <c r="O187" s="457">
        <f>'[1]ASU - 123'!O187</f>
        <v>0</v>
      </c>
      <c r="P187" s="457">
        <f>'[1]ASU - 123'!P187</f>
        <v>0</v>
      </c>
      <c r="Q187" s="457">
        <f>'[1]ASU - 123'!Q187</f>
        <v>0</v>
      </c>
      <c r="R187" s="434"/>
    </row>
    <row r="188" spans="1:18">
      <c r="A188" s="406" t="s">
        <v>2354</v>
      </c>
      <c r="B188" s="406" t="s">
        <v>2355</v>
      </c>
      <c r="C188" s="406"/>
      <c r="D188" s="407">
        <v>0</v>
      </c>
      <c r="E188" s="457">
        <f>'[1]ASU - 123'!E188</f>
        <v>0</v>
      </c>
      <c r="F188" s="457">
        <f>'[1]ASU - 123'!F188</f>
        <v>0</v>
      </c>
      <c r="G188" s="457">
        <f>'[1]ASU - 123'!G188</f>
        <v>0</v>
      </c>
      <c r="H188" s="457">
        <f>'[1]ASU - 123'!H188</f>
        <v>0</v>
      </c>
      <c r="I188" s="457">
        <f>'[1]ASU - 123'!I188</f>
        <v>0</v>
      </c>
      <c r="J188" s="457">
        <f>'[1]ASU - 123'!J188</f>
        <v>0</v>
      </c>
      <c r="K188" s="457">
        <f>'[1]ASU - 123'!K188</f>
        <v>0</v>
      </c>
      <c r="L188" s="457">
        <f>'[1]ASU - 123'!L188</f>
        <v>0</v>
      </c>
      <c r="M188" s="457">
        <f>'[1]ASU - 123'!M188</f>
        <v>0</v>
      </c>
      <c r="N188" s="457">
        <f>'[1]ASU - 123'!N188</f>
        <v>0</v>
      </c>
      <c r="O188" s="457">
        <f>'[1]ASU - 123'!O188</f>
        <v>0</v>
      </c>
      <c r="P188" s="457">
        <f>'[1]ASU - 123'!P188</f>
        <v>0</v>
      </c>
      <c r="Q188" s="457">
        <f>'[1]ASU - 123'!Q188</f>
        <v>0</v>
      </c>
      <c r="R188" s="434"/>
    </row>
    <row r="189" spans="1:18">
      <c r="D189" s="153"/>
      <c r="E189" s="402"/>
      <c r="F189" s="402"/>
      <c r="G189" s="402"/>
      <c r="H189" s="402"/>
      <c r="I189" s="402"/>
      <c r="J189" s="402"/>
      <c r="K189" s="402"/>
      <c r="L189" s="402"/>
      <c r="M189" s="402"/>
      <c r="N189" s="402"/>
      <c r="O189" s="402"/>
      <c r="P189" s="402"/>
      <c r="Q189" s="402"/>
    </row>
    <row r="190" spans="1:18">
      <c r="B190" s="396"/>
      <c r="C190" s="396"/>
      <c r="D190" s="407"/>
    </row>
    <row r="191" spans="1:18">
      <c r="A191" s="406"/>
      <c r="B191" s="406"/>
      <c r="C191" s="406"/>
      <c r="D191" s="406"/>
    </row>
    <row r="193" spans="1:17">
      <c r="B193" s="396"/>
      <c r="C193" s="396"/>
      <c r="D193" s="396"/>
    </row>
    <row r="194" spans="1:17">
      <c r="B194" s="397"/>
      <c r="C194" s="397"/>
      <c r="D194" s="397"/>
    </row>
    <row r="195" spans="1:17">
      <c r="A195" s="406"/>
      <c r="B195" s="406"/>
      <c r="C195" s="406"/>
      <c r="D195" s="406"/>
      <c r="E195" s="450"/>
      <c r="F195" s="450"/>
      <c r="G195" s="450"/>
      <c r="H195" s="450"/>
      <c r="I195" s="450"/>
      <c r="J195" s="450"/>
      <c r="K195" s="450"/>
      <c r="L195" s="450"/>
      <c r="M195" s="450"/>
      <c r="N195" s="450"/>
      <c r="O195" s="450"/>
      <c r="P195" s="450"/>
      <c r="Q195" s="450"/>
    </row>
    <row r="196" spans="1:17">
      <c r="A196" s="406"/>
      <c r="B196" s="406"/>
      <c r="C196" s="406"/>
      <c r="D196" s="406"/>
      <c r="E196" s="450"/>
      <c r="F196" s="450"/>
      <c r="G196" s="450"/>
      <c r="H196" s="450"/>
      <c r="I196" s="450"/>
      <c r="J196" s="450"/>
      <c r="K196" s="450"/>
      <c r="L196" s="450"/>
      <c r="M196" s="450"/>
      <c r="N196" s="450"/>
      <c r="O196" s="450"/>
      <c r="P196" s="450"/>
      <c r="Q196" s="450"/>
    </row>
    <row r="197" spans="1:17">
      <c r="A197" s="406"/>
      <c r="B197" s="406"/>
      <c r="C197" s="406"/>
      <c r="D197" s="406"/>
      <c r="E197" s="450"/>
      <c r="F197" s="450"/>
      <c r="G197" s="450"/>
      <c r="H197" s="450"/>
      <c r="I197" s="450"/>
      <c r="J197" s="450"/>
      <c r="K197" s="450"/>
      <c r="L197" s="450"/>
      <c r="M197" s="450"/>
      <c r="N197" s="450"/>
      <c r="O197" s="450"/>
      <c r="P197" s="450"/>
      <c r="Q197" s="450"/>
    </row>
    <row r="198" spans="1:17">
      <c r="A198" s="406"/>
      <c r="B198" s="406"/>
      <c r="C198" s="406"/>
      <c r="D198" s="406"/>
      <c r="E198" s="450"/>
      <c r="F198" s="450"/>
      <c r="G198" s="450"/>
      <c r="H198" s="450"/>
      <c r="I198" s="450"/>
      <c r="J198" s="450"/>
      <c r="K198" s="450"/>
      <c r="L198" s="450"/>
      <c r="M198" s="450"/>
      <c r="N198" s="450"/>
      <c r="O198" s="450"/>
      <c r="P198" s="450"/>
      <c r="Q198" s="450"/>
    </row>
    <row r="199" spans="1:17">
      <c r="A199" s="406"/>
      <c r="B199" s="406"/>
      <c r="C199" s="406"/>
      <c r="D199" s="406"/>
      <c r="E199" s="450"/>
      <c r="F199" s="450"/>
      <c r="G199" s="450"/>
      <c r="H199" s="450"/>
      <c r="I199" s="450"/>
      <c r="J199" s="450"/>
      <c r="K199" s="450"/>
      <c r="L199" s="450"/>
      <c r="M199" s="450"/>
      <c r="N199" s="450"/>
      <c r="O199" s="450"/>
      <c r="P199" s="450"/>
      <c r="Q199" s="450"/>
    </row>
    <row r="200" spans="1:17">
      <c r="A200" s="406"/>
      <c r="B200" s="406"/>
      <c r="C200" s="406"/>
      <c r="D200" s="406"/>
      <c r="E200" s="451"/>
      <c r="F200" s="451"/>
      <c r="G200" s="451"/>
      <c r="H200" s="451"/>
      <c r="I200" s="451"/>
      <c r="J200" s="451"/>
      <c r="K200" s="451"/>
      <c r="L200" s="451"/>
      <c r="M200" s="451"/>
      <c r="N200" s="451"/>
      <c r="O200" s="451"/>
      <c r="P200" s="451"/>
      <c r="Q200" s="451"/>
    </row>
  </sheetData>
  <pageMargins left="0.75" right="0.75" top="1" bottom="1" header="0.5" footer="0.5"/>
  <pageSetup orientation="portrait" horizontalDpi="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8"/>
  <dimension ref="A1:P44"/>
  <sheetViews>
    <sheetView zoomScale="75" workbookViewId="0">
      <selection activeCell="D25" sqref="D25:M27"/>
    </sheetView>
  </sheetViews>
  <sheetFormatPr defaultRowHeight="12.75"/>
  <cols>
    <col min="1" max="1" width="32.140625" customWidth="1"/>
    <col min="2" max="2" width="8.7109375" style="175" customWidth="1"/>
    <col min="3" max="3" width="34.42578125" customWidth="1"/>
  </cols>
  <sheetData>
    <row r="1" spans="1:10" ht="13.5" thickBot="1">
      <c r="A1" t="s">
        <v>276</v>
      </c>
      <c r="B1" s="175">
        <v>2000</v>
      </c>
      <c r="D1" s="622" t="s">
        <v>1771</v>
      </c>
      <c r="E1" s="22" t="s">
        <v>1772</v>
      </c>
      <c r="F1" s="22"/>
      <c r="G1" s="22"/>
      <c r="H1" s="22"/>
      <c r="I1" s="22"/>
      <c r="J1" s="22"/>
    </row>
    <row r="2" spans="1:10">
      <c r="A2" t="s">
        <v>277</v>
      </c>
      <c r="B2" s="175">
        <v>2000</v>
      </c>
      <c r="D2" s="632">
        <v>1</v>
      </c>
      <c r="E2" s="22" t="s">
        <v>1773</v>
      </c>
      <c r="F2" s="22"/>
      <c r="G2" s="22"/>
      <c r="H2" s="22"/>
      <c r="I2" s="22"/>
      <c r="J2" s="22"/>
    </row>
    <row r="3" spans="1:10">
      <c r="A3" t="s">
        <v>2000</v>
      </c>
      <c r="B3" s="175">
        <v>2003</v>
      </c>
      <c r="D3" s="633" t="s">
        <v>1785</v>
      </c>
      <c r="E3" s="47" t="s">
        <v>1774</v>
      </c>
      <c r="F3" s="47"/>
      <c r="G3" s="47"/>
      <c r="H3" s="47"/>
      <c r="I3" s="47"/>
      <c r="J3" s="47"/>
    </row>
    <row r="4" spans="1:10" ht="13.5" thickBot="1">
      <c r="A4" t="s">
        <v>281</v>
      </c>
      <c r="B4" s="175">
        <v>0</v>
      </c>
      <c r="C4" t="s">
        <v>288</v>
      </c>
      <c r="D4" s="633">
        <v>2</v>
      </c>
      <c r="E4" s="48" t="s">
        <v>1775</v>
      </c>
      <c r="F4" s="48"/>
      <c r="G4" s="48"/>
      <c r="H4" s="48"/>
      <c r="I4" s="48"/>
      <c r="J4" s="48"/>
    </row>
    <row r="5" spans="1:10" ht="13.5" thickBot="1">
      <c r="A5" s="631" t="s">
        <v>278</v>
      </c>
      <c r="B5" s="636">
        <v>1</v>
      </c>
      <c r="C5" s="635" t="s">
        <v>289</v>
      </c>
      <c r="D5" s="633" t="s">
        <v>1785</v>
      </c>
      <c r="E5" s="22" t="s">
        <v>1776</v>
      </c>
      <c r="F5" s="22"/>
      <c r="G5" s="22"/>
      <c r="H5" s="22"/>
      <c r="I5" s="22"/>
      <c r="J5" s="22"/>
    </row>
    <row r="6" spans="1:10">
      <c r="A6" t="s">
        <v>280</v>
      </c>
      <c r="B6" s="175">
        <v>2</v>
      </c>
      <c r="C6" t="s">
        <v>287</v>
      </c>
      <c r="D6" s="633">
        <v>3</v>
      </c>
      <c r="E6" s="40" t="s">
        <v>1779</v>
      </c>
      <c r="F6" s="40"/>
      <c r="G6" s="40"/>
      <c r="H6" s="40"/>
      <c r="I6" s="40"/>
      <c r="J6" s="40"/>
    </row>
    <row r="7" spans="1:10">
      <c r="A7" t="s">
        <v>279</v>
      </c>
      <c r="B7" s="175">
        <v>0</v>
      </c>
      <c r="C7" t="s">
        <v>290</v>
      </c>
      <c r="D7" s="633" t="s">
        <v>1785</v>
      </c>
      <c r="E7" s="40" t="s">
        <v>1780</v>
      </c>
      <c r="F7" s="40"/>
      <c r="G7" s="40"/>
      <c r="H7" s="40"/>
      <c r="I7" s="40"/>
      <c r="J7" s="40"/>
    </row>
    <row r="8" spans="1:10">
      <c r="A8" t="s">
        <v>284</v>
      </c>
      <c r="B8" s="175">
        <v>1</v>
      </c>
      <c r="C8" t="s">
        <v>283</v>
      </c>
      <c r="D8" s="633">
        <v>4</v>
      </c>
      <c r="E8" s="40" t="s">
        <v>1781</v>
      </c>
      <c r="F8" s="40"/>
      <c r="G8" s="40"/>
      <c r="H8" s="40"/>
      <c r="I8" s="40"/>
      <c r="J8" s="40"/>
    </row>
    <row r="9" spans="1:10">
      <c r="A9" t="s">
        <v>1236</v>
      </c>
      <c r="B9" s="175">
        <v>3</v>
      </c>
      <c r="D9" s="633">
        <v>5</v>
      </c>
      <c r="E9" s="40" t="s">
        <v>1782</v>
      </c>
      <c r="F9" s="40"/>
      <c r="G9" s="40"/>
      <c r="H9" s="40"/>
      <c r="I9" s="40"/>
      <c r="J9" s="40"/>
    </row>
    <row r="10" spans="1:10">
      <c r="A10" t="s">
        <v>282</v>
      </c>
      <c r="B10" s="175">
        <v>0</v>
      </c>
      <c r="C10" t="s">
        <v>285</v>
      </c>
      <c r="D10" s="633">
        <v>6</v>
      </c>
      <c r="E10" s="40" t="s">
        <v>1783</v>
      </c>
      <c r="F10" s="40"/>
      <c r="G10" s="40"/>
      <c r="H10" s="40"/>
      <c r="I10" s="40"/>
      <c r="J10" s="40"/>
    </row>
    <row r="11" spans="1:10">
      <c r="D11" s="633">
        <v>7</v>
      </c>
      <c r="E11" s="40" t="s">
        <v>1784</v>
      </c>
      <c r="F11" s="40"/>
      <c r="G11" s="40"/>
      <c r="H11" s="40"/>
      <c r="I11" s="40"/>
      <c r="J11" s="40"/>
    </row>
    <row r="12" spans="1:10">
      <c r="D12" s="633" t="s">
        <v>1785</v>
      </c>
      <c r="E12" s="22" t="s">
        <v>1786</v>
      </c>
      <c r="F12" s="22"/>
      <c r="G12" s="22"/>
      <c r="H12" s="22"/>
      <c r="I12" s="22"/>
      <c r="J12" s="22"/>
    </row>
    <row r="13" spans="1:10">
      <c r="D13" s="633">
        <v>8</v>
      </c>
      <c r="E13" s="40" t="s">
        <v>1779</v>
      </c>
      <c r="F13" s="40"/>
      <c r="G13" s="40"/>
      <c r="H13" s="40"/>
      <c r="I13" s="40"/>
      <c r="J13" s="40"/>
    </row>
    <row r="14" spans="1:10">
      <c r="D14" s="633" t="s">
        <v>1785</v>
      </c>
      <c r="E14" s="40" t="s">
        <v>1780</v>
      </c>
      <c r="F14" s="40"/>
      <c r="G14" s="40"/>
      <c r="H14" s="40"/>
      <c r="I14" s="40"/>
      <c r="J14" s="40"/>
    </row>
    <row r="15" spans="1:10">
      <c r="D15" s="633">
        <v>9</v>
      </c>
      <c r="E15" s="40" t="s">
        <v>1781</v>
      </c>
      <c r="F15" s="40"/>
      <c r="G15" s="40"/>
      <c r="H15" s="40"/>
      <c r="I15" s="40"/>
      <c r="J15" s="40"/>
    </row>
    <row r="16" spans="1:10">
      <c r="D16" s="633">
        <v>10</v>
      </c>
      <c r="E16" s="40" t="s">
        <v>1782</v>
      </c>
      <c r="F16" s="40"/>
      <c r="G16" s="40"/>
      <c r="H16" s="40"/>
      <c r="I16" s="40"/>
      <c r="J16" s="40"/>
    </row>
    <row r="17" spans="1:16">
      <c r="D17" s="633">
        <v>11</v>
      </c>
      <c r="E17" s="40" t="s">
        <v>1783</v>
      </c>
      <c r="F17" s="40"/>
      <c r="G17" s="40"/>
      <c r="H17" s="40"/>
      <c r="I17" s="40"/>
      <c r="J17" s="40"/>
    </row>
    <row r="18" spans="1:16">
      <c r="D18" s="633">
        <v>12</v>
      </c>
      <c r="E18" s="40" t="s">
        <v>1784</v>
      </c>
      <c r="F18" s="40"/>
      <c r="G18" s="40"/>
      <c r="H18" s="40"/>
      <c r="I18" s="40"/>
      <c r="J18" s="40"/>
    </row>
    <row r="19" spans="1:16">
      <c r="D19" s="633" t="s">
        <v>1785</v>
      </c>
      <c r="E19" s="625" t="s">
        <v>1785</v>
      </c>
      <c r="F19" s="162"/>
      <c r="G19" s="162"/>
      <c r="H19" s="162"/>
      <c r="I19" s="162"/>
      <c r="J19" s="162"/>
    </row>
    <row r="20" spans="1:16">
      <c r="D20" s="633" t="s">
        <v>1785</v>
      </c>
      <c r="E20" s="625" t="s">
        <v>1785</v>
      </c>
      <c r="F20" s="162"/>
      <c r="G20" s="162"/>
      <c r="H20" s="162"/>
      <c r="I20" s="162"/>
      <c r="J20" s="162"/>
    </row>
    <row r="21" spans="1:16">
      <c r="D21" s="633" t="s">
        <v>1785</v>
      </c>
      <c r="E21" s="625" t="s">
        <v>1785</v>
      </c>
      <c r="F21" s="162"/>
      <c r="G21" s="162"/>
      <c r="H21" s="162"/>
      <c r="I21" s="162"/>
      <c r="J21" s="162"/>
    </row>
    <row r="22" spans="1:16" ht="13.5" thickBot="1">
      <c r="D22" s="634" t="s">
        <v>1785</v>
      </c>
      <c r="E22" s="625" t="s">
        <v>1785</v>
      </c>
      <c r="F22" s="162"/>
      <c r="G22" s="162"/>
      <c r="H22" s="162"/>
      <c r="I22" s="162"/>
      <c r="J22" s="162"/>
    </row>
    <row r="25" spans="1:16">
      <c r="A25" t="s">
        <v>1234</v>
      </c>
      <c r="C25" s="153" t="s">
        <v>2103</v>
      </c>
      <c r="D25" s="94">
        <v>2001</v>
      </c>
      <c r="E25" s="94">
        <v>2002</v>
      </c>
      <c r="F25" s="94">
        <v>2003</v>
      </c>
      <c r="G25" s="94" t="s">
        <v>293</v>
      </c>
      <c r="H25" s="94" t="s">
        <v>293</v>
      </c>
      <c r="I25" s="94" t="s">
        <v>293</v>
      </c>
      <c r="J25" s="94" t="s">
        <v>293</v>
      </c>
      <c r="K25" s="94" t="s">
        <v>293</v>
      </c>
      <c r="L25" s="94" t="s">
        <v>293</v>
      </c>
      <c r="M25" s="94" t="s">
        <v>293</v>
      </c>
    </row>
    <row r="26" spans="1:16">
      <c r="C26" s="153" t="s">
        <v>2301</v>
      </c>
      <c r="D26" s="640">
        <v>-0.2</v>
      </c>
      <c r="E26" s="640">
        <v>-0.15</v>
      </c>
      <c r="F26" s="640">
        <v>-0.1</v>
      </c>
      <c r="G26" s="640">
        <v>0</v>
      </c>
      <c r="H26" s="640">
        <v>0</v>
      </c>
      <c r="I26" s="640">
        <v>0</v>
      </c>
      <c r="J26" s="640">
        <v>0</v>
      </c>
      <c r="K26" s="640">
        <v>0</v>
      </c>
      <c r="L26" s="640">
        <v>0</v>
      </c>
      <c r="M26" s="640">
        <v>0</v>
      </c>
    </row>
    <row r="27" spans="1:16">
      <c r="C27" s="153" t="s">
        <v>2302</v>
      </c>
      <c r="D27" s="640">
        <v>-6.7724803210508092E-3</v>
      </c>
      <c r="E27" s="640">
        <v>0</v>
      </c>
      <c r="F27" s="640">
        <v>0</v>
      </c>
      <c r="G27" s="640">
        <v>0</v>
      </c>
      <c r="H27" s="640">
        <v>0</v>
      </c>
      <c r="I27" s="640">
        <v>0</v>
      </c>
      <c r="J27" s="640">
        <v>0</v>
      </c>
      <c r="K27" s="640">
        <v>0</v>
      </c>
      <c r="L27" s="640">
        <v>0</v>
      </c>
      <c r="M27" s="640">
        <v>0</v>
      </c>
    </row>
    <row r="28" spans="1:16">
      <c r="C28" s="153"/>
      <c r="D28" s="640"/>
      <c r="E28" s="640"/>
      <c r="F28" s="640"/>
      <c r="G28" s="640"/>
      <c r="H28" s="640"/>
      <c r="I28" s="640"/>
      <c r="J28" s="640"/>
      <c r="K28" s="640"/>
      <c r="L28" s="640"/>
      <c r="M28" s="640"/>
    </row>
    <row r="29" spans="1:16">
      <c r="A29" t="s">
        <v>1235</v>
      </c>
      <c r="C29" s="153" t="s">
        <v>2103</v>
      </c>
      <c r="D29" s="94">
        <f>'VAR-based GDP growth adjustment'!G2</f>
        <v>2001</v>
      </c>
      <c r="E29" s="94">
        <f>'VAR-based GDP growth adjustment'!H2</f>
        <v>2002</v>
      </c>
      <c r="F29" s="94">
        <f>'VAR-based GDP growth adjustment'!I2</f>
        <v>2003</v>
      </c>
      <c r="G29" s="94" t="str">
        <f>'VAR-based GDP growth adjustment'!J2</f>
        <v/>
      </c>
      <c r="H29" s="94" t="str">
        <f>'VAR-based GDP growth adjustment'!K2</f>
        <v/>
      </c>
      <c r="I29" s="94" t="str">
        <f>'VAR-based GDP growth adjustment'!L2</f>
        <v/>
      </c>
      <c r="J29" s="94" t="str">
        <f>'VAR-based GDP growth adjustment'!M2</f>
        <v/>
      </c>
      <c r="K29" s="94" t="str">
        <f>'VAR-based GDP growth adjustment'!N2</f>
        <v/>
      </c>
      <c r="L29" s="94" t="str">
        <f>'VAR-based GDP growth adjustment'!O2</f>
        <v/>
      </c>
      <c r="M29" s="94" t="str">
        <f>'VAR-based GDP growth adjustment'!P2</f>
        <v/>
      </c>
      <c r="N29" s="94"/>
      <c r="O29" s="94"/>
      <c r="P29" s="94"/>
    </row>
    <row r="30" spans="1:16">
      <c r="C30" s="153" t="s">
        <v>2301</v>
      </c>
      <c r="D30" s="640">
        <f>'VAR-based GDP growth adjustment'!G5</f>
        <v>-0.2</v>
      </c>
      <c r="E30" s="640">
        <f>'VAR-based GDP growth adjustment'!H5</f>
        <v>-0.15</v>
      </c>
      <c r="F30" s="640">
        <f>'VAR-based GDP growth adjustment'!I5</f>
        <v>-0.1</v>
      </c>
      <c r="G30" s="640">
        <f>'VAR-based GDP growth adjustment'!J5</f>
        <v>0</v>
      </c>
      <c r="H30" s="640">
        <f>'VAR-based GDP growth adjustment'!K5</f>
        <v>0</v>
      </c>
      <c r="I30" s="640">
        <f>'VAR-based GDP growth adjustment'!L5</f>
        <v>0</v>
      </c>
      <c r="J30" s="640">
        <f>'VAR-based GDP growth adjustment'!M5</f>
        <v>0</v>
      </c>
      <c r="K30" s="640">
        <f>'VAR-based GDP growth adjustment'!N5</f>
        <v>0</v>
      </c>
      <c r="L30" s="640">
        <f>'VAR-based GDP growth adjustment'!O5</f>
        <v>0</v>
      </c>
      <c r="M30" s="640">
        <f>'VAR-based GDP growth adjustment'!P5</f>
        <v>0</v>
      </c>
      <c r="N30" s="640"/>
      <c r="O30" s="640"/>
      <c r="P30" s="640"/>
    </row>
    <row r="31" spans="1:16">
      <c r="C31" s="153" t="s">
        <v>2302</v>
      </c>
      <c r="D31" s="640">
        <f>'VAR-based GDP growth adjustment'!G6</f>
        <v>-6.7724803210508092E-3</v>
      </c>
      <c r="E31" s="640">
        <f>'VAR-based GDP growth adjustment'!H6</f>
        <v>0</v>
      </c>
      <c r="F31" s="640">
        <f>'VAR-based GDP growth adjustment'!I6</f>
        <v>0</v>
      </c>
      <c r="G31" s="640">
        <f>'VAR-based GDP growth adjustment'!J6</f>
        <v>0</v>
      </c>
      <c r="H31" s="640">
        <f>'VAR-based GDP growth adjustment'!K6</f>
        <v>0</v>
      </c>
      <c r="I31" s="640">
        <f>'VAR-based GDP growth adjustment'!L6</f>
        <v>0</v>
      </c>
      <c r="J31" s="640">
        <f>'VAR-based GDP growth adjustment'!M6</f>
        <v>0</v>
      </c>
      <c r="K31" s="640">
        <f>'VAR-based GDP growth adjustment'!N6</f>
        <v>0</v>
      </c>
      <c r="L31" s="640">
        <f>'VAR-based GDP growth adjustment'!O6</f>
        <v>0</v>
      </c>
      <c r="M31" s="640">
        <f>'VAR-based GDP growth adjustment'!P6</f>
        <v>0</v>
      </c>
    </row>
    <row r="44" spans="1:2">
      <c r="A44" t="s">
        <v>2394</v>
      </c>
      <c r="B44" s="175" t="s">
        <v>1777</v>
      </c>
    </row>
  </sheetData>
  <pageMargins left="0.75" right="0.75" top="1" bottom="1" header="0.5" footer="0.5"/>
  <pageSetup orientation="portrait" horizontalDpi="0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4"/>
  <dimension ref="A1:CY733"/>
  <sheetViews>
    <sheetView workbookViewId="0">
      <selection activeCell="D25" sqref="D25:M26"/>
    </sheetView>
  </sheetViews>
  <sheetFormatPr defaultRowHeight="12.75"/>
  <cols>
    <col min="1" max="1" width="37.5703125" customWidth="1"/>
    <col min="2" max="2" width="34.42578125" customWidth="1"/>
    <col min="3" max="3" width="32" customWidth="1"/>
    <col min="4" max="4" width="10.28515625" customWidth="1"/>
    <col min="5" max="5" width="11.140625" customWidth="1"/>
  </cols>
  <sheetData>
    <row r="1" spans="1:13" s="546" customFormat="1" ht="11.25">
      <c r="A1" s="546" t="s">
        <v>9</v>
      </c>
      <c r="B1" s="546" t="s">
        <v>10</v>
      </c>
      <c r="C1" s="546" t="s">
        <v>11</v>
      </c>
    </row>
    <row r="2" spans="1:13">
      <c r="A2" t="s">
        <v>2040</v>
      </c>
      <c r="D2" t="s">
        <v>751</v>
      </c>
      <c r="E2" t="s">
        <v>756</v>
      </c>
      <c r="F2" t="s">
        <v>751</v>
      </c>
      <c r="G2" t="s">
        <v>886</v>
      </c>
    </row>
    <row r="3" spans="1:13">
      <c r="A3" t="s">
        <v>1434</v>
      </c>
      <c r="D3" t="s">
        <v>751</v>
      </c>
      <c r="E3" t="s">
        <v>757</v>
      </c>
      <c r="F3" t="s">
        <v>894</v>
      </c>
      <c r="G3" t="s">
        <v>757</v>
      </c>
      <c r="H3" t="s">
        <v>895</v>
      </c>
      <c r="I3" t="s">
        <v>757</v>
      </c>
    </row>
    <row r="4" spans="1:13">
      <c r="A4" t="s">
        <v>2356</v>
      </c>
      <c r="D4" t="s">
        <v>751</v>
      </c>
      <c r="E4" t="s">
        <v>758</v>
      </c>
    </row>
    <row r="5" spans="1:13">
      <c r="A5" t="s">
        <v>1835</v>
      </c>
      <c r="D5" t="s">
        <v>751</v>
      </c>
      <c r="E5" t="s">
        <v>759</v>
      </c>
      <c r="F5" t="s">
        <v>894</v>
      </c>
      <c r="G5" t="s">
        <v>759</v>
      </c>
      <c r="H5" t="s">
        <v>895</v>
      </c>
      <c r="I5" t="s">
        <v>759</v>
      </c>
    </row>
    <row r="6" spans="1:13">
      <c r="A6" t="s">
        <v>1435</v>
      </c>
      <c r="D6" t="s">
        <v>751</v>
      </c>
      <c r="E6" t="s">
        <v>760</v>
      </c>
      <c r="F6" t="s">
        <v>894</v>
      </c>
      <c r="G6" t="s">
        <v>760</v>
      </c>
      <c r="H6" t="s">
        <v>895</v>
      </c>
      <c r="I6" t="s">
        <v>760</v>
      </c>
    </row>
    <row r="7" spans="1:13">
      <c r="A7" t="s">
        <v>2045</v>
      </c>
      <c r="D7" t="s">
        <v>751</v>
      </c>
      <c r="E7" t="s">
        <v>761</v>
      </c>
    </row>
    <row r="8" spans="1:13">
      <c r="A8" t="s">
        <v>1436</v>
      </c>
      <c r="D8" t="s">
        <v>751</v>
      </c>
      <c r="E8" t="s">
        <v>762</v>
      </c>
      <c r="F8" t="s">
        <v>894</v>
      </c>
      <c r="G8" t="s">
        <v>762</v>
      </c>
      <c r="H8" t="s">
        <v>895</v>
      </c>
      <c r="I8" t="s">
        <v>762</v>
      </c>
    </row>
    <row r="9" spans="1:13">
      <c r="A9" t="s">
        <v>1437</v>
      </c>
      <c r="D9" t="s">
        <v>751</v>
      </c>
      <c r="E9" t="s">
        <v>763</v>
      </c>
      <c r="F9" t="s">
        <v>894</v>
      </c>
      <c r="G9" t="s">
        <v>763</v>
      </c>
      <c r="H9" t="s">
        <v>895</v>
      </c>
      <c r="I9" t="s">
        <v>763</v>
      </c>
    </row>
    <row r="10" spans="1:13">
      <c r="A10" t="s">
        <v>1438</v>
      </c>
      <c r="D10" t="s">
        <v>751</v>
      </c>
      <c r="E10" t="s">
        <v>764</v>
      </c>
      <c r="F10" t="s">
        <v>894</v>
      </c>
      <c r="G10" t="s">
        <v>764</v>
      </c>
      <c r="H10" t="s">
        <v>895</v>
      </c>
      <c r="I10" t="s">
        <v>764</v>
      </c>
    </row>
    <row r="11" spans="1:13">
      <c r="A11" t="s">
        <v>1439</v>
      </c>
      <c r="D11" t="s">
        <v>751</v>
      </c>
      <c r="E11" t="s">
        <v>765</v>
      </c>
      <c r="F11" t="s">
        <v>894</v>
      </c>
      <c r="G11" t="s">
        <v>765</v>
      </c>
      <c r="H11" t="s">
        <v>895</v>
      </c>
      <c r="I11" t="s">
        <v>765</v>
      </c>
      <c r="J11" t="s">
        <v>1097</v>
      </c>
      <c r="K11" t="s">
        <v>958</v>
      </c>
      <c r="L11" t="s">
        <v>1097</v>
      </c>
      <c r="M11" t="s">
        <v>968</v>
      </c>
    </row>
    <row r="12" spans="1:13">
      <c r="A12" t="s">
        <v>1440</v>
      </c>
      <c r="D12" t="s">
        <v>751</v>
      </c>
      <c r="E12" t="s">
        <v>766</v>
      </c>
      <c r="F12" t="s">
        <v>894</v>
      </c>
      <c r="G12" t="s">
        <v>766</v>
      </c>
      <c r="H12" t="s">
        <v>895</v>
      </c>
      <c r="I12" t="s">
        <v>766</v>
      </c>
      <c r="J12" t="s">
        <v>1097</v>
      </c>
      <c r="K12" t="s">
        <v>959</v>
      </c>
      <c r="L12" t="s">
        <v>1097</v>
      </c>
      <c r="M12" t="s">
        <v>969</v>
      </c>
    </row>
    <row r="13" spans="1:13">
      <c r="A13" t="s">
        <v>1441</v>
      </c>
      <c r="D13" t="s">
        <v>751</v>
      </c>
      <c r="E13" t="s">
        <v>767</v>
      </c>
      <c r="F13" t="s">
        <v>894</v>
      </c>
      <c r="G13" t="s">
        <v>767</v>
      </c>
      <c r="H13" t="s">
        <v>895</v>
      </c>
      <c r="I13" t="s">
        <v>767</v>
      </c>
      <c r="J13" t="s">
        <v>1097</v>
      </c>
      <c r="K13" t="s">
        <v>960</v>
      </c>
      <c r="L13" t="s">
        <v>1097</v>
      </c>
      <c r="M13" t="s">
        <v>970</v>
      </c>
    </row>
    <row r="14" spans="1:13">
      <c r="A14" t="s">
        <v>1442</v>
      </c>
      <c r="D14" t="s">
        <v>751</v>
      </c>
      <c r="E14" t="s">
        <v>768</v>
      </c>
      <c r="F14" t="s">
        <v>894</v>
      </c>
      <c r="G14" t="s">
        <v>768</v>
      </c>
      <c r="H14" t="s">
        <v>895</v>
      </c>
      <c r="I14" t="s">
        <v>768</v>
      </c>
      <c r="J14" t="s">
        <v>1097</v>
      </c>
      <c r="K14" t="s">
        <v>961</v>
      </c>
      <c r="L14" t="s">
        <v>1097</v>
      </c>
      <c r="M14" t="s">
        <v>971</v>
      </c>
    </row>
    <row r="15" spans="1:13">
      <c r="A15" t="s">
        <v>1443</v>
      </c>
      <c r="D15" t="s">
        <v>751</v>
      </c>
      <c r="E15" t="s">
        <v>769</v>
      </c>
      <c r="F15" t="s">
        <v>894</v>
      </c>
      <c r="G15" t="s">
        <v>769</v>
      </c>
      <c r="H15" t="s">
        <v>895</v>
      </c>
      <c r="I15" t="s">
        <v>769</v>
      </c>
      <c r="J15" t="s">
        <v>1097</v>
      </c>
      <c r="K15" t="s">
        <v>1028</v>
      </c>
      <c r="L15" t="s">
        <v>1097</v>
      </c>
      <c r="M15" t="s">
        <v>878</v>
      </c>
    </row>
    <row r="16" spans="1:13">
      <c r="A16" t="s">
        <v>1444</v>
      </c>
      <c r="D16" t="s">
        <v>751</v>
      </c>
      <c r="E16" t="s">
        <v>770</v>
      </c>
      <c r="F16" t="s">
        <v>894</v>
      </c>
      <c r="G16" t="s">
        <v>770</v>
      </c>
      <c r="H16" t="s">
        <v>895</v>
      </c>
      <c r="I16" t="s">
        <v>770</v>
      </c>
      <c r="J16" t="s">
        <v>1097</v>
      </c>
      <c r="K16" t="s">
        <v>963</v>
      </c>
      <c r="L16" t="s">
        <v>1097</v>
      </c>
      <c r="M16" t="s">
        <v>973</v>
      </c>
    </row>
    <row r="17" spans="1:13">
      <c r="A17" t="s">
        <v>1445</v>
      </c>
      <c r="D17" t="s">
        <v>751</v>
      </c>
      <c r="E17" t="s">
        <v>771</v>
      </c>
      <c r="F17" t="s">
        <v>894</v>
      </c>
      <c r="G17" t="s">
        <v>771</v>
      </c>
      <c r="H17" t="s">
        <v>895</v>
      </c>
      <c r="I17" t="s">
        <v>771</v>
      </c>
      <c r="J17" t="s">
        <v>1097</v>
      </c>
      <c r="K17" t="s">
        <v>957</v>
      </c>
      <c r="L17" t="s">
        <v>1097</v>
      </c>
      <c r="M17" t="s">
        <v>967</v>
      </c>
    </row>
    <row r="18" spans="1:13">
      <c r="A18" t="s">
        <v>1446</v>
      </c>
      <c r="D18" t="s">
        <v>751</v>
      </c>
      <c r="E18" t="s">
        <v>772</v>
      </c>
      <c r="F18" t="s">
        <v>894</v>
      </c>
      <c r="G18" t="s">
        <v>772</v>
      </c>
      <c r="H18" t="s">
        <v>895</v>
      </c>
      <c r="I18" t="s">
        <v>772</v>
      </c>
      <c r="J18" t="s">
        <v>1097</v>
      </c>
      <c r="K18" t="s">
        <v>956</v>
      </c>
      <c r="L18" t="s">
        <v>1097</v>
      </c>
      <c r="M18" t="s">
        <v>966</v>
      </c>
    </row>
    <row r="19" spans="1:13">
      <c r="A19" t="s">
        <v>1447</v>
      </c>
      <c r="D19" t="s">
        <v>751</v>
      </c>
      <c r="E19" t="s">
        <v>773</v>
      </c>
      <c r="F19" t="s">
        <v>894</v>
      </c>
      <c r="G19" t="s">
        <v>773</v>
      </c>
      <c r="H19" t="s">
        <v>895</v>
      </c>
      <c r="I19" t="s">
        <v>773</v>
      </c>
      <c r="J19" t="s">
        <v>896</v>
      </c>
      <c r="K19" t="s">
        <v>762</v>
      </c>
    </row>
    <row r="20" spans="1:13">
      <c r="A20" t="s">
        <v>1509</v>
      </c>
      <c r="D20" t="s">
        <v>751</v>
      </c>
      <c r="E20" t="s">
        <v>774</v>
      </c>
      <c r="F20" t="s">
        <v>894</v>
      </c>
      <c r="G20" t="s">
        <v>774</v>
      </c>
      <c r="H20" t="s">
        <v>895</v>
      </c>
      <c r="I20" t="s">
        <v>774</v>
      </c>
      <c r="J20" t="s">
        <v>896</v>
      </c>
      <c r="K20" t="s">
        <v>813</v>
      </c>
    </row>
    <row r="21" spans="1:13">
      <c r="A21" t="s">
        <v>1886</v>
      </c>
      <c r="D21" t="s">
        <v>751</v>
      </c>
      <c r="E21" t="s">
        <v>775</v>
      </c>
      <c r="F21" t="s">
        <v>894</v>
      </c>
      <c r="G21" t="s">
        <v>775</v>
      </c>
      <c r="H21" t="s">
        <v>895</v>
      </c>
      <c r="I21" t="s">
        <v>775</v>
      </c>
    </row>
    <row r="22" spans="1:13">
      <c r="A22" t="s">
        <v>1887</v>
      </c>
      <c r="D22" t="s">
        <v>751</v>
      </c>
      <c r="E22" t="s">
        <v>776</v>
      </c>
      <c r="F22" t="s">
        <v>894</v>
      </c>
      <c r="G22" t="s">
        <v>776</v>
      </c>
      <c r="H22" t="s">
        <v>895</v>
      </c>
      <c r="I22" t="s">
        <v>776</v>
      </c>
    </row>
    <row r="23" spans="1:13">
      <c r="A23" t="s">
        <v>1888</v>
      </c>
      <c r="D23" t="s">
        <v>751</v>
      </c>
      <c r="E23" t="s">
        <v>777</v>
      </c>
      <c r="F23" t="s">
        <v>894</v>
      </c>
      <c r="G23" t="s">
        <v>777</v>
      </c>
      <c r="H23" t="s">
        <v>895</v>
      </c>
      <c r="I23" t="s">
        <v>777</v>
      </c>
    </row>
    <row r="24" spans="1:13">
      <c r="A24" t="s">
        <v>1876</v>
      </c>
      <c r="D24" t="s">
        <v>751</v>
      </c>
      <c r="E24" t="s">
        <v>778</v>
      </c>
      <c r="F24" t="s">
        <v>894</v>
      </c>
      <c r="G24" t="s">
        <v>778</v>
      </c>
      <c r="H24" t="s">
        <v>895</v>
      </c>
      <c r="I24" t="s">
        <v>778</v>
      </c>
    </row>
    <row r="25" spans="1:13">
      <c r="A25" t="s">
        <v>1875</v>
      </c>
      <c r="D25" t="s">
        <v>751</v>
      </c>
      <c r="E25" t="s">
        <v>779</v>
      </c>
      <c r="F25" t="s">
        <v>894</v>
      </c>
      <c r="G25" t="s">
        <v>779</v>
      </c>
      <c r="H25" t="s">
        <v>895</v>
      </c>
      <c r="I25" t="s">
        <v>779</v>
      </c>
    </row>
    <row r="26" spans="1:13">
      <c r="A26" t="s">
        <v>1449</v>
      </c>
      <c r="D26" t="s">
        <v>751</v>
      </c>
      <c r="E26" t="s">
        <v>780</v>
      </c>
      <c r="F26" t="s">
        <v>894</v>
      </c>
      <c r="G26" t="s">
        <v>780</v>
      </c>
      <c r="H26" t="s">
        <v>895</v>
      </c>
      <c r="I26" t="s">
        <v>780</v>
      </c>
    </row>
    <row r="27" spans="1:13">
      <c r="A27" t="s">
        <v>1450</v>
      </c>
      <c r="D27" t="s">
        <v>751</v>
      </c>
      <c r="E27" t="s">
        <v>781</v>
      </c>
      <c r="F27" t="s">
        <v>894</v>
      </c>
      <c r="G27" t="s">
        <v>781</v>
      </c>
      <c r="H27" t="s">
        <v>895</v>
      </c>
      <c r="I27" t="s">
        <v>781</v>
      </c>
      <c r="J27" t="s">
        <v>896</v>
      </c>
      <c r="K27" t="s">
        <v>779</v>
      </c>
    </row>
    <row r="28" spans="1:13">
      <c r="A28" t="s">
        <v>1894</v>
      </c>
      <c r="D28" t="s">
        <v>751</v>
      </c>
      <c r="E28" t="s">
        <v>782</v>
      </c>
      <c r="F28" t="s">
        <v>894</v>
      </c>
      <c r="G28" t="s">
        <v>782</v>
      </c>
      <c r="H28" t="s">
        <v>895</v>
      </c>
      <c r="I28" t="s">
        <v>782</v>
      </c>
    </row>
    <row r="29" spans="1:13">
      <c r="A29" t="s">
        <v>1451</v>
      </c>
      <c r="D29" t="s">
        <v>751</v>
      </c>
      <c r="E29" t="s">
        <v>783</v>
      </c>
      <c r="F29" t="s">
        <v>894</v>
      </c>
      <c r="G29" t="s">
        <v>783</v>
      </c>
      <c r="H29" t="s">
        <v>895</v>
      </c>
      <c r="I29" t="s">
        <v>783</v>
      </c>
    </row>
    <row r="30" spans="1:13">
      <c r="A30" t="s">
        <v>1452</v>
      </c>
      <c r="D30" t="s">
        <v>751</v>
      </c>
      <c r="E30" t="s">
        <v>784</v>
      </c>
      <c r="F30" t="s">
        <v>894</v>
      </c>
      <c r="G30" t="s">
        <v>784</v>
      </c>
      <c r="H30" t="s">
        <v>895</v>
      </c>
      <c r="I30" t="s">
        <v>784</v>
      </c>
      <c r="J30" t="s">
        <v>896</v>
      </c>
      <c r="K30" t="s">
        <v>777</v>
      </c>
    </row>
    <row r="31" spans="1:13">
      <c r="A31" t="s">
        <v>1453</v>
      </c>
      <c r="D31" t="s">
        <v>751</v>
      </c>
      <c r="E31" t="s">
        <v>785</v>
      </c>
      <c r="F31" t="s">
        <v>894</v>
      </c>
      <c r="G31" t="s">
        <v>785</v>
      </c>
      <c r="H31" t="s">
        <v>895</v>
      </c>
      <c r="I31" t="s">
        <v>785</v>
      </c>
      <c r="J31" t="s">
        <v>896</v>
      </c>
      <c r="K31" t="s">
        <v>763</v>
      </c>
    </row>
    <row r="32" spans="1:13">
      <c r="A32" t="s">
        <v>1454</v>
      </c>
      <c r="D32" t="s">
        <v>751</v>
      </c>
      <c r="E32" t="s">
        <v>786</v>
      </c>
      <c r="F32" t="s">
        <v>894</v>
      </c>
      <c r="G32" t="s">
        <v>786</v>
      </c>
      <c r="H32" t="s">
        <v>895</v>
      </c>
      <c r="I32" t="s">
        <v>786</v>
      </c>
      <c r="J32" t="s">
        <v>896</v>
      </c>
      <c r="K32" t="s">
        <v>765</v>
      </c>
    </row>
    <row r="33" spans="1:11">
      <c r="A33" t="s">
        <v>1455</v>
      </c>
      <c r="D33" t="s">
        <v>751</v>
      </c>
      <c r="E33" t="s">
        <v>787</v>
      </c>
      <c r="F33" t="s">
        <v>894</v>
      </c>
      <c r="G33" t="s">
        <v>787</v>
      </c>
      <c r="H33" t="s">
        <v>895</v>
      </c>
      <c r="I33" t="s">
        <v>787</v>
      </c>
      <c r="J33" t="s">
        <v>896</v>
      </c>
      <c r="K33" t="s">
        <v>768</v>
      </c>
    </row>
    <row r="34" spans="1:11">
      <c r="A34" t="s">
        <v>1456</v>
      </c>
      <c r="D34" t="s">
        <v>751</v>
      </c>
      <c r="E34" t="s">
        <v>788</v>
      </c>
      <c r="F34" t="s">
        <v>894</v>
      </c>
      <c r="G34" t="s">
        <v>788</v>
      </c>
      <c r="H34" t="s">
        <v>895</v>
      </c>
      <c r="I34" t="s">
        <v>788</v>
      </c>
      <c r="J34" t="s">
        <v>896</v>
      </c>
      <c r="K34" t="s">
        <v>771</v>
      </c>
    </row>
    <row r="35" spans="1:11">
      <c r="A35" t="s">
        <v>1457</v>
      </c>
      <c r="D35" t="s">
        <v>751</v>
      </c>
      <c r="E35" t="s">
        <v>789</v>
      </c>
      <c r="F35" t="s">
        <v>894</v>
      </c>
      <c r="G35" t="s">
        <v>789</v>
      </c>
      <c r="H35" t="s">
        <v>895</v>
      </c>
      <c r="I35" t="s">
        <v>789</v>
      </c>
      <c r="J35" t="s">
        <v>896</v>
      </c>
      <c r="K35" t="s">
        <v>774</v>
      </c>
    </row>
    <row r="36" spans="1:11">
      <c r="A36" t="s">
        <v>1866</v>
      </c>
      <c r="D36" t="s">
        <v>751</v>
      </c>
      <c r="E36" t="s">
        <v>790</v>
      </c>
      <c r="F36" t="s">
        <v>894</v>
      </c>
      <c r="G36" t="s">
        <v>790</v>
      </c>
      <c r="H36" t="s">
        <v>895</v>
      </c>
      <c r="I36" t="s">
        <v>790</v>
      </c>
    </row>
    <row r="37" spans="1:11">
      <c r="A37" t="s">
        <v>1458</v>
      </c>
      <c r="D37" t="s">
        <v>751</v>
      </c>
      <c r="E37" t="s">
        <v>791</v>
      </c>
      <c r="F37" t="s">
        <v>894</v>
      </c>
      <c r="G37" t="s">
        <v>791</v>
      </c>
      <c r="H37" t="s">
        <v>895</v>
      </c>
      <c r="I37" t="s">
        <v>791</v>
      </c>
      <c r="J37" t="s">
        <v>896</v>
      </c>
      <c r="K37" t="s">
        <v>785</v>
      </c>
    </row>
    <row r="38" spans="1:11">
      <c r="A38" t="s">
        <v>1459</v>
      </c>
      <c r="D38" t="s">
        <v>751</v>
      </c>
      <c r="E38" t="s">
        <v>792</v>
      </c>
      <c r="F38" t="s">
        <v>894</v>
      </c>
      <c r="G38" t="s">
        <v>792</v>
      </c>
      <c r="H38" t="s">
        <v>895</v>
      </c>
      <c r="I38" t="s">
        <v>792</v>
      </c>
      <c r="J38" t="s">
        <v>896</v>
      </c>
      <c r="K38" t="s">
        <v>787</v>
      </c>
    </row>
    <row r="39" spans="1:11">
      <c r="A39" t="s">
        <v>1460</v>
      </c>
      <c r="D39" t="s">
        <v>751</v>
      </c>
      <c r="E39" t="s">
        <v>793</v>
      </c>
      <c r="F39" t="s">
        <v>894</v>
      </c>
      <c r="G39" t="s">
        <v>793</v>
      </c>
      <c r="H39" t="s">
        <v>895</v>
      </c>
      <c r="I39" t="s">
        <v>793</v>
      </c>
    </row>
    <row r="40" spans="1:11">
      <c r="A40" t="s">
        <v>1461</v>
      </c>
      <c r="D40" t="s">
        <v>751</v>
      </c>
      <c r="E40" t="s">
        <v>794</v>
      </c>
      <c r="F40" t="s">
        <v>894</v>
      </c>
      <c r="G40" t="s">
        <v>794</v>
      </c>
      <c r="H40" t="s">
        <v>895</v>
      </c>
      <c r="I40" t="s">
        <v>794</v>
      </c>
    </row>
    <row r="41" spans="1:11">
      <c r="A41" t="s">
        <v>1462</v>
      </c>
      <c r="D41" t="s">
        <v>751</v>
      </c>
      <c r="E41" t="s">
        <v>795</v>
      </c>
      <c r="F41" t="s">
        <v>894</v>
      </c>
      <c r="G41" t="s">
        <v>795</v>
      </c>
      <c r="H41" t="s">
        <v>895</v>
      </c>
      <c r="I41" t="s">
        <v>795</v>
      </c>
      <c r="J41" t="s">
        <v>896</v>
      </c>
      <c r="K41" t="s">
        <v>791</v>
      </c>
    </row>
    <row r="42" spans="1:11">
      <c r="A42" t="s">
        <v>1463</v>
      </c>
      <c r="D42" t="s">
        <v>751</v>
      </c>
      <c r="E42" t="s">
        <v>796</v>
      </c>
      <c r="F42" t="s">
        <v>894</v>
      </c>
      <c r="G42" t="s">
        <v>796</v>
      </c>
      <c r="H42" t="s">
        <v>895</v>
      </c>
      <c r="I42" t="s">
        <v>796</v>
      </c>
      <c r="J42" t="s">
        <v>896</v>
      </c>
      <c r="K42" t="s">
        <v>792</v>
      </c>
    </row>
    <row r="43" spans="1:11">
      <c r="A43" t="s">
        <v>1464</v>
      </c>
      <c r="D43" t="s">
        <v>751</v>
      </c>
      <c r="E43" t="s">
        <v>797</v>
      </c>
      <c r="F43" t="s">
        <v>894</v>
      </c>
      <c r="G43" t="s">
        <v>797</v>
      </c>
      <c r="H43" t="s">
        <v>895</v>
      </c>
      <c r="I43" t="s">
        <v>797</v>
      </c>
      <c r="J43" t="s">
        <v>896</v>
      </c>
      <c r="K43" t="s">
        <v>795</v>
      </c>
    </row>
    <row r="44" spans="1:11">
      <c r="A44" t="s">
        <v>1465</v>
      </c>
      <c r="D44" t="s">
        <v>751</v>
      </c>
      <c r="E44" t="s">
        <v>798</v>
      </c>
      <c r="F44" t="s">
        <v>894</v>
      </c>
      <c r="G44" t="s">
        <v>798</v>
      </c>
      <c r="H44" t="s">
        <v>895</v>
      </c>
      <c r="I44" t="s">
        <v>798</v>
      </c>
      <c r="J44" t="s">
        <v>896</v>
      </c>
      <c r="K44" t="s">
        <v>798</v>
      </c>
    </row>
    <row r="45" spans="1:11">
      <c r="A45" t="s">
        <v>1466</v>
      </c>
      <c r="D45" t="s">
        <v>751</v>
      </c>
      <c r="E45" t="s">
        <v>799</v>
      </c>
      <c r="F45" t="s">
        <v>894</v>
      </c>
      <c r="G45" t="s">
        <v>799</v>
      </c>
      <c r="H45" t="s">
        <v>895</v>
      </c>
      <c r="I45" t="s">
        <v>799</v>
      </c>
    </row>
    <row r="46" spans="1:11">
      <c r="A46" t="s">
        <v>1877</v>
      </c>
      <c r="D46" t="s">
        <v>751</v>
      </c>
      <c r="E46" t="s">
        <v>800</v>
      </c>
      <c r="F46" t="s">
        <v>894</v>
      </c>
      <c r="G46" t="s">
        <v>800</v>
      </c>
      <c r="H46" t="s">
        <v>895</v>
      </c>
      <c r="I46" t="s">
        <v>800</v>
      </c>
    </row>
    <row r="47" spans="1:11">
      <c r="A47" t="s">
        <v>1467</v>
      </c>
      <c r="D47" t="s">
        <v>751</v>
      </c>
      <c r="E47" t="s">
        <v>801</v>
      </c>
      <c r="F47" t="s">
        <v>894</v>
      </c>
      <c r="G47" t="s">
        <v>801</v>
      </c>
      <c r="H47" t="s">
        <v>895</v>
      </c>
      <c r="I47" t="s">
        <v>801</v>
      </c>
    </row>
    <row r="48" spans="1:11">
      <c r="A48" t="s">
        <v>1867</v>
      </c>
      <c r="D48" t="s">
        <v>751</v>
      </c>
      <c r="E48" t="s">
        <v>802</v>
      </c>
      <c r="F48" t="s">
        <v>894</v>
      </c>
      <c r="G48" t="s">
        <v>802</v>
      </c>
      <c r="H48" t="s">
        <v>895</v>
      </c>
      <c r="I48" t="s">
        <v>802</v>
      </c>
    </row>
    <row r="49" spans="1:11">
      <c r="A49" t="s">
        <v>1469</v>
      </c>
      <c r="D49" t="s">
        <v>751</v>
      </c>
      <c r="E49" t="s">
        <v>803</v>
      </c>
      <c r="F49" t="s">
        <v>894</v>
      </c>
      <c r="G49" t="s">
        <v>803</v>
      </c>
      <c r="H49" t="s">
        <v>895</v>
      </c>
      <c r="I49" t="s">
        <v>803</v>
      </c>
      <c r="J49" t="s">
        <v>896</v>
      </c>
      <c r="K49" t="s">
        <v>805</v>
      </c>
    </row>
    <row r="50" spans="1:11">
      <c r="A50" t="s">
        <v>1878</v>
      </c>
      <c r="D50" t="s">
        <v>751</v>
      </c>
      <c r="E50" t="s">
        <v>804</v>
      </c>
      <c r="F50" t="s">
        <v>894</v>
      </c>
      <c r="G50" t="s">
        <v>804</v>
      </c>
      <c r="H50" t="s">
        <v>895</v>
      </c>
      <c r="I50" t="s">
        <v>804</v>
      </c>
    </row>
    <row r="51" spans="1:11">
      <c r="A51" t="s">
        <v>1470</v>
      </c>
      <c r="D51" t="s">
        <v>751</v>
      </c>
      <c r="E51" t="s">
        <v>805</v>
      </c>
      <c r="F51" t="s">
        <v>894</v>
      </c>
      <c r="G51" t="s">
        <v>805</v>
      </c>
      <c r="H51" t="s">
        <v>895</v>
      </c>
      <c r="I51" t="s">
        <v>805</v>
      </c>
      <c r="J51" t="s">
        <v>896</v>
      </c>
      <c r="K51" t="s">
        <v>809</v>
      </c>
    </row>
    <row r="52" spans="1:11">
      <c r="A52" t="s">
        <v>1883</v>
      </c>
      <c r="D52" t="s">
        <v>751</v>
      </c>
      <c r="E52" t="s">
        <v>806</v>
      </c>
      <c r="F52" t="s">
        <v>894</v>
      </c>
      <c r="G52" t="s">
        <v>806</v>
      </c>
      <c r="H52" t="s">
        <v>895</v>
      </c>
      <c r="I52" t="s">
        <v>806</v>
      </c>
    </row>
    <row r="53" spans="1:11">
      <c r="A53" t="s">
        <v>1472</v>
      </c>
      <c r="D53" t="s">
        <v>751</v>
      </c>
      <c r="E53" t="s">
        <v>807</v>
      </c>
      <c r="F53" t="s">
        <v>894</v>
      </c>
      <c r="G53" t="s">
        <v>807</v>
      </c>
      <c r="H53" t="s">
        <v>895</v>
      </c>
      <c r="I53" t="s">
        <v>807</v>
      </c>
    </row>
    <row r="54" spans="1:11">
      <c r="A54" t="s">
        <v>1868</v>
      </c>
      <c r="D54" t="s">
        <v>751</v>
      </c>
      <c r="E54" t="s">
        <v>808</v>
      </c>
      <c r="F54" t="s">
        <v>894</v>
      </c>
      <c r="G54" t="s">
        <v>808</v>
      </c>
      <c r="H54" t="s">
        <v>895</v>
      </c>
      <c r="I54" t="s">
        <v>808</v>
      </c>
    </row>
    <row r="55" spans="1:11">
      <c r="A55" t="s">
        <v>1870</v>
      </c>
      <c r="D55" t="s">
        <v>751</v>
      </c>
      <c r="E55" t="s">
        <v>809</v>
      </c>
      <c r="F55" t="s">
        <v>894</v>
      </c>
      <c r="G55" t="s">
        <v>809</v>
      </c>
      <c r="H55" t="s">
        <v>895</v>
      </c>
      <c r="I55" t="s">
        <v>809</v>
      </c>
    </row>
    <row r="56" spans="1:11">
      <c r="A56" t="s">
        <v>1874</v>
      </c>
      <c r="D56" t="s">
        <v>751</v>
      </c>
      <c r="E56" t="s">
        <v>810</v>
      </c>
      <c r="F56" t="s">
        <v>894</v>
      </c>
      <c r="G56" t="s">
        <v>810</v>
      </c>
      <c r="H56" t="s">
        <v>895</v>
      </c>
      <c r="I56" t="s">
        <v>810</v>
      </c>
    </row>
    <row r="57" spans="1:11">
      <c r="A57" t="s">
        <v>1869</v>
      </c>
      <c r="D57" t="s">
        <v>751</v>
      </c>
      <c r="E57" t="s">
        <v>811</v>
      </c>
      <c r="F57" t="s">
        <v>894</v>
      </c>
      <c r="G57" t="s">
        <v>811</v>
      </c>
      <c r="H57" t="s">
        <v>895</v>
      </c>
      <c r="I57" t="s">
        <v>811</v>
      </c>
    </row>
    <row r="58" spans="1:11">
      <c r="A58" t="s">
        <v>1473</v>
      </c>
      <c r="D58" t="s">
        <v>751</v>
      </c>
      <c r="E58" t="s">
        <v>812</v>
      </c>
      <c r="F58" t="s">
        <v>894</v>
      </c>
      <c r="G58" t="s">
        <v>812</v>
      </c>
      <c r="H58" t="s">
        <v>895</v>
      </c>
      <c r="I58" t="s">
        <v>812</v>
      </c>
    </row>
    <row r="59" spans="1:11">
      <c r="A59" t="s">
        <v>1474</v>
      </c>
      <c r="D59" t="s">
        <v>751</v>
      </c>
      <c r="E59" t="s">
        <v>813</v>
      </c>
      <c r="F59" t="s">
        <v>894</v>
      </c>
      <c r="G59" t="s">
        <v>813</v>
      </c>
      <c r="H59" t="s">
        <v>895</v>
      </c>
      <c r="I59" t="s">
        <v>813</v>
      </c>
    </row>
    <row r="60" spans="1:11">
      <c r="A60" t="s">
        <v>2033</v>
      </c>
      <c r="D60" t="s">
        <v>751</v>
      </c>
      <c r="E60" t="s">
        <v>814</v>
      </c>
      <c r="F60" t="s">
        <v>894</v>
      </c>
      <c r="G60" t="s">
        <v>814</v>
      </c>
      <c r="H60" t="s">
        <v>895</v>
      </c>
      <c r="I60" t="s">
        <v>814</v>
      </c>
    </row>
    <row r="61" spans="1:11">
      <c r="A61" t="s">
        <v>1879</v>
      </c>
      <c r="D61" t="s">
        <v>751</v>
      </c>
      <c r="E61" t="s">
        <v>815</v>
      </c>
      <c r="F61" t="s">
        <v>894</v>
      </c>
      <c r="G61" t="s">
        <v>815</v>
      </c>
      <c r="H61" t="s">
        <v>895</v>
      </c>
      <c r="I61" t="s">
        <v>815</v>
      </c>
    </row>
    <row r="62" spans="1:11">
      <c r="A62" t="s">
        <v>1880</v>
      </c>
      <c r="D62" t="s">
        <v>751</v>
      </c>
      <c r="E62" t="s">
        <v>816</v>
      </c>
      <c r="F62" t="s">
        <v>894</v>
      </c>
      <c r="G62" t="s">
        <v>816</v>
      </c>
      <c r="H62" t="s">
        <v>895</v>
      </c>
      <c r="I62" t="s">
        <v>816</v>
      </c>
    </row>
    <row r="63" spans="1:11">
      <c r="A63" t="s">
        <v>1881</v>
      </c>
      <c r="D63" t="s">
        <v>751</v>
      </c>
      <c r="E63" t="s">
        <v>817</v>
      </c>
      <c r="F63" t="s">
        <v>894</v>
      </c>
      <c r="G63" t="s">
        <v>817</v>
      </c>
      <c r="H63" t="s">
        <v>895</v>
      </c>
      <c r="I63" t="s">
        <v>817</v>
      </c>
    </row>
    <row r="64" spans="1:11">
      <c r="A64" t="s">
        <v>1882</v>
      </c>
      <c r="D64" t="s">
        <v>751</v>
      </c>
      <c r="E64" t="s">
        <v>818</v>
      </c>
      <c r="F64" t="s">
        <v>894</v>
      </c>
      <c r="G64" t="s">
        <v>818</v>
      </c>
      <c r="H64" t="s">
        <v>895</v>
      </c>
      <c r="I64" t="s">
        <v>818</v>
      </c>
    </row>
    <row r="65" spans="1:13">
      <c r="A65" t="s">
        <v>1914</v>
      </c>
      <c r="D65" t="s">
        <v>751</v>
      </c>
      <c r="E65" t="s">
        <v>819</v>
      </c>
      <c r="F65" t="s">
        <v>894</v>
      </c>
      <c r="G65" t="s">
        <v>819</v>
      </c>
      <c r="H65" t="s">
        <v>895</v>
      </c>
      <c r="I65" t="s">
        <v>819</v>
      </c>
    </row>
    <row r="66" spans="1:13">
      <c r="A66" t="s">
        <v>1905</v>
      </c>
      <c r="D66" t="s">
        <v>751</v>
      </c>
      <c r="E66" t="s">
        <v>820</v>
      </c>
      <c r="F66" t="s">
        <v>894</v>
      </c>
      <c r="G66" t="s">
        <v>820</v>
      </c>
      <c r="H66" t="s">
        <v>895</v>
      </c>
      <c r="I66" t="s">
        <v>820</v>
      </c>
    </row>
    <row r="67" spans="1:13">
      <c r="A67" t="s">
        <v>1906</v>
      </c>
      <c r="D67" t="s">
        <v>751</v>
      </c>
      <c r="E67" t="s">
        <v>821</v>
      </c>
      <c r="F67" t="s">
        <v>894</v>
      </c>
      <c r="G67" t="s">
        <v>821</v>
      </c>
      <c r="H67" t="s">
        <v>895</v>
      </c>
      <c r="I67" t="s">
        <v>821</v>
      </c>
    </row>
    <row r="68" spans="1:13">
      <c r="A68" t="s">
        <v>1907</v>
      </c>
      <c r="D68" t="s">
        <v>751</v>
      </c>
      <c r="E68" t="s">
        <v>822</v>
      </c>
      <c r="F68" t="s">
        <v>894</v>
      </c>
      <c r="G68" t="s">
        <v>822</v>
      </c>
      <c r="H68" t="s">
        <v>895</v>
      </c>
      <c r="I68" t="s">
        <v>822</v>
      </c>
    </row>
    <row r="69" spans="1:13">
      <c r="A69" t="s">
        <v>2046</v>
      </c>
      <c r="D69" t="s">
        <v>751</v>
      </c>
      <c r="E69" t="s">
        <v>823</v>
      </c>
    </row>
    <row r="70" spans="1:13">
      <c r="A70" t="s">
        <v>1924</v>
      </c>
      <c r="D70" t="s">
        <v>751</v>
      </c>
      <c r="E70" t="s">
        <v>824</v>
      </c>
      <c r="F70" t="s">
        <v>894</v>
      </c>
      <c r="G70" t="s">
        <v>824</v>
      </c>
      <c r="H70" t="s">
        <v>895</v>
      </c>
      <c r="I70" t="s">
        <v>824</v>
      </c>
    </row>
    <row r="71" spans="1:13">
      <c r="A71" t="s">
        <v>1865</v>
      </c>
      <c r="D71" t="s">
        <v>751</v>
      </c>
      <c r="E71" t="s">
        <v>825</v>
      </c>
      <c r="F71" t="s">
        <v>894</v>
      </c>
      <c r="G71" t="s">
        <v>825</v>
      </c>
      <c r="H71" t="s">
        <v>895</v>
      </c>
      <c r="I71" t="s">
        <v>825</v>
      </c>
    </row>
    <row r="72" spans="1:13">
      <c r="A72" t="s">
        <v>1939</v>
      </c>
      <c r="D72" t="s">
        <v>751</v>
      </c>
      <c r="E72" t="s">
        <v>826</v>
      </c>
      <c r="F72" t="s">
        <v>894</v>
      </c>
      <c r="G72" t="s">
        <v>826</v>
      </c>
      <c r="H72" t="s">
        <v>895</v>
      </c>
      <c r="I72" t="s">
        <v>826</v>
      </c>
    </row>
    <row r="73" spans="1:13">
      <c r="A73" t="s">
        <v>2055</v>
      </c>
      <c r="D73" t="s">
        <v>751</v>
      </c>
      <c r="E73" t="s">
        <v>827</v>
      </c>
    </row>
    <row r="74" spans="1:13">
      <c r="A74" t="s">
        <v>2056</v>
      </c>
      <c r="D74" t="s">
        <v>751</v>
      </c>
      <c r="E74" t="s">
        <v>828</v>
      </c>
    </row>
    <row r="75" spans="1:13">
      <c r="A75" t="s">
        <v>1478</v>
      </c>
      <c r="D75" t="s">
        <v>751</v>
      </c>
      <c r="E75" t="s">
        <v>829</v>
      </c>
      <c r="F75" t="s">
        <v>894</v>
      </c>
      <c r="G75" t="s">
        <v>829</v>
      </c>
      <c r="H75" t="s">
        <v>895</v>
      </c>
      <c r="I75" t="s">
        <v>829</v>
      </c>
      <c r="J75" t="s">
        <v>1097</v>
      </c>
      <c r="K75" t="s">
        <v>964</v>
      </c>
      <c r="L75" t="s">
        <v>1097</v>
      </c>
      <c r="M75" t="s">
        <v>974</v>
      </c>
    </row>
    <row r="76" spans="1:13">
      <c r="A76" t="s">
        <v>1479</v>
      </c>
      <c r="D76" t="s">
        <v>751</v>
      </c>
      <c r="E76" t="s">
        <v>830</v>
      </c>
      <c r="F76" t="s">
        <v>894</v>
      </c>
      <c r="G76" t="s">
        <v>830</v>
      </c>
      <c r="H76" t="s">
        <v>895</v>
      </c>
      <c r="I76" t="s">
        <v>830</v>
      </c>
    </row>
    <row r="77" spans="1:13">
      <c r="A77" t="s">
        <v>1480</v>
      </c>
      <c r="D77" t="s">
        <v>751</v>
      </c>
      <c r="E77" t="s">
        <v>831</v>
      </c>
      <c r="F77" t="s">
        <v>894</v>
      </c>
      <c r="G77" t="s">
        <v>831</v>
      </c>
      <c r="H77" t="s">
        <v>895</v>
      </c>
      <c r="I77" t="s">
        <v>831</v>
      </c>
    </row>
    <row r="78" spans="1:13">
      <c r="A78" t="s">
        <v>1481</v>
      </c>
      <c r="D78" t="s">
        <v>751</v>
      </c>
      <c r="E78" t="s">
        <v>832</v>
      </c>
      <c r="F78" t="s">
        <v>894</v>
      </c>
      <c r="G78" t="s">
        <v>832</v>
      </c>
      <c r="H78" t="s">
        <v>895</v>
      </c>
      <c r="I78" t="s">
        <v>832</v>
      </c>
      <c r="J78" t="s">
        <v>896</v>
      </c>
      <c r="K78" t="s">
        <v>837</v>
      </c>
    </row>
    <row r="79" spans="1:13">
      <c r="A79" t="s">
        <v>1884</v>
      </c>
      <c r="D79" t="s">
        <v>751</v>
      </c>
      <c r="E79" t="s">
        <v>833</v>
      </c>
      <c r="F79" t="s">
        <v>894</v>
      </c>
      <c r="G79" t="s">
        <v>833</v>
      </c>
      <c r="H79" t="s">
        <v>895</v>
      </c>
      <c r="I79" t="s">
        <v>833</v>
      </c>
    </row>
    <row r="80" spans="1:13">
      <c r="A80" t="s">
        <v>1482</v>
      </c>
      <c r="D80" t="s">
        <v>751</v>
      </c>
      <c r="E80" t="s">
        <v>834</v>
      </c>
      <c r="F80" t="s">
        <v>894</v>
      </c>
      <c r="G80" t="s">
        <v>834</v>
      </c>
      <c r="H80" t="s">
        <v>895</v>
      </c>
      <c r="I80" t="s">
        <v>834</v>
      </c>
    </row>
    <row r="81" spans="1:11">
      <c r="A81" t="s">
        <v>1885</v>
      </c>
      <c r="D81" t="s">
        <v>751</v>
      </c>
      <c r="E81" t="s">
        <v>835</v>
      </c>
      <c r="F81" t="s">
        <v>894</v>
      </c>
      <c r="G81" t="s">
        <v>835</v>
      </c>
      <c r="H81" t="s">
        <v>895</v>
      </c>
      <c r="I81" t="s">
        <v>835</v>
      </c>
    </row>
    <row r="82" spans="1:11">
      <c r="A82" t="s">
        <v>1484</v>
      </c>
      <c r="D82" t="s">
        <v>751</v>
      </c>
      <c r="E82" t="s">
        <v>836</v>
      </c>
      <c r="F82" t="s">
        <v>894</v>
      </c>
      <c r="G82" t="s">
        <v>836</v>
      </c>
      <c r="H82" t="s">
        <v>895</v>
      </c>
      <c r="I82" t="s">
        <v>836</v>
      </c>
      <c r="J82" t="s">
        <v>896</v>
      </c>
      <c r="K82" t="s">
        <v>844</v>
      </c>
    </row>
    <row r="83" spans="1:11">
      <c r="A83" t="s">
        <v>1485</v>
      </c>
      <c r="D83" t="s">
        <v>751</v>
      </c>
      <c r="E83" t="s">
        <v>837</v>
      </c>
      <c r="F83" t="s">
        <v>894</v>
      </c>
      <c r="G83" t="s">
        <v>837</v>
      </c>
      <c r="H83" t="s">
        <v>895</v>
      </c>
      <c r="I83" t="s">
        <v>837</v>
      </c>
      <c r="J83" t="s">
        <v>896</v>
      </c>
      <c r="K83" t="s">
        <v>846</v>
      </c>
    </row>
    <row r="84" spans="1:11">
      <c r="A84" t="s">
        <v>1895</v>
      </c>
      <c r="D84" t="s">
        <v>751</v>
      </c>
      <c r="E84" t="s">
        <v>838</v>
      </c>
      <c r="F84" t="s">
        <v>894</v>
      </c>
      <c r="G84" t="s">
        <v>838</v>
      </c>
      <c r="H84" t="s">
        <v>895</v>
      </c>
      <c r="I84" t="s">
        <v>838</v>
      </c>
    </row>
    <row r="85" spans="1:11">
      <c r="A85" t="s">
        <v>1893</v>
      </c>
      <c r="D85" t="s">
        <v>751</v>
      </c>
      <c r="E85" t="s">
        <v>839</v>
      </c>
      <c r="F85" t="s">
        <v>894</v>
      </c>
      <c r="G85" t="s">
        <v>839</v>
      </c>
      <c r="H85" t="s">
        <v>895</v>
      </c>
      <c r="I85" t="s">
        <v>839</v>
      </c>
    </row>
    <row r="86" spans="1:11">
      <c r="A86" t="s">
        <v>1487</v>
      </c>
      <c r="D86" t="s">
        <v>751</v>
      </c>
      <c r="E86" t="s">
        <v>840</v>
      </c>
      <c r="F86" t="s">
        <v>894</v>
      </c>
      <c r="G86" t="s">
        <v>840</v>
      </c>
      <c r="H86" t="s">
        <v>895</v>
      </c>
      <c r="I86" t="s">
        <v>840</v>
      </c>
    </row>
    <row r="87" spans="1:11">
      <c r="A87" t="s">
        <v>2047</v>
      </c>
      <c r="D87" t="s">
        <v>751</v>
      </c>
      <c r="E87" t="s">
        <v>841</v>
      </c>
    </row>
    <row r="88" spans="1:11">
      <c r="A88" t="s">
        <v>1892</v>
      </c>
      <c r="D88" t="s">
        <v>751</v>
      </c>
      <c r="E88" t="s">
        <v>842</v>
      </c>
      <c r="F88" t="s">
        <v>894</v>
      </c>
      <c r="G88" t="s">
        <v>842</v>
      </c>
      <c r="H88" t="s">
        <v>895</v>
      </c>
      <c r="I88" t="s">
        <v>842</v>
      </c>
    </row>
    <row r="89" spans="1:11">
      <c r="A89" t="s">
        <v>1889</v>
      </c>
      <c r="D89" t="s">
        <v>751</v>
      </c>
      <c r="E89" t="s">
        <v>843</v>
      </c>
      <c r="F89" t="s">
        <v>894</v>
      </c>
      <c r="G89" t="s">
        <v>843</v>
      </c>
      <c r="H89" t="s">
        <v>895</v>
      </c>
      <c r="I89" t="s">
        <v>843</v>
      </c>
    </row>
    <row r="90" spans="1:11">
      <c r="A90" t="s">
        <v>1890</v>
      </c>
      <c r="D90" t="s">
        <v>751</v>
      </c>
      <c r="E90" t="s">
        <v>844</v>
      </c>
      <c r="F90" t="s">
        <v>894</v>
      </c>
      <c r="G90" t="s">
        <v>844</v>
      </c>
      <c r="H90" t="s">
        <v>895</v>
      </c>
      <c r="I90" t="s">
        <v>844</v>
      </c>
    </row>
    <row r="91" spans="1:11">
      <c r="A91" t="s">
        <v>2034</v>
      </c>
      <c r="D91" t="s">
        <v>751</v>
      </c>
      <c r="E91" t="s">
        <v>845</v>
      </c>
      <c r="F91" t="s">
        <v>894</v>
      </c>
      <c r="G91" t="s">
        <v>845</v>
      </c>
      <c r="H91" t="s">
        <v>895</v>
      </c>
      <c r="I91" t="s">
        <v>845</v>
      </c>
    </row>
    <row r="92" spans="1:11">
      <c r="A92" t="s">
        <v>2035</v>
      </c>
      <c r="D92" t="s">
        <v>751</v>
      </c>
      <c r="E92" t="s">
        <v>846</v>
      </c>
      <c r="F92" t="s">
        <v>894</v>
      </c>
      <c r="G92" t="s">
        <v>846</v>
      </c>
      <c r="H92" t="s">
        <v>895</v>
      </c>
      <c r="I92" t="s">
        <v>846</v>
      </c>
    </row>
    <row r="93" spans="1:11">
      <c r="A93" t="s">
        <v>2038</v>
      </c>
      <c r="D93" t="s">
        <v>751</v>
      </c>
      <c r="E93" t="s">
        <v>847</v>
      </c>
      <c r="F93" t="s">
        <v>894</v>
      </c>
      <c r="G93" t="s">
        <v>847</v>
      </c>
      <c r="H93" t="s">
        <v>895</v>
      </c>
      <c r="I93" t="s">
        <v>847</v>
      </c>
    </row>
    <row r="94" spans="1:11">
      <c r="A94" t="s">
        <v>1891</v>
      </c>
      <c r="D94" t="s">
        <v>751</v>
      </c>
      <c r="E94" t="s">
        <v>848</v>
      </c>
      <c r="F94" t="s">
        <v>894</v>
      </c>
      <c r="G94" t="s">
        <v>848</v>
      </c>
      <c r="H94" t="s">
        <v>895</v>
      </c>
      <c r="I94" t="s">
        <v>848</v>
      </c>
    </row>
    <row r="95" spans="1:11">
      <c r="A95" t="s">
        <v>1471</v>
      </c>
      <c r="D95" t="s">
        <v>751</v>
      </c>
      <c r="E95" t="s">
        <v>849</v>
      </c>
      <c r="F95" t="s">
        <v>894</v>
      </c>
      <c r="G95" t="s">
        <v>849</v>
      </c>
      <c r="H95" t="s">
        <v>895</v>
      </c>
      <c r="I95" t="s">
        <v>849</v>
      </c>
      <c r="J95" t="s">
        <v>896</v>
      </c>
      <c r="K95" t="s">
        <v>1004</v>
      </c>
    </row>
    <row r="96" spans="1:11">
      <c r="A96" t="s">
        <v>1488</v>
      </c>
      <c r="D96" t="s">
        <v>751</v>
      </c>
      <c r="E96" t="s">
        <v>850</v>
      </c>
      <c r="F96" t="s">
        <v>894</v>
      </c>
      <c r="G96" t="s">
        <v>850</v>
      </c>
      <c r="H96" t="s">
        <v>895</v>
      </c>
      <c r="I96" t="s">
        <v>850</v>
      </c>
    </row>
    <row r="97" spans="1:11">
      <c r="A97" t="s">
        <v>2039</v>
      </c>
      <c r="D97" t="s">
        <v>751</v>
      </c>
      <c r="E97" t="s">
        <v>851</v>
      </c>
      <c r="F97" t="s">
        <v>894</v>
      </c>
      <c r="G97" t="s">
        <v>851</v>
      </c>
      <c r="H97" t="s">
        <v>895</v>
      </c>
      <c r="I97" t="s">
        <v>851</v>
      </c>
    </row>
    <row r="98" spans="1:11">
      <c r="A98" t="s">
        <v>1836</v>
      </c>
      <c r="D98" t="s">
        <v>751</v>
      </c>
      <c r="E98" t="s">
        <v>852</v>
      </c>
      <c r="F98" t="s">
        <v>894</v>
      </c>
      <c r="G98" t="s">
        <v>852</v>
      </c>
      <c r="H98" t="s">
        <v>895</v>
      </c>
      <c r="I98" t="s">
        <v>852</v>
      </c>
    </row>
    <row r="99" spans="1:11">
      <c r="A99" t="s">
        <v>1897</v>
      </c>
      <c r="D99" t="s">
        <v>751</v>
      </c>
      <c r="E99" t="s">
        <v>853</v>
      </c>
      <c r="F99" t="s">
        <v>894</v>
      </c>
      <c r="G99" t="s">
        <v>853</v>
      </c>
      <c r="H99" t="s">
        <v>895</v>
      </c>
      <c r="I99" t="s">
        <v>853</v>
      </c>
    </row>
    <row r="100" spans="1:11">
      <c r="A100" t="s">
        <v>1898</v>
      </c>
      <c r="D100" t="s">
        <v>751</v>
      </c>
      <c r="E100" t="s">
        <v>854</v>
      </c>
      <c r="F100" t="s">
        <v>894</v>
      </c>
      <c r="G100" t="s">
        <v>854</v>
      </c>
      <c r="H100" t="s">
        <v>895</v>
      </c>
      <c r="I100" t="s">
        <v>854</v>
      </c>
    </row>
    <row r="101" spans="1:11">
      <c r="A101" t="s">
        <v>1899</v>
      </c>
      <c r="D101" t="s">
        <v>751</v>
      </c>
      <c r="E101" t="s">
        <v>855</v>
      </c>
      <c r="F101" t="s">
        <v>894</v>
      </c>
      <c r="G101" t="s">
        <v>855</v>
      </c>
      <c r="H101" t="s">
        <v>895</v>
      </c>
      <c r="I101" t="s">
        <v>855</v>
      </c>
    </row>
    <row r="102" spans="1:11">
      <c r="A102" t="s">
        <v>1489</v>
      </c>
      <c r="D102" t="s">
        <v>751</v>
      </c>
      <c r="E102" t="s">
        <v>856</v>
      </c>
      <c r="F102" t="s">
        <v>894</v>
      </c>
      <c r="G102" t="s">
        <v>856</v>
      </c>
      <c r="H102" t="s">
        <v>895</v>
      </c>
      <c r="I102" t="s">
        <v>856</v>
      </c>
    </row>
    <row r="103" spans="1:11">
      <c r="A103" t="s">
        <v>1900</v>
      </c>
      <c r="D103" t="s">
        <v>751</v>
      </c>
      <c r="E103" t="s">
        <v>857</v>
      </c>
      <c r="F103" t="s">
        <v>894</v>
      </c>
      <c r="G103" t="s">
        <v>857</v>
      </c>
      <c r="H103" t="s">
        <v>895</v>
      </c>
      <c r="I103" t="s">
        <v>857</v>
      </c>
    </row>
    <row r="104" spans="1:11">
      <c r="A104" t="s">
        <v>1901</v>
      </c>
      <c r="D104" t="s">
        <v>751</v>
      </c>
      <c r="E104" t="s">
        <v>858</v>
      </c>
      <c r="F104" t="s">
        <v>894</v>
      </c>
      <c r="G104" t="s">
        <v>858</v>
      </c>
      <c r="H104" t="s">
        <v>895</v>
      </c>
      <c r="I104" t="s">
        <v>858</v>
      </c>
    </row>
    <row r="105" spans="1:11">
      <c r="A105" t="s">
        <v>1902</v>
      </c>
      <c r="D105" t="s">
        <v>751</v>
      </c>
      <c r="E105" t="s">
        <v>859</v>
      </c>
      <c r="F105" t="s">
        <v>894</v>
      </c>
      <c r="G105" t="s">
        <v>859</v>
      </c>
      <c r="H105" t="s">
        <v>895</v>
      </c>
      <c r="I105" t="s">
        <v>859</v>
      </c>
    </row>
    <row r="106" spans="1:11">
      <c r="A106" t="s">
        <v>1903</v>
      </c>
      <c r="D106" t="s">
        <v>751</v>
      </c>
      <c r="E106" t="s">
        <v>860</v>
      </c>
      <c r="F106" t="s">
        <v>894</v>
      </c>
      <c r="G106" t="s">
        <v>860</v>
      </c>
      <c r="H106" t="s">
        <v>895</v>
      </c>
      <c r="I106" t="s">
        <v>860</v>
      </c>
    </row>
    <row r="107" spans="1:11">
      <c r="A107" t="s">
        <v>1904</v>
      </c>
      <c r="D107" t="s">
        <v>751</v>
      </c>
      <c r="E107" t="s">
        <v>861</v>
      </c>
      <c r="F107" t="s">
        <v>894</v>
      </c>
      <c r="G107" t="s">
        <v>861</v>
      </c>
      <c r="H107" t="s">
        <v>895</v>
      </c>
      <c r="I107" t="s">
        <v>861</v>
      </c>
    </row>
    <row r="108" spans="1:11">
      <c r="A108" t="s">
        <v>1915</v>
      </c>
      <c r="D108" t="s">
        <v>751</v>
      </c>
      <c r="E108" t="s">
        <v>862</v>
      </c>
      <c r="F108" t="s">
        <v>894</v>
      </c>
      <c r="G108" t="s">
        <v>862</v>
      </c>
      <c r="H108" t="s">
        <v>895</v>
      </c>
      <c r="I108" t="s">
        <v>862</v>
      </c>
    </row>
    <row r="109" spans="1:11">
      <c r="A109" t="s">
        <v>1908</v>
      </c>
      <c r="D109" t="s">
        <v>751</v>
      </c>
      <c r="E109" t="s">
        <v>863</v>
      </c>
      <c r="F109" t="s">
        <v>894</v>
      </c>
      <c r="G109" t="s">
        <v>863</v>
      </c>
      <c r="H109" t="s">
        <v>895</v>
      </c>
      <c r="I109" t="s">
        <v>863</v>
      </c>
    </row>
    <row r="110" spans="1:11">
      <c r="A110" t="s">
        <v>1909</v>
      </c>
      <c r="D110" t="s">
        <v>751</v>
      </c>
      <c r="E110" t="s">
        <v>864</v>
      </c>
      <c r="F110" t="s">
        <v>894</v>
      </c>
      <c r="G110" t="s">
        <v>864</v>
      </c>
      <c r="H110" t="s">
        <v>895</v>
      </c>
      <c r="I110" t="s">
        <v>864</v>
      </c>
    </row>
    <row r="111" spans="1:11">
      <c r="A111" t="s">
        <v>1910</v>
      </c>
      <c r="D111" t="s">
        <v>751</v>
      </c>
      <c r="E111" t="s">
        <v>865</v>
      </c>
      <c r="F111" t="s">
        <v>894</v>
      </c>
      <c r="G111" t="s">
        <v>865</v>
      </c>
      <c r="H111" t="s">
        <v>895</v>
      </c>
      <c r="I111" t="s">
        <v>865</v>
      </c>
    </row>
    <row r="112" spans="1:11">
      <c r="A112" t="s">
        <v>1847</v>
      </c>
      <c r="D112" t="s">
        <v>751</v>
      </c>
      <c r="E112" t="s">
        <v>866</v>
      </c>
      <c r="F112" t="s">
        <v>894</v>
      </c>
      <c r="G112" t="s">
        <v>866</v>
      </c>
      <c r="H112" t="s">
        <v>895</v>
      </c>
      <c r="I112" t="s">
        <v>866</v>
      </c>
      <c r="J112" s="547">
        <v>37623</v>
      </c>
      <c r="K112" t="s">
        <v>796</v>
      </c>
    </row>
    <row r="113" spans="1:13">
      <c r="A113" t="s">
        <v>2050</v>
      </c>
      <c r="D113" t="s">
        <v>751</v>
      </c>
      <c r="E113" t="s">
        <v>867</v>
      </c>
    </row>
    <row r="114" spans="1:13">
      <c r="A114" t="s">
        <v>1490</v>
      </c>
      <c r="D114" t="s">
        <v>751</v>
      </c>
      <c r="E114" t="s">
        <v>868</v>
      </c>
      <c r="F114" t="s">
        <v>894</v>
      </c>
      <c r="G114" t="s">
        <v>868</v>
      </c>
      <c r="H114" t="s">
        <v>895</v>
      </c>
      <c r="I114" t="s">
        <v>868</v>
      </c>
    </row>
    <row r="115" spans="1:13">
      <c r="A115" t="s">
        <v>1491</v>
      </c>
      <c r="D115" t="s">
        <v>751</v>
      </c>
      <c r="E115" t="s">
        <v>869</v>
      </c>
      <c r="F115" t="s">
        <v>894</v>
      </c>
      <c r="G115" t="s">
        <v>869</v>
      </c>
      <c r="H115" t="s">
        <v>895</v>
      </c>
      <c r="I115" t="s">
        <v>869</v>
      </c>
    </row>
    <row r="116" spans="1:13">
      <c r="A116" t="s">
        <v>1492</v>
      </c>
      <c r="D116" t="s">
        <v>751</v>
      </c>
      <c r="E116" t="s">
        <v>870</v>
      </c>
      <c r="F116" t="s">
        <v>894</v>
      </c>
      <c r="G116" t="s">
        <v>870</v>
      </c>
      <c r="H116" t="s">
        <v>895</v>
      </c>
      <c r="I116" t="s">
        <v>870</v>
      </c>
    </row>
    <row r="117" spans="1:13">
      <c r="A117" t="s">
        <v>1494</v>
      </c>
      <c r="D117" t="s">
        <v>751</v>
      </c>
      <c r="E117" t="s">
        <v>871</v>
      </c>
      <c r="F117" t="s">
        <v>894</v>
      </c>
      <c r="G117" t="s">
        <v>871</v>
      </c>
      <c r="H117" t="s">
        <v>895</v>
      </c>
      <c r="I117" t="s">
        <v>871</v>
      </c>
    </row>
    <row r="118" spans="1:13">
      <c r="A118" t="s">
        <v>1495</v>
      </c>
      <c r="D118" t="s">
        <v>751</v>
      </c>
      <c r="E118" t="s">
        <v>872</v>
      </c>
      <c r="F118" t="s">
        <v>894</v>
      </c>
      <c r="G118" t="s">
        <v>872</v>
      </c>
      <c r="H118" t="s">
        <v>895</v>
      </c>
      <c r="I118" t="s">
        <v>872</v>
      </c>
    </row>
    <row r="119" spans="1:13">
      <c r="A119" t="s">
        <v>1496</v>
      </c>
      <c r="D119" t="s">
        <v>751</v>
      </c>
      <c r="E119" t="s">
        <v>873</v>
      </c>
      <c r="F119" t="s">
        <v>894</v>
      </c>
      <c r="G119" t="s">
        <v>873</v>
      </c>
      <c r="H119" t="s">
        <v>895</v>
      </c>
      <c r="I119" t="s">
        <v>873</v>
      </c>
    </row>
    <row r="120" spans="1:13">
      <c r="A120" t="s">
        <v>1433</v>
      </c>
      <c r="D120" t="s">
        <v>751</v>
      </c>
      <c r="E120" t="s">
        <v>874</v>
      </c>
      <c r="F120" t="s">
        <v>894</v>
      </c>
      <c r="G120" t="s">
        <v>874</v>
      </c>
      <c r="H120" t="s">
        <v>895</v>
      </c>
      <c r="I120" t="s">
        <v>874</v>
      </c>
    </row>
    <row r="121" spans="1:13">
      <c r="A121" t="s">
        <v>1911</v>
      </c>
      <c r="D121" t="s">
        <v>751</v>
      </c>
      <c r="E121" t="s">
        <v>875</v>
      </c>
      <c r="F121" t="s">
        <v>894</v>
      </c>
      <c r="G121" t="s">
        <v>875</v>
      </c>
      <c r="H121" t="s">
        <v>895</v>
      </c>
      <c r="I121" t="s">
        <v>875</v>
      </c>
    </row>
    <row r="122" spans="1:13">
      <c r="A122" t="s">
        <v>1923</v>
      </c>
      <c r="D122" t="s">
        <v>751</v>
      </c>
      <c r="E122" t="s">
        <v>876</v>
      </c>
      <c r="F122" t="s">
        <v>894</v>
      </c>
      <c r="G122" t="s">
        <v>876</v>
      </c>
      <c r="H122" t="s">
        <v>894</v>
      </c>
      <c r="I122" t="s">
        <v>877</v>
      </c>
      <c r="J122" t="s">
        <v>895</v>
      </c>
      <c r="K122" t="s">
        <v>876</v>
      </c>
      <c r="L122" t="s">
        <v>895</v>
      </c>
      <c r="M122" t="s">
        <v>877</v>
      </c>
    </row>
    <row r="123" spans="1:13">
      <c r="A123" t="s">
        <v>1421</v>
      </c>
      <c r="D123" t="s">
        <v>751</v>
      </c>
      <c r="E123" t="s">
        <v>877</v>
      </c>
    </row>
    <row r="124" spans="1:13">
      <c r="A124" t="s">
        <v>1925</v>
      </c>
      <c r="D124" t="s">
        <v>751</v>
      </c>
      <c r="E124" t="s">
        <v>878</v>
      </c>
      <c r="F124" t="s">
        <v>894</v>
      </c>
      <c r="G124" t="s">
        <v>878</v>
      </c>
      <c r="H124" t="s">
        <v>895</v>
      </c>
      <c r="I124" t="s">
        <v>878</v>
      </c>
    </row>
    <row r="125" spans="1:13">
      <c r="A125" t="s">
        <v>1863</v>
      </c>
      <c r="D125" t="s">
        <v>751</v>
      </c>
      <c r="E125" t="s">
        <v>879</v>
      </c>
      <c r="F125" t="s">
        <v>894</v>
      </c>
      <c r="G125" t="s">
        <v>879</v>
      </c>
      <c r="H125" t="s">
        <v>895</v>
      </c>
      <c r="I125" t="s">
        <v>879</v>
      </c>
    </row>
    <row r="126" spans="1:13">
      <c r="A126" t="s">
        <v>1837</v>
      </c>
      <c r="D126" t="s">
        <v>751</v>
      </c>
      <c r="E126" t="s">
        <v>880</v>
      </c>
      <c r="F126" t="s">
        <v>894</v>
      </c>
      <c r="G126" t="s">
        <v>880</v>
      </c>
      <c r="H126" t="s">
        <v>895</v>
      </c>
      <c r="I126" t="s">
        <v>880</v>
      </c>
    </row>
    <row r="127" spans="1:13">
      <c r="A127" t="s">
        <v>1912</v>
      </c>
      <c r="D127" t="s">
        <v>751</v>
      </c>
      <c r="E127" t="s">
        <v>881</v>
      </c>
      <c r="F127" t="s">
        <v>894</v>
      </c>
      <c r="G127" t="s">
        <v>881</v>
      </c>
      <c r="H127" t="s">
        <v>895</v>
      </c>
      <c r="I127" t="s">
        <v>881</v>
      </c>
    </row>
    <row r="128" spans="1:13">
      <c r="A128" t="s">
        <v>1926</v>
      </c>
      <c r="D128" t="s">
        <v>751</v>
      </c>
      <c r="E128" t="s">
        <v>882</v>
      </c>
      <c r="F128" t="s">
        <v>894</v>
      </c>
      <c r="G128" t="s">
        <v>882</v>
      </c>
      <c r="H128" t="s">
        <v>895</v>
      </c>
      <c r="I128" t="s">
        <v>882</v>
      </c>
    </row>
    <row r="129" spans="1:9">
      <c r="A129" t="s">
        <v>2054</v>
      </c>
      <c r="D129" t="s">
        <v>751</v>
      </c>
      <c r="E129" t="s">
        <v>883</v>
      </c>
    </row>
    <row r="130" spans="1:9">
      <c r="A130" t="s">
        <v>1864</v>
      </c>
      <c r="D130" t="s">
        <v>751</v>
      </c>
      <c r="E130" t="s">
        <v>12</v>
      </c>
      <c r="F130" t="s">
        <v>894</v>
      </c>
      <c r="G130" t="s">
        <v>12</v>
      </c>
      <c r="H130" t="s">
        <v>895</v>
      </c>
      <c r="I130" t="s">
        <v>12</v>
      </c>
    </row>
    <row r="131" spans="1:9">
      <c r="A131" s="548">
        <v>36903</v>
      </c>
      <c r="D131" t="s">
        <v>751</v>
      </c>
      <c r="E131" t="s">
        <v>884</v>
      </c>
      <c r="F131" t="s">
        <v>894</v>
      </c>
      <c r="G131" t="s">
        <v>884</v>
      </c>
    </row>
    <row r="132" spans="1:9">
      <c r="A132" t="s">
        <v>2031</v>
      </c>
      <c r="D132" t="s">
        <v>751</v>
      </c>
      <c r="E132" t="s">
        <v>885</v>
      </c>
    </row>
    <row r="133" spans="1:9">
      <c r="A133" t="s">
        <v>2044</v>
      </c>
      <c r="D133" t="s">
        <v>751</v>
      </c>
      <c r="E133" t="s">
        <v>887</v>
      </c>
    </row>
    <row r="134" spans="1:9">
      <c r="A134" t="s">
        <v>2041</v>
      </c>
      <c r="D134" t="s">
        <v>751</v>
      </c>
      <c r="E134" t="s">
        <v>888</v>
      </c>
    </row>
    <row r="135" spans="1:9">
      <c r="A135" t="s">
        <v>2032</v>
      </c>
      <c r="D135" t="s">
        <v>751</v>
      </c>
      <c r="E135" t="s">
        <v>889</v>
      </c>
    </row>
    <row r="136" spans="1:9">
      <c r="A136" t="s">
        <v>2036</v>
      </c>
      <c r="D136" t="s">
        <v>751</v>
      </c>
      <c r="E136" t="s">
        <v>890</v>
      </c>
    </row>
    <row r="137" spans="1:9">
      <c r="A137" t="s">
        <v>2048</v>
      </c>
      <c r="D137" t="s">
        <v>751</v>
      </c>
      <c r="E137" t="s">
        <v>891</v>
      </c>
    </row>
    <row r="138" spans="1:9">
      <c r="A138" t="s">
        <v>2049</v>
      </c>
      <c r="D138" t="s">
        <v>751</v>
      </c>
      <c r="E138" t="s">
        <v>892</v>
      </c>
    </row>
    <row r="139" spans="1:9">
      <c r="A139" t="s">
        <v>2057</v>
      </c>
      <c r="D139" t="s">
        <v>751</v>
      </c>
      <c r="E139" t="s">
        <v>893</v>
      </c>
    </row>
    <row r="140" spans="1:9">
      <c r="A140" t="s">
        <v>2043</v>
      </c>
      <c r="D140" t="s">
        <v>894</v>
      </c>
      <c r="E140" t="s">
        <v>756</v>
      </c>
      <c r="F140" t="s">
        <v>895</v>
      </c>
      <c r="G140" t="s">
        <v>756</v>
      </c>
    </row>
    <row r="141" spans="1:9">
      <c r="A141" t="s">
        <v>2053</v>
      </c>
      <c r="D141" t="s">
        <v>894</v>
      </c>
      <c r="E141" t="s">
        <v>761</v>
      </c>
      <c r="F141" t="s">
        <v>895</v>
      </c>
      <c r="G141" t="s">
        <v>761</v>
      </c>
    </row>
    <row r="142" spans="1:9">
      <c r="A142" t="s">
        <v>2037</v>
      </c>
      <c r="D142" t="s">
        <v>894</v>
      </c>
      <c r="E142" t="s">
        <v>823</v>
      </c>
      <c r="F142" t="s">
        <v>895</v>
      </c>
      <c r="G142" t="s">
        <v>823</v>
      </c>
    </row>
    <row r="143" spans="1:9">
      <c r="A143" t="s">
        <v>1476</v>
      </c>
      <c r="D143" t="s">
        <v>894</v>
      </c>
      <c r="E143" t="s">
        <v>827</v>
      </c>
      <c r="F143" t="s">
        <v>895</v>
      </c>
      <c r="G143" t="s">
        <v>827</v>
      </c>
    </row>
    <row r="144" spans="1:9">
      <c r="A144" t="s">
        <v>1477</v>
      </c>
      <c r="D144" t="s">
        <v>894</v>
      </c>
      <c r="E144" t="s">
        <v>828</v>
      </c>
      <c r="F144" t="s">
        <v>895</v>
      </c>
      <c r="G144" t="s">
        <v>828</v>
      </c>
      <c r="H144" t="s">
        <v>896</v>
      </c>
      <c r="I144" t="s">
        <v>835</v>
      </c>
    </row>
    <row r="145" spans="1:59">
      <c r="A145" t="s">
        <v>1896</v>
      </c>
      <c r="D145" t="s">
        <v>894</v>
      </c>
      <c r="E145" t="s">
        <v>841</v>
      </c>
      <c r="F145" t="s">
        <v>895</v>
      </c>
      <c r="G145" t="s">
        <v>841</v>
      </c>
    </row>
    <row r="146" spans="1:59">
      <c r="A146" t="s">
        <v>1839</v>
      </c>
      <c r="D146" t="s">
        <v>894</v>
      </c>
      <c r="E146" t="s">
        <v>867</v>
      </c>
      <c r="F146" t="s">
        <v>895</v>
      </c>
      <c r="G146" t="s">
        <v>867</v>
      </c>
      <c r="H146" t="s">
        <v>896</v>
      </c>
      <c r="I146" t="s">
        <v>1007</v>
      </c>
    </row>
    <row r="147" spans="1:59">
      <c r="A147" t="s">
        <v>2042</v>
      </c>
      <c r="D147" t="s">
        <v>894</v>
      </c>
      <c r="E147" t="s">
        <v>883</v>
      </c>
    </row>
    <row r="148" spans="1:59">
      <c r="A148" t="s">
        <v>1420</v>
      </c>
      <c r="D148" t="s">
        <v>895</v>
      </c>
      <c r="E148" t="s">
        <v>883</v>
      </c>
    </row>
    <row r="149" spans="1:59">
      <c r="A149" s="548">
        <v>36909</v>
      </c>
      <c r="D149" t="s">
        <v>895</v>
      </c>
      <c r="E149" t="s">
        <v>884</v>
      </c>
    </row>
    <row r="150" spans="1:59">
      <c r="A150" t="s">
        <v>2430</v>
      </c>
      <c r="D150" t="s">
        <v>2438</v>
      </c>
      <c r="E150" t="s">
        <v>752</v>
      </c>
    </row>
    <row r="151" spans="1:59">
      <c r="A151" t="s">
        <v>1729</v>
      </c>
      <c r="D151" t="s">
        <v>2438</v>
      </c>
      <c r="E151" t="s">
        <v>1098</v>
      </c>
      <c r="F151" t="s">
        <v>2438</v>
      </c>
      <c r="G151" t="s">
        <v>1076</v>
      </c>
      <c r="H151" t="s">
        <v>2445</v>
      </c>
      <c r="I151" t="s">
        <v>1091</v>
      </c>
      <c r="J151" t="s">
        <v>2445</v>
      </c>
      <c r="K151" t="s">
        <v>1038</v>
      </c>
      <c r="L151" t="s">
        <v>2452</v>
      </c>
      <c r="M151" t="s">
        <v>1091</v>
      </c>
      <c r="N151" t="s">
        <v>2455</v>
      </c>
      <c r="O151" t="s">
        <v>1091</v>
      </c>
      <c r="P151" t="s">
        <v>2455</v>
      </c>
      <c r="Q151" t="s">
        <v>1038</v>
      </c>
      <c r="R151" t="s">
        <v>2456</v>
      </c>
      <c r="S151" t="s">
        <v>777</v>
      </c>
    </row>
    <row r="152" spans="1:59">
      <c r="A152" t="s">
        <v>2073</v>
      </c>
      <c r="D152" t="s">
        <v>2438</v>
      </c>
      <c r="E152" t="s">
        <v>1092</v>
      </c>
    </row>
    <row r="153" spans="1:59">
      <c r="A153" t="s">
        <v>2072</v>
      </c>
      <c r="D153" t="s">
        <v>2438</v>
      </c>
      <c r="E153" t="s">
        <v>1093</v>
      </c>
      <c r="F153" t="s">
        <v>2438</v>
      </c>
      <c r="G153" t="s">
        <v>886</v>
      </c>
    </row>
    <row r="154" spans="1:59">
      <c r="A154" t="s">
        <v>2076</v>
      </c>
      <c r="D154" t="s">
        <v>2438</v>
      </c>
      <c r="E154" t="s">
        <v>1116</v>
      </c>
    </row>
    <row r="155" spans="1:59">
      <c r="A155" t="s">
        <v>1523</v>
      </c>
      <c r="D155" t="s">
        <v>2438</v>
      </c>
      <c r="E155" t="s">
        <v>757</v>
      </c>
      <c r="F155" t="s">
        <v>2438</v>
      </c>
      <c r="G155" t="s">
        <v>1078</v>
      </c>
      <c r="H155" t="s">
        <v>2452</v>
      </c>
      <c r="I155" t="s">
        <v>756</v>
      </c>
      <c r="J155" s="548">
        <v>37623</v>
      </c>
      <c r="K155" t="s">
        <v>1029</v>
      </c>
      <c r="L155" t="s">
        <v>1097</v>
      </c>
      <c r="M155" t="s">
        <v>126</v>
      </c>
      <c r="N155" t="s">
        <v>1097</v>
      </c>
      <c r="O155" t="s">
        <v>127</v>
      </c>
      <c r="P155" t="s">
        <v>1097</v>
      </c>
      <c r="Q155" t="s">
        <v>128</v>
      </c>
      <c r="R155" t="s">
        <v>1097</v>
      </c>
      <c r="S155" t="s">
        <v>129</v>
      </c>
      <c r="T155" t="s">
        <v>1097</v>
      </c>
      <c r="U155" t="s">
        <v>130</v>
      </c>
      <c r="V155" t="s">
        <v>1097</v>
      </c>
      <c r="W155" t="s">
        <v>131</v>
      </c>
      <c r="X155" t="s">
        <v>1097</v>
      </c>
      <c r="Y155" t="s">
        <v>132</v>
      </c>
      <c r="Z155" t="s">
        <v>1097</v>
      </c>
      <c r="AA155" t="s">
        <v>133</v>
      </c>
      <c r="AB155" t="s">
        <v>1097</v>
      </c>
      <c r="AC155" t="s">
        <v>134</v>
      </c>
      <c r="AD155" t="s">
        <v>1097</v>
      </c>
      <c r="AE155" t="s">
        <v>135</v>
      </c>
      <c r="AF155" t="s">
        <v>1097</v>
      </c>
      <c r="AG155" t="s">
        <v>136</v>
      </c>
      <c r="AH155" t="s">
        <v>1097</v>
      </c>
      <c r="AI155" t="s">
        <v>137</v>
      </c>
      <c r="AJ155" t="s">
        <v>1097</v>
      </c>
      <c r="AK155" t="s">
        <v>138</v>
      </c>
      <c r="AL155" t="s">
        <v>1097</v>
      </c>
      <c r="AM155" t="s">
        <v>139</v>
      </c>
      <c r="AN155" t="s">
        <v>1097</v>
      </c>
      <c r="AO155" t="s">
        <v>140</v>
      </c>
      <c r="AP155" t="s">
        <v>1097</v>
      </c>
      <c r="AQ155" t="s">
        <v>141</v>
      </c>
      <c r="AR155" t="s">
        <v>1097</v>
      </c>
      <c r="AS155" t="s">
        <v>142</v>
      </c>
      <c r="AT155" t="s">
        <v>1097</v>
      </c>
      <c r="AU155" t="s">
        <v>143</v>
      </c>
      <c r="AV155" t="s">
        <v>1097</v>
      </c>
      <c r="AW155" t="s">
        <v>144</v>
      </c>
      <c r="AX155" t="s">
        <v>1097</v>
      </c>
      <c r="AY155" t="s">
        <v>145</v>
      </c>
      <c r="AZ155" t="s">
        <v>1097</v>
      </c>
      <c r="BA155" t="s">
        <v>146</v>
      </c>
      <c r="BB155" t="s">
        <v>1097</v>
      </c>
      <c r="BC155" t="s">
        <v>147</v>
      </c>
      <c r="BD155" t="s">
        <v>1097</v>
      </c>
      <c r="BE155" t="s">
        <v>148</v>
      </c>
      <c r="BF155" t="s">
        <v>1097</v>
      </c>
      <c r="BG155" t="s">
        <v>149</v>
      </c>
    </row>
    <row r="156" spans="1:59">
      <c r="A156" t="s">
        <v>2068</v>
      </c>
      <c r="D156" t="s">
        <v>2438</v>
      </c>
      <c r="E156" t="s">
        <v>897</v>
      </c>
      <c r="F156" t="s">
        <v>2438</v>
      </c>
      <c r="G156" t="s">
        <v>2441</v>
      </c>
    </row>
    <row r="157" spans="1:59">
      <c r="A157" t="s">
        <v>2081</v>
      </c>
      <c r="D157" t="s">
        <v>2438</v>
      </c>
      <c r="E157" t="s">
        <v>1071</v>
      </c>
      <c r="F157" s="548" t="s">
        <v>2438</v>
      </c>
      <c r="G157" t="s">
        <v>1052</v>
      </c>
      <c r="H157" t="s">
        <v>2445</v>
      </c>
      <c r="I157" t="s">
        <v>891</v>
      </c>
    </row>
    <row r="158" spans="1:59">
      <c r="A158" t="s">
        <v>2069</v>
      </c>
      <c r="D158" t="s">
        <v>2438</v>
      </c>
      <c r="E158" t="s">
        <v>1024</v>
      </c>
      <c r="F158" t="s">
        <v>2438</v>
      </c>
      <c r="G158" t="s">
        <v>2442</v>
      </c>
    </row>
    <row r="159" spans="1:59">
      <c r="A159" t="s">
        <v>2428</v>
      </c>
      <c r="D159" t="s">
        <v>2438</v>
      </c>
      <c r="E159" t="s">
        <v>1073</v>
      </c>
      <c r="F159" s="548" t="s">
        <v>2438</v>
      </c>
      <c r="G159" t="s">
        <v>1055</v>
      </c>
    </row>
    <row r="160" spans="1:59">
      <c r="A160" t="s">
        <v>2070</v>
      </c>
      <c r="D160" t="s">
        <v>2438</v>
      </c>
      <c r="E160" t="s">
        <v>2439</v>
      </c>
      <c r="F160" t="s">
        <v>2438</v>
      </c>
      <c r="G160" t="s">
        <v>2443</v>
      </c>
    </row>
    <row r="161" spans="1:11">
      <c r="A161" t="s">
        <v>2429</v>
      </c>
      <c r="D161" t="s">
        <v>2438</v>
      </c>
      <c r="E161" t="s">
        <v>882</v>
      </c>
      <c r="F161" t="s">
        <v>2438</v>
      </c>
      <c r="G161" t="s">
        <v>1080</v>
      </c>
    </row>
    <row r="162" spans="1:11">
      <c r="A162" t="s">
        <v>2071</v>
      </c>
      <c r="D162" t="s">
        <v>2438</v>
      </c>
      <c r="E162" t="s">
        <v>1176</v>
      </c>
      <c r="F162" t="s">
        <v>2438</v>
      </c>
      <c r="G162" t="s">
        <v>2444</v>
      </c>
    </row>
    <row r="163" spans="1:11">
      <c r="A163" t="s">
        <v>2431</v>
      </c>
      <c r="D163" t="s">
        <v>2438</v>
      </c>
      <c r="E163" t="s">
        <v>885</v>
      </c>
    </row>
    <row r="164" spans="1:11">
      <c r="A164" t="s">
        <v>2075</v>
      </c>
      <c r="D164" t="s">
        <v>2438</v>
      </c>
      <c r="E164" t="s">
        <v>1077</v>
      </c>
    </row>
    <row r="165" spans="1:11">
      <c r="A165" t="s">
        <v>2074</v>
      </c>
      <c r="D165" t="s">
        <v>2438</v>
      </c>
      <c r="E165" t="s">
        <v>2440</v>
      </c>
    </row>
    <row r="166" spans="1:11">
      <c r="A166" t="s">
        <v>2392</v>
      </c>
      <c r="D166" t="s">
        <v>2445</v>
      </c>
      <c r="E166" t="s">
        <v>1095</v>
      </c>
    </row>
    <row r="167" spans="1:11">
      <c r="A167" t="s">
        <v>2383</v>
      </c>
      <c r="D167" t="s">
        <v>2445</v>
      </c>
      <c r="E167" t="s">
        <v>1070</v>
      </c>
      <c r="F167" t="s">
        <v>2455</v>
      </c>
      <c r="G167" t="s">
        <v>1070</v>
      </c>
    </row>
    <row r="168" spans="1:11">
      <c r="A168" t="s">
        <v>2066</v>
      </c>
      <c r="D168" t="s">
        <v>2445</v>
      </c>
      <c r="E168" t="s">
        <v>758</v>
      </c>
      <c r="F168" t="s">
        <v>2452</v>
      </c>
      <c r="G168" t="s">
        <v>758</v>
      </c>
      <c r="H168" t="s">
        <v>2452</v>
      </c>
      <c r="I168" t="s">
        <v>2439</v>
      </c>
      <c r="J168" t="s">
        <v>2455</v>
      </c>
      <c r="K168" t="s">
        <v>758</v>
      </c>
    </row>
    <row r="169" spans="1:11">
      <c r="A169" t="s">
        <v>2067</v>
      </c>
      <c r="D169" t="s">
        <v>2445</v>
      </c>
      <c r="E169" t="s">
        <v>1023</v>
      </c>
      <c r="F169" t="s">
        <v>2452</v>
      </c>
      <c r="G169" t="s">
        <v>1023</v>
      </c>
      <c r="H169" t="s">
        <v>2452</v>
      </c>
      <c r="I169" t="s">
        <v>1176</v>
      </c>
      <c r="J169" t="s">
        <v>2455</v>
      </c>
      <c r="K169" t="s">
        <v>1023</v>
      </c>
    </row>
    <row r="170" spans="1:11">
      <c r="A170" t="s">
        <v>2435</v>
      </c>
      <c r="D170" t="s">
        <v>2445</v>
      </c>
      <c r="E170" t="s">
        <v>1027</v>
      </c>
    </row>
    <row r="171" spans="1:11">
      <c r="A171" t="s">
        <v>2084</v>
      </c>
      <c r="D171" t="s">
        <v>2445</v>
      </c>
      <c r="E171" t="s">
        <v>2446</v>
      </c>
      <c r="F171" t="s">
        <v>2455</v>
      </c>
      <c r="G171" t="s">
        <v>1036</v>
      </c>
    </row>
    <row r="172" spans="1:11">
      <c r="A172" t="s">
        <v>2395</v>
      </c>
      <c r="D172" t="s">
        <v>2445</v>
      </c>
      <c r="E172" t="s">
        <v>2447</v>
      </c>
    </row>
    <row r="173" spans="1:11">
      <c r="A173" t="s">
        <v>2396</v>
      </c>
      <c r="D173" t="s">
        <v>2445</v>
      </c>
      <c r="E173" t="s">
        <v>2448</v>
      </c>
    </row>
    <row r="174" spans="1:11">
      <c r="A174" t="s">
        <v>2393</v>
      </c>
      <c r="D174" t="s">
        <v>2445</v>
      </c>
      <c r="E174" t="s">
        <v>2449</v>
      </c>
    </row>
    <row r="175" spans="1:11">
      <c r="A175" t="s">
        <v>2397</v>
      </c>
      <c r="D175" t="s">
        <v>2445</v>
      </c>
      <c r="E175" t="s">
        <v>2450</v>
      </c>
    </row>
    <row r="176" spans="1:11">
      <c r="A176" t="s">
        <v>2385</v>
      </c>
      <c r="D176" t="s">
        <v>2445</v>
      </c>
      <c r="E176" t="s">
        <v>882</v>
      </c>
    </row>
    <row r="177" spans="1:11">
      <c r="A177" t="s">
        <v>2384</v>
      </c>
      <c r="D177" t="s">
        <v>2445</v>
      </c>
      <c r="E177" t="s">
        <v>1176</v>
      </c>
    </row>
    <row r="178" spans="1:11">
      <c r="A178" t="s">
        <v>2082</v>
      </c>
      <c r="D178" t="s">
        <v>2445</v>
      </c>
      <c r="E178" t="s">
        <v>883</v>
      </c>
      <c r="F178" t="s">
        <v>2455</v>
      </c>
      <c r="G178" t="s">
        <v>883</v>
      </c>
    </row>
    <row r="179" spans="1:11">
      <c r="A179" t="s">
        <v>2080</v>
      </c>
      <c r="D179" t="s">
        <v>2445</v>
      </c>
      <c r="E179" t="s">
        <v>12</v>
      </c>
    </row>
    <row r="180" spans="1:11">
      <c r="A180" t="s">
        <v>2103</v>
      </c>
      <c r="D180" t="s">
        <v>2445</v>
      </c>
      <c r="E180" t="s">
        <v>884</v>
      </c>
      <c r="F180" t="s">
        <v>2452</v>
      </c>
      <c r="G180" t="s">
        <v>1078</v>
      </c>
      <c r="H180" t="s">
        <v>2455</v>
      </c>
      <c r="I180" t="s">
        <v>884</v>
      </c>
      <c r="J180" t="s">
        <v>1170</v>
      </c>
      <c r="K180" t="s">
        <v>1037</v>
      </c>
    </row>
    <row r="181" spans="1:11">
      <c r="A181" t="s">
        <v>2083</v>
      </c>
      <c r="D181" t="s">
        <v>2445</v>
      </c>
      <c r="E181" t="s">
        <v>2451</v>
      </c>
      <c r="F181" t="s">
        <v>2452</v>
      </c>
      <c r="G181" t="s">
        <v>2454</v>
      </c>
      <c r="H181" t="s">
        <v>2455</v>
      </c>
      <c r="I181" t="s">
        <v>2451</v>
      </c>
    </row>
    <row r="182" spans="1:11">
      <c r="A182" t="s">
        <v>2065</v>
      </c>
      <c r="D182" t="s">
        <v>2452</v>
      </c>
      <c r="E182" t="s">
        <v>1070</v>
      </c>
    </row>
    <row r="183" spans="1:11">
      <c r="A183" t="s">
        <v>2077</v>
      </c>
      <c r="D183" t="s">
        <v>2452</v>
      </c>
      <c r="E183" t="s">
        <v>757</v>
      </c>
    </row>
    <row r="184" spans="1:11">
      <c r="A184" t="s">
        <v>2078</v>
      </c>
      <c r="D184" t="s">
        <v>2452</v>
      </c>
      <c r="E184" t="s">
        <v>879</v>
      </c>
    </row>
    <row r="185" spans="1:11">
      <c r="A185" t="s">
        <v>2079</v>
      </c>
      <c r="D185" t="s">
        <v>2452</v>
      </c>
      <c r="E185" t="s">
        <v>1074</v>
      </c>
    </row>
    <row r="186" spans="1:11">
      <c r="A186" t="s">
        <v>2389</v>
      </c>
      <c r="D186" t="s">
        <v>2452</v>
      </c>
      <c r="E186" t="s">
        <v>885</v>
      </c>
    </row>
    <row r="187" spans="1:11">
      <c r="A187" t="s">
        <v>2387</v>
      </c>
      <c r="D187" t="s">
        <v>2452</v>
      </c>
      <c r="E187" t="s">
        <v>1076</v>
      </c>
    </row>
    <row r="188" spans="1:11">
      <c r="A188" t="s">
        <v>2386</v>
      </c>
      <c r="D188" t="s">
        <v>2452</v>
      </c>
      <c r="E188" t="s">
        <v>2453</v>
      </c>
    </row>
    <row r="189" spans="1:11">
      <c r="A189" t="s">
        <v>2388</v>
      </c>
      <c r="D189" t="s">
        <v>2452</v>
      </c>
      <c r="E189" t="s">
        <v>1079</v>
      </c>
    </row>
    <row r="190" spans="1:11">
      <c r="A190" t="s">
        <v>2398</v>
      </c>
      <c r="D190" t="s">
        <v>2455</v>
      </c>
      <c r="E190" t="s">
        <v>881</v>
      </c>
    </row>
    <row r="191" spans="1:11">
      <c r="A191" t="s">
        <v>2390</v>
      </c>
      <c r="D191" t="s">
        <v>2455</v>
      </c>
      <c r="E191" t="s">
        <v>882</v>
      </c>
    </row>
    <row r="192" spans="1:11">
      <c r="A192" t="s">
        <v>2382</v>
      </c>
      <c r="D192" t="s">
        <v>2455</v>
      </c>
      <c r="E192" t="s">
        <v>1180</v>
      </c>
    </row>
    <row r="193" spans="1:5">
      <c r="A193" t="s">
        <v>2391</v>
      </c>
      <c r="D193" t="s">
        <v>2455</v>
      </c>
      <c r="E193" t="s">
        <v>53</v>
      </c>
    </row>
    <row r="194" spans="1:5">
      <c r="A194" t="s">
        <v>2399</v>
      </c>
      <c r="D194" t="s">
        <v>2456</v>
      </c>
      <c r="E194" t="s">
        <v>1091</v>
      </c>
    </row>
    <row r="195" spans="1:5">
      <c r="A195" t="s">
        <v>2401</v>
      </c>
      <c r="D195" t="s">
        <v>2456</v>
      </c>
      <c r="E195" t="s">
        <v>752</v>
      </c>
    </row>
    <row r="196" spans="1:5">
      <c r="A196" t="s">
        <v>2411</v>
      </c>
      <c r="D196" t="s">
        <v>2456</v>
      </c>
      <c r="E196" t="s">
        <v>1098</v>
      </c>
    </row>
    <row r="197" spans="1:5">
      <c r="A197" t="s">
        <v>2412</v>
      </c>
      <c r="D197" t="s">
        <v>2456</v>
      </c>
      <c r="E197" t="s">
        <v>1092</v>
      </c>
    </row>
    <row r="198" spans="1:5">
      <c r="A198" t="s">
        <v>2413</v>
      </c>
      <c r="D198" t="s">
        <v>2456</v>
      </c>
      <c r="E198" t="s">
        <v>1093</v>
      </c>
    </row>
    <row r="199" spans="1:5">
      <c r="A199" t="s">
        <v>2414</v>
      </c>
      <c r="D199" s="548" t="s">
        <v>2456</v>
      </c>
      <c r="E199" t="s">
        <v>753</v>
      </c>
    </row>
    <row r="200" spans="1:5">
      <c r="A200" t="s">
        <v>2415</v>
      </c>
      <c r="D200" s="548" t="s">
        <v>2456</v>
      </c>
      <c r="E200" t="s">
        <v>1099</v>
      </c>
    </row>
    <row r="201" spans="1:5">
      <c r="A201" t="s">
        <v>2416</v>
      </c>
      <c r="D201" s="548" t="s">
        <v>2456</v>
      </c>
      <c r="E201" t="s">
        <v>754</v>
      </c>
    </row>
    <row r="202" spans="1:5">
      <c r="A202" t="s">
        <v>2400</v>
      </c>
      <c r="D202" s="548" t="s">
        <v>2456</v>
      </c>
      <c r="E202" t="s">
        <v>1100</v>
      </c>
    </row>
    <row r="203" spans="1:5">
      <c r="A203" t="s">
        <v>2403</v>
      </c>
      <c r="D203" s="548" t="s">
        <v>2456</v>
      </c>
      <c r="E203" t="s">
        <v>1094</v>
      </c>
    </row>
    <row r="204" spans="1:5">
      <c r="A204" t="s">
        <v>2422</v>
      </c>
      <c r="D204" s="548" t="s">
        <v>2456</v>
      </c>
      <c r="E204" t="s">
        <v>1102</v>
      </c>
    </row>
    <row r="205" spans="1:5">
      <c r="A205" t="s">
        <v>2417</v>
      </c>
      <c r="D205" s="548" t="s">
        <v>2456</v>
      </c>
      <c r="E205" t="s">
        <v>1103</v>
      </c>
    </row>
    <row r="206" spans="1:5">
      <c r="A206" t="s">
        <v>2418</v>
      </c>
      <c r="D206" s="548" t="s">
        <v>2456</v>
      </c>
      <c r="E206" t="s">
        <v>1104</v>
      </c>
    </row>
    <row r="207" spans="1:5">
      <c r="A207" t="s">
        <v>2419</v>
      </c>
      <c r="D207" s="548" t="s">
        <v>2456</v>
      </c>
      <c r="E207" t="s">
        <v>1105</v>
      </c>
    </row>
    <row r="208" spans="1:5">
      <c r="A208" t="s">
        <v>2420</v>
      </c>
      <c r="D208" s="548" t="s">
        <v>2456</v>
      </c>
      <c r="E208" t="s">
        <v>1106</v>
      </c>
    </row>
    <row r="209" spans="1:7">
      <c r="A209" t="s">
        <v>2421</v>
      </c>
      <c r="D209" s="548" t="s">
        <v>2456</v>
      </c>
      <c r="E209" t="s">
        <v>1107</v>
      </c>
    </row>
    <row r="210" spans="1:7">
      <c r="A210" t="s">
        <v>2410</v>
      </c>
      <c r="D210" s="548" t="s">
        <v>2456</v>
      </c>
      <c r="E210" t="s">
        <v>1095</v>
      </c>
    </row>
    <row r="211" spans="1:7">
      <c r="A211" t="s">
        <v>2405</v>
      </c>
      <c r="D211" s="548" t="s">
        <v>2456</v>
      </c>
      <c r="E211" t="s">
        <v>1110</v>
      </c>
    </row>
    <row r="212" spans="1:7">
      <c r="A212" t="s">
        <v>2425</v>
      </c>
      <c r="D212" s="548" t="s">
        <v>2456</v>
      </c>
      <c r="E212" t="s">
        <v>1114</v>
      </c>
      <c r="F212" s="547"/>
    </row>
    <row r="213" spans="1:7">
      <c r="A213" t="s">
        <v>2426</v>
      </c>
      <c r="D213" s="548" t="s">
        <v>2456</v>
      </c>
      <c r="E213" t="s">
        <v>1116</v>
      </c>
    </row>
    <row r="214" spans="1:7">
      <c r="A214" t="s">
        <v>2402</v>
      </c>
      <c r="D214" s="548" t="s">
        <v>2456</v>
      </c>
      <c r="E214" t="s">
        <v>756</v>
      </c>
    </row>
    <row r="215" spans="1:7">
      <c r="A215" t="s">
        <v>2404</v>
      </c>
      <c r="D215" s="548" t="s">
        <v>2456</v>
      </c>
      <c r="E215" t="s">
        <v>764</v>
      </c>
    </row>
    <row r="216" spans="1:7">
      <c r="A216" t="s">
        <v>2423</v>
      </c>
      <c r="D216" s="548" t="s">
        <v>2456</v>
      </c>
      <c r="E216" t="s">
        <v>2447</v>
      </c>
    </row>
    <row r="217" spans="1:7">
      <c r="A217" t="s">
        <v>2424</v>
      </c>
      <c r="D217" s="548" t="s">
        <v>2456</v>
      </c>
      <c r="E217" t="s">
        <v>2448</v>
      </c>
      <c r="F217" s="547"/>
    </row>
    <row r="218" spans="1:7">
      <c r="A218" t="s">
        <v>2436</v>
      </c>
      <c r="D218" s="548" t="s">
        <v>2456</v>
      </c>
      <c r="E218" t="s">
        <v>2457</v>
      </c>
      <c r="F218" s="547"/>
    </row>
    <row r="219" spans="1:7">
      <c r="A219" t="s">
        <v>2427</v>
      </c>
      <c r="D219" s="548" t="s">
        <v>896</v>
      </c>
      <c r="E219" t="s">
        <v>1070</v>
      </c>
      <c r="F219" s="547"/>
    </row>
    <row r="220" spans="1:7">
      <c r="A220" t="s">
        <v>1497</v>
      </c>
      <c r="D220" s="548" t="s">
        <v>896</v>
      </c>
      <c r="E220" t="s">
        <v>757</v>
      </c>
      <c r="F220" s="547">
        <v>37623</v>
      </c>
      <c r="G220" t="s">
        <v>761</v>
      </c>
    </row>
    <row r="221" spans="1:7">
      <c r="A221" t="s">
        <v>2052</v>
      </c>
      <c r="D221" s="548" t="s">
        <v>896</v>
      </c>
      <c r="E221" t="s">
        <v>758</v>
      </c>
    </row>
    <row r="222" spans="1:7">
      <c r="A222" t="s">
        <v>1499</v>
      </c>
      <c r="D222" s="548" t="s">
        <v>896</v>
      </c>
      <c r="E222" t="s">
        <v>897</v>
      </c>
    </row>
    <row r="223" spans="1:7">
      <c r="A223" t="s">
        <v>1500</v>
      </c>
      <c r="D223" s="548" t="s">
        <v>896</v>
      </c>
      <c r="E223" t="s">
        <v>898</v>
      </c>
    </row>
    <row r="224" spans="1:7">
      <c r="A224" t="s">
        <v>1501</v>
      </c>
      <c r="D224" s="548" t="s">
        <v>896</v>
      </c>
      <c r="E224" t="s">
        <v>759</v>
      </c>
    </row>
    <row r="225" spans="1:7">
      <c r="A225" t="s">
        <v>1849</v>
      </c>
      <c r="D225" s="548" t="s">
        <v>896</v>
      </c>
      <c r="E225" t="s">
        <v>760</v>
      </c>
      <c r="F225" s="548"/>
    </row>
    <row r="226" spans="1:7">
      <c r="A226" t="s">
        <v>1834</v>
      </c>
      <c r="D226" s="548" t="s">
        <v>896</v>
      </c>
      <c r="E226" t="s">
        <v>761</v>
      </c>
      <c r="F226" s="548"/>
    </row>
    <row r="227" spans="1:7">
      <c r="A227" t="s">
        <v>1919</v>
      </c>
      <c r="D227" s="548" t="s">
        <v>896</v>
      </c>
      <c r="E227" t="s">
        <v>781</v>
      </c>
      <c r="F227" s="548"/>
    </row>
    <row r="228" spans="1:7">
      <c r="A228" t="s">
        <v>1937</v>
      </c>
      <c r="D228" s="548" t="s">
        <v>896</v>
      </c>
      <c r="E228" t="s">
        <v>783</v>
      </c>
      <c r="F228" s="547"/>
    </row>
    <row r="229" spans="1:7">
      <c r="A229" t="s">
        <v>1917</v>
      </c>
      <c r="D229" s="548" t="s">
        <v>896</v>
      </c>
      <c r="E229" t="s">
        <v>789</v>
      </c>
    </row>
    <row r="230" spans="1:7">
      <c r="A230" t="s">
        <v>1840</v>
      </c>
      <c r="D230" s="548" t="s">
        <v>896</v>
      </c>
      <c r="E230" t="s">
        <v>800</v>
      </c>
    </row>
    <row r="231" spans="1:7">
      <c r="A231" t="s">
        <v>1841</v>
      </c>
      <c r="D231" s="548" t="s">
        <v>896</v>
      </c>
      <c r="E231" t="s">
        <v>802</v>
      </c>
    </row>
    <row r="232" spans="1:7">
      <c r="A232" t="s">
        <v>1468</v>
      </c>
      <c r="D232" s="548" t="s">
        <v>896</v>
      </c>
      <c r="E232" t="s">
        <v>804</v>
      </c>
    </row>
    <row r="233" spans="1:7">
      <c r="A233" t="s">
        <v>1938</v>
      </c>
      <c r="D233" s="548" t="s">
        <v>896</v>
      </c>
      <c r="E233" t="s">
        <v>807</v>
      </c>
      <c r="F233" t="s">
        <v>896</v>
      </c>
      <c r="G233" t="s">
        <v>811</v>
      </c>
    </row>
    <row r="234" spans="1:7">
      <c r="A234" t="s">
        <v>1475</v>
      </c>
      <c r="D234" s="548" t="s">
        <v>896</v>
      </c>
      <c r="E234" t="s">
        <v>831</v>
      </c>
    </row>
    <row r="235" spans="1:7">
      <c r="A235" t="s">
        <v>1843</v>
      </c>
      <c r="D235" s="548" t="s">
        <v>896</v>
      </c>
      <c r="E235" t="s">
        <v>832</v>
      </c>
    </row>
    <row r="236" spans="1:7">
      <c r="A236" t="s">
        <v>2059</v>
      </c>
      <c r="D236" s="548" t="s">
        <v>896</v>
      </c>
      <c r="E236" t="s">
        <v>834</v>
      </c>
      <c r="F236" s="548"/>
    </row>
    <row r="237" spans="1:7">
      <c r="A237" t="s">
        <v>1922</v>
      </c>
      <c r="D237" s="548" t="s">
        <v>896</v>
      </c>
      <c r="E237" t="s">
        <v>839</v>
      </c>
    </row>
    <row r="238" spans="1:7">
      <c r="A238" t="s">
        <v>1921</v>
      </c>
      <c r="D238" s="548" t="s">
        <v>896</v>
      </c>
      <c r="E238" t="s">
        <v>841</v>
      </c>
    </row>
    <row r="239" spans="1:7">
      <c r="A239" t="s">
        <v>1483</v>
      </c>
      <c r="D239" s="548" t="s">
        <v>896</v>
      </c>
      <c r="E239" t="s">
        <v>843</v>
      </c>
    </row>
    <row r="240" spans="1:7">
      <c r="A240" t="s">
        <v>1486</v>
      </c>
      <c r="D240" s="548" t="s">
        <v>896</v>
      </c>
      <c r="E240" t="s">
        <v>848</v>
      </c>
    </row>
    <row r="241" spans="1:61">
      <c r="A241" t="s">
        <v>1916</v>
      </c>
      <c r="D241" s="548" t="s">
        <v>896</v>
      </c>
      <c r="E241" t="s">
        <v>849</v>
      </c>
    </row>
    <row r="242" spans="1:61">
      <c r="A242" t="s">
        <v>1858</v>
      </c>
      <c r="D242" s="548" t="s">
        <v>896</v>
      </c>
      <c r="E242" t="s">
        <v>1006</v>
      </c>
    </row>
    <row r="243" spans="1:61">
      <c r="A243" t="s">
        <v>1493</v>
      </c>
      <c r="D243" s="548" t="s">
        <v>896</v>
      </c>
      <c r="E243" t="s">
        <v>1008</v>
      </c>
    </row>
    <row r="244" spans="1:61">
      <c r="A244" t="s">
        <v>1913</v>
      </c>
      <c r="D244" s="548" t="s">
        <v>896</v>
      </c>
      <c r="E244" t="s">
        <v>874</v>
      </c>
    </row>
    <row r="245" spans="1:61">
      <c r="A245" t="s">
        <v>1498</v>
      </c>
      <c r="D245" s="548" t="s">
        <v>896</v>
      </c>
      <c r="E245" t="s">
        <v>1023</v>
      </c>
      <c r="F245" t="s">
        <v>896</v>
      </c>
      <c r="G245" t="s">
        <v>1024</v>
      </c>
      <c r="H245" t="s">
        <v>896</v>
      </c>
      <c r="I245" t="s">
        <v>875</v>
      </c>
      <c r="J245" t="s">
        <v>896</v>
      </c>
      <c r="K245" t="s">
        <v>982</v>
      </c>
      <c r="L245" t="s">
        <v>896</v>
      </c>
      <c r="M245" t="s">
        <v>983</v>
      </c>
    </row>
    <row r="246" spans="1:61">
      <c r="A246" t="s">
        <v>1502</v>
      </c>
      <c r="D246" s="548" t="s">
        <v>896</v>
      </c>
      <c r="E246" t="s">
        <v>1168</v>
      </c>
      <c r="F246" t="s">
        <v>896</v>
      </c>
      <c r="G246" t="s">
        <v>920</v>
      </c>
      <c r="H246" t="s">
        <v>896</v>
      </c>
      <c r="I246" t="s">
        <v>921</v>
      </c>
      <c r="J246" t="s">
        <v>896</v>
      </c>
      <c r="K246" t="s">
        <v>1072</v>
      </c>
      <c r="L246" t="s">
        <v>896</v>
      </c>
      <c r="M246" t="s">
        <v>924</v>
      </c>
      <c r="N246" t="s">
        <v>896</v>
      </c>
      <c r="O246" t="s">
        <v>926</v>
      </c>
      <c r="P246" t="s">
        <v>896</v>
      </c>
      <c r="Q246" t="s">
        <v>928</v>
      </c>
      <c r="R246" t="s">
        <v>896</v>
      </c>
      <c r="S246" t="s">
        <v>930</v>
      </c>
      <c r="T246" t="s">
        <v>896</v>
      </c>
      <c r="U246" t="s">
        <v>932</v>
      </c>
      <c r="V246" t="s">
        <v>896</v>
      </c>
      <c r="W246" t="s">
        <v>934</v>
      </c>
      <c r="X246" t="s">
        <v>896</v>
      </c>
      <c r="Y246" t="s">
        <v>936</v>
      </c>
      <c r="Z246" t="s">
        <v>896</v>
      </c>
      <c r="AA246" t="s">
        <v>938</v>
      </c>
      <c r="AB246" t="s">
        <v>896</v>
      </c>
      <c r="AC246" t="s">
        <v>940</v>
      </c>
      <c r="AD246" t="s">
        <v>896</v>
      </c>
      <c r="AE246" t="s">
        <v>943</v>
      </c>
      <c r="AF246" t="s">
        <v>896</v>
      </c>
      <c r="AG246" t="s">
        <v>946</v>
      </c>
      <c r="AH246" t="s">
        <v>896</v>
      </c>
      <c r="AI246" t="s">
        <v>949</v>
      </c>
      <c r="AJ246" t="s">
        <v>896</v>
      </c>
      <c r="AK246" t="s">
        <v>2458</v>
      </c>
      <c r="AL246" t="s">
        <v>896</v>
      </c>
      <c r="AM246" t="s">
        <v>952</v>
      </c>
      <c r="AN246" t="s">
        <v>896</v>
      </c>
      <c r="AO246" t="s">
        <v>955</v>
      </c>
      <c r="AP246" t="s">
        <v>896</v>
      </c>
      <c r="AQ246" t="s">
        <v>957</v>
      </c>
      <c r="AR246" t="s">
        <v>896</v>
      </c>
      <c r="AS246" t="s">
        <v>959</v>
      </c>
      <c r="AT246" t="s">
        <v>896</v>
      </c>
      <c r="AU246" t="s">
        <v>961</v>
      </c>
      <c r="AV246" t="s">
        <v>896</v>
      </c>
      <c r="AW246" t="s">
        <v>1028</v>
      </c>
      <c r="AX246" t="s">
        <v>896</v>
      </c>
      <c r="AY246" t="s">
        <v>984</v>
      </c>
      <c r="AZ246" t="s">
        <v>896</v>
      </c>
      <c r="BA246" t="s">
        <v>986</v>
      </c>
      <c r="BB246" t="s">
        <v>896</v>
      </c>
      <c r="BC246" t="s">
        <v>987</v>
      </c>
      <c r="BD246" t="s">
        <v>896</v>
      </c>
      <c r="BE246" t="s">
        <v>989</v>
      </c>
      <c r="BF246" t="s">
        <v>896</v>
      </c>
      <c r="BG246" t="s">
        <v>990</v>
      </c>
      <c r="BH246" t="s">
        <v>896</v>
      </c>
      <c r="BI246" t="s">
        <v>992</v>
      </c>
    </row>
    <row r="247" spans="1:61">
      <c r="A247" t="s">
        <v>1832</v>
      </c>
      <c r="D247" s="548" t="s">
        <v>896</v>
      </c>
      <c r="E247" t="s">
        <v>1025</v>
      </c>
      <c r="F247" t="s">
        <v>896</v>
      </c>
      <c r="G247" t="s">
        <v>922</v>
      </c>
      <c r="H247" t="s">
        <v>896</v>
      </c>
      <c r="I247" t="s">
        <v>1026</v>
      </c>
      <c r="J247" t="s">
        <v>896</v>
      </c>
      <c r="K247" t="s">
        <v>877</v>
      </c>
      <c r="L247" t="s">
        <v>896</v>
      </c>
      <c r="M247" t="s">
        <v>927</v>
      </c>
      <c r="N247" t="s">
        <v>896</v>
      </c>
      <c r="O247" t="s">
        <v>929</v>
      </c>
      <c r="P247" t="s">
        <v>896</v>
      </c>
      <c r="Q247" t="s">
        <v>931</v>
      </c>
      <c r="R247" t="s">
        <v>896</v>
      </c>
      <c r="S247" t="s">
        <v>933</v>
      </c>
      <c r="T247" t="s">
        <v>896</v>
      </c>
      <c r="U247" t="s">
        <v>935</v>
      </c>
      <c r="V247" t="s">
        <v>896</v>
      </c>
      <c r="W247" t="s">
        <v>964</v>
      </c>
      <c r="X247" t="s">
        <v>896</v>
      </c>
      <c r="Y247" t="s">
        <v>965</v>
      </c>
      <c r="Z247" t="s">
        <v>896</v>
      </c>
      <c r="AA247" t="s">
        <v>966</v>
      </c>
      <c r="AB247" t="s">
        <v>896</v>
      </c>
      <c r="AC247" t="s">
        <v>967</v>
      </c>
      <c r="AD247" t="s">
        <v>896</v>
      </c>
      <c r="AE247" t="s">
        <v>968</v>
      </c>
      <c r="AF247" t="s">
        <v>896</v>
      </c>
      <c r="AG247" t="s">
        <v>969</v>
      </c>
      <c r="AH247" t="s">
        <v>896</v>
      </c>
      <c r="AI247" t="s">
        <v>970</v>
      </c>
      <c r="AJ247" t="s">
        <v>896</v>
      </c>
      <c r="AK247" t="s">
        <v>971</v>
      </c>
      <c r="AL247" t="s">
        <v>896</v>
      </c>
      <c r="AM247" t="s">
        <v>972</v>
      </c>
      <c r="AN247" t="s">
        <v>896</v>
      </c>
      <c r="AO247" t="s">
        <v>878</v>
      </c>
      <c r="AP247" t="s">
        <v>896</v>
      </c>
      <c r="AQ247" t="s">
        <v>973</v>
      </c>
      <c r="AR247" t="s">
        <v>896</v>
      </c>
      <c r="AS247" t="s">
        <v>974</v>
      </c>
      <c r="AT247" t="s">
        <v>896</v>
      </c>
      <c r="AU247" t="s">
        <v>975</v>
      </c>
      <c r="AV247" t="s">
        <v>896</v>
      </c>
      <c r="AW247" t="s">
        <v>976</v>
      </c>
      <c r="AX247" t="s">
        <v>896</v>
      </c>
      <c r="AY247" t="s">
        <v>977</v>
      </c>
      <c r="AZ247" t="s">
        <v>896</v>
      </c>
      <c r="BA247" t="s">
        <v>978</v>
      </c>
    </row>
    <row r="248" spans="1:61">
      <c r="A248" t="s">
        <v>1503</v>
      </c>
      <c r="D248" s="548" t="s">
        <v>896</v>
      </c>
      <c r="E248" t="s">
        <v>876</v>
      </c>
    </row>
    <row r="249" spans="1:61">
      <c r="A249" t="s">
        <v>1504</v>
      </c>
      <c r="D249" s="548" t="s">
        <v>896</v>
      </c>
      <c r="E249" t="s">
        <v>923</v>
      </c>
    </row>
    <row r="250" spans="1:61">
      <c r="A250" t="s">
        <v>1505</v>
      </c>
      <c r="D250" s="548" t="s">
        <v>896</v>
      </c>
      <c r="E250" t="s">
        <v>1027</v>
      </c>
    </row>
    <row r="251" spans="1:61">
      <c r="A251" t="s">
        <v>1506</v>
      </c>
      <c r="D251" s="548" t="s">
        <v>896</v>
      </c>
      <c r="E251" t="s">
        <v>925</v>
      </c>
    </row>
    <row r="252" spans="1:61">
      <c r="A252" t="s">
        <v>1833</v>
      </c>
      <c r="D252" s="548" t="s">
        <v>896</v>
      </c>
      <c r="E252" t="s">
        <v>937</v>
      </c>
      <c r="F252" t="s">
        <v>896</v>
      </c>
      <c r="G252" t="s">
        <v>939</v>
      </c>
      <c r="H252" t="s">
        <v>896</v>
      </c>
      <c r="I252" t="s">
        <v>941</v>
      </c>
      <c r="J252" t="s">
        <v>896</v>
      </c>
      <c r="K252" t="s">
        <v>944</v>
      </c>
      <c r="L252" t="s">
        <v>896</v>
      </c>
      <c r="M252" t="s">
        <v>947</v>
      </c>
      <c r="N252" t="s">
        <v>896</v>
      </c>
      <c r="O252" t="s">
        <v>950</v>
      </c>
      <c r="P252" t="s">
        <v>896</v>
      </c>
      <c r="Q252" t="s">
        <v>951</v>
      </c>
      <c r="R252" t="s">
        <v>896</v>
      </c>
      <c r="S252" t="s">
        <v>953</v>
      </c>
      <c r="T252" t="s">
        <v>896</v>
      </c>
      <c r="U252" t="s">
        <v>956</v>
      </c>
      <c r="V252" t="s">
        <v>896</v>
      </c>
      <c r="W252" t="s">
        <v>958</v>
      </c>
      <c r="X252" t="s">
        <v>896</v>
      </c>
      <c r="Y252" t="s">
        <v>960</v>
      </c>
      <c r="Z252" t="s">
        <v>896</v>
      </c>
      <c r="AA252" t="s">
        <v>962</v>
      </c>
      <c r="AB252" t="s">
        <v>896</v>
      </c>
      <c r="AC252" t="s">
        <v>963</v>
      </c>
    </row>
    <row r="253" spans="1:61">
      <c r="A253" t="s">
        <v>1507</v>
      </c>
      <c r="D253" s="548" t="s">
        <v>896</v>
      </c>
      <c r="E253" t="s">
        <v>945</v>
      </c>
    </row>
    <row r="254" spans="1:61">
      <c r="A254" t="s">
        <v>1508</v>
      </c>
      <c r="D254" s="548" t="s">
        <v>896</v>
      </c>
      <c r="E254" t="s">
        <v>948</v>
      </c>
    </row>
    <row r="255" spans="1:61">
      <c r="A255" t="s">
        <v>2030</v>
      </c>
      <c r="D255" s="548" t="s">
        <v>896</v>
      </c>
      <c r="E255" t="s">
        <v>980</v>
      </c>
    </row>
    <row r="256" spans="1:61">
      <c r="A256" t="s">
        <v>1842</v>
      </c>
      <c r="D256" s="548" t="s">
        <v>896</v>
      </c>
      <c r="E256" t="s">
        <v>981</v>
      </c>
    </row>
    <row r="257" spans="1:15">
      <c r="A257" t="s">
        <v>1920</v>
      </c>
      <c r="D257" s="548" t="s">
        <v>896</v>
      </c>
      <c r="E257" t="s">
        <v>985</v>
      </c>
      <c r="F257" t="s">
        <v>896</v>
      </c>
      <c r="G257" t="s">
        <v>2459</v>
      </c>
      <c r="H257" t="s">
        <v>896</v>
      </c>
      <c r="I257" t="s">
        <v>988</v>
      </c>
      <c r="J257" t="s">
        <v>896</v>
      </c>
      <c r="K257" t="s">
        <v>2460</v>
      </c>
      <c r="L257" t="s">
        <v>896</v>
      </c>
      <c r="M257" t="s">
        <v>991</v>
      </c>
      <c r="N257" t="s">
        <v>896</v>
      </c>
      <c r="O257" t="s">
        <v>993</v>
      </c>
    </row>
    <row r="258" spans="1:15">
      <c r="A258" t="s">
        <v>1845</v>
      </c>
      <c r="D258" s="548" t="s">
        <v>896</v>
      </c>
      <c r="E258" t="s">
        <v>15</v>
      </c>
    </row>
    <row r="259" spans="1:15">
      <c r="A259" t="s">
        <v>1844</v>
      </c>
      <c r="D259" s="548" t="s">
        <v>896</v>
      </c>
      <c r="E259" t="s">
        <v>16</v>
      </c>
    </row>
    <row r="260" spans="1:15">
      <c r="A260" t="s">
        <v>2432</v>
      </c>
      <c r="D260" s="548" t="s">
        <v>896</v>
      </c>
      <c r="E260" t="s">
        <v>150</v>
      </c>
    </row>
    <row r="261" spans="1:15">
      <c r="A261" t="s">
        <v>1860</v>
      </c>
      <c r="D261" s="547">
        <v>37623</v>
      </c>
      <c r="E261" t="s">
        <v>995</v>
      </c>
    </row>
    <row r="262" spans="1:15">
      <c r="A262" t="s">
        <v>1861</v>
      </c>
      <c r="D262" s="547">
        <v>37623</v>
      </c>
      <c r="E262" t="s">
        <v>996</v>
      </c>
    </row>
    <row r="263" spans="1:15">
      <c r="A263" t="s">
        <v>1862</v>
      </c>
      <c r="D263" s="547">
        <v>37623</v>
      </c>
      <c r="E263" t="s">
        <v>998</v>
      </c>
    </row>
    <row r="264" spans="1:15">
      <c r="A264" t="s">
        <v>1689</v>
      </c>
      <c r="D264" s="547">
        <v>37623</v>
      </c>
      <c r="E264" t="s">
        <v>999</v>
      </c>
    </row>
    <row r="265" spans="1:15">
      <c r="A265" t="s">
        <v>1771</v>
      </c>
      <c r="D265" s="547">
        <v>37623</v>
      </c>
      <c r="E265" t="s">
        <v>13</v>
      </c>
      <c r="F265" t="s">
        <v>1175</v>
      </c>
      <c r="G265" t="s">
        <v>150</v>
      </c>
      <c r="H265" t="s">
        <v>1182</v>
      </c>
      <c r="I265" t="s">
        <v>150</v>
      </c>
    </row>
    <row r="266" spans="1:15">
      <c r="A266" t="s">
        <v>1785</v>
      </c>
      <c r="D266" s="547">
        <v>37623</v>
      </c>
      <c r="E266" t="s">
        <v>14</v>
      </c>
      <c r="F266" t="s">
        <v>1175</v>
      </c>
      <c r="G266" t="s">
        <v>994</v>
      </c>
      <c r="H266" t="s">
        <v>1182</v>
      </c>
      <c r="I266" t="s">
        <v>994</v>
      </c>
    </row>
    <row r="267" spans="1:15">
      <c r="A267" t="s">
        <v>1422</v>
      </c>
      <c r="D267" s="547">
        <v>37623</v>
      </c>
      <c r="E267" t="s">
        <v>756</v>
      </c>
    </row>
    <row r="268" spans="1:15">
      <c r="A268" t="s">
        <v>1510</v>
      </c>
      <c r="D268" s="547">
        <v>37623</v>
      </c>
      <c r="E268" t="s">
        <v>757</v>
      </c>
      <c r="F268" t="s">
        <v>1069</v>
      </c>
      <c r="G268" t="s">
        <v>771</v>
      </c>
    </row>
    <row r="269" spans="1:15">
      <c r="A269" t="s">
        <v>1511</v>
      </c>
      <c r="D269" s="547">
        <v>37623</v>
      </c>
      <c r="E269" t="s">
        <v>758</v>
      </c>
    </row>
    <row r="270" spans="1:15">
      <c r="A270" t="s">
        <v>1513</v>
      </c>
      <c r="D270" s="547">
        <v>37623</v>
      </c>
      <c r="E270" t="s">
        <v>897</v>
      </c>
    </row>
    <row r="271" spans="1:15">
      <c r="A271" t="s">
        <v>1515</v>
      </c>
      <c r="D271" s="547">
        <v>37623</v>
      </c>
      <c r="E271" t="s">
        <v>898</v>
      </c>
    </row>
    <row r="272" spans="1:15">
      <c r="A272" t="s">
        <v>1517</v>
      </c>
      <c r="D272" s="547">
        <v>37623</v>
      </c>
      <c r="E272" t="s">
        <v>760</v>
      </c>
    </row>
    <row r="273" spans="1:7">
      <c r="A273" t="s">
        <v>1521</v>
      </c>
      <c r="D273" s="547">
        <v>37623</v>
      </c>
      <c r="E273" t="s">
        <v>762</v>
      </c>
    </row>
    <row r="274" spans="1:7">
      <c r="A274" t="s">
        <v>1524</v>
      </c>
      <c r="D274" s="547">
        <v>37623</v>
      </c>
      <c r="E274" t="s">
        <v>763</v>
      </c>
    </row>
    <row r="275" spans="1:7">
      <c r="A275" t="s">
        <v>1527</v>
      </c>
      <c r="D275" s="547">
        <v>37623</v>
      </c>
      <c r="E275" t="s">
        <v>764</v>
      </c>
    </row>
    <row r="276" spans="1:7">
      <c r="A276" t="s">
        <v>1530</v>
      </c>
      <c r="D276" s="547">
        <v>37623</v>
      </c>
      <c r="E276" t="s">
        <v>765</v>
      </c>
    </row>
    <row r="277" spans="1:7">
      <c r="A277" t="s">
        <v>1533</v>
      </c>
      <c r="D277" s="547">
        <v>37623</v>
      </c>
      <c r="E277" t="s">
        <v>766</v>
      </c>
    </row>
    <row r="278" spans="1:7">
      <c r="A278" t="s">
        <v>1536</v>
      </c>
      <c r="D278" s="547">
        <v>37623</v>
      </c>
      <c r="E278" t="s">
        <v>767</v>
      </c>
    </row>
    <row r="279" spans="1:7">
      <c r="A279" t="s">
        <v>1539</v>
      </c>
      <c r="D279" s="547">
        <v>37623</v>
      </c>
      <c r="E279" t="s">
        <v>768</v>
      </c>
    </row>
    <row r="280" spans="1:7">
      <c r="A280" t="s">
        <v>1542</v>
      </c>
      <c r="D280" s="547">
        <v>37623</v>
      </c>
      <c r="E280" t="s">
        <v>769</v>
      </c>
      <c r="F280" s="548">
        <v>37623</v>
      </c>
      <c r="G280" t="s">
        <v>858</v>
      </c>
    </row>
    <row r="281" spans="1:7">
      <c r="A281" t="s">
        <v>1543</v>
      </c>
      <c r="D281" s="547">
        <v>37623</v>
      </c>
      <c r="E281" t="s">
        <v>770</v>
      </c>
    </row>
    <row r="282" spans="1:7">
      <c r="A282" t="s">
        <v>1546</v>
      </c>
      <c r="D282" s="547">
        <v>37623</v>
      </c>
      <c r="E282" t="s">
        <v>771</v>
      </c>
    </row>
    <row r="283" spans="1:7">
      <c r="A283" t="s">
        <v>1549</v>
      </c>
      <c r="D283" s="547">
        <v>37623</v>
      </c>
      <c r="E283" t="s">
        <v>772</v>
      </c>
    </row>
    <row r="284" spans="1:7">
      <c r="A284" t="s">
        <v>1552</v>
      </c>
      <c r="D284" s="547">
        <v>37623</v>
      </c>
      <c r="E284" t="s">
        <v>773</v>
      </c>
    </row>
    <row r="285" spans="1:7">
      <c r="A285" t="s">
        <v>1555</v>
      </c>
      <c r="D285" s="547">
        <v>37623</v>
      </c>
      <c r="E285" t="s">
        <v>774</v>
      </c>
      <c r="F285" s="548">
        <v>37623</v>
      </c>
      <c r="G285" t="s">
        <v>828</v>
      </c>
    </row>
    <row r="286" spans="1:7">
      <c r="A286" t="s">
        <v>1558</v>
      </c>
      <c r="D286" s="547">
        <v>37623</v>
      </c>
      <c r="E286" t="s">
        <v>775</v>
      </c>
      <c r="F286" s="548">
        <v>37623</v>
      </c>
      <c r="G286" t="s">
        <v>829</v>
      </c>
    </row>
    <row r="287" spans="1:7">
      <c r="A287" t="s">
        <v>1561</v>
      </c>
      <c r="D287" s="547">
        <v>37623</v>
      </c>
      <c r="E287" t="s">
        <v>776</v>
      </c>
      <c r="F287" s="548">
        <v>37623</v>
      </c>
      <c r="G287" t="s">
        <v>830</v>
      </c>
    </row>
    <row r="288" spans="1:7">
      <c r="A288" t="s">
        <v>1564</v>
      </c>
      <c r="D288" s="547">
        <v>37623</v>
      </c>
      <c r="E288" t="s">
        <v>777</v>
      </c>
      <c r="F288" s="548">
        <v>37623</v>
      </c>
      <c r="G288" t="s">
        <v>831</v>
      </c>
    </row>
    <row r="289" spans="1:7">
      <c r="A289" t="s">
        <v>1567</v>
      </c>
      <c r="D289" s="547">
        <v>37623</v>
      </c>
      <c r="E289" t="s">
        <v>778</v>
      </c>
    </row>
    <row r="290" spans="1:7">
      <c r="A290" t="s">
        <v>1570</v>
      </c>
      <c r="D290" s="547">
        <v>37623</v>
      </c>
      <c r="E290" t="s">
        <v>779</v>
      </c>
    </row>
    <row r="291" spans="1:7">
      <c r="A291" t="s">
        <v>1573</v>
      </c>
      <c r="D291" s="547">
        <v>37623</v>
      </c>
      <c r="E291" t="s">
        <v>780</v>
      </c>
    </row>
    <row r="292" spans="1:7">
      <c r="A292" t="s">
        <v>1576</v>
      </c>
      <c r="D292" s="547">
        <v>37623</v>
      </c>
      <c r="E292" t="s">
        <v>781</v>
      </c>
    </row>
    <row r="293" spans="1:7">
      <c r="A293" t="s">
        <v>1579</v>
      </c>
      <c r="D293" s="547">
        <v>37623</v>
      </c>
      <c r="E293" t="s">
        <v>782</v>
      </c>
    </row>
    <row r="294" spans="1:7">
      <c r="A294" t="s">
        <v>1931</v>
      </c>
      <c r="D294" s="547">
        <v>37623</v>
      </c>
      <c r="E294" t="s">
        <v>783</v>
      </c>
    </row>
    <row r="295" spans="1:7">
      <c r="A295" t="s">
        <v>1582</v>
      </c>
      <c r="D295" s="547">
        <v>37623</v>
      </c>
      <c r="E295" t="s">
        <v>784</v>
      </c>
    </row>
    <row r="296" spans="1:7">
      <c r="A296" t="s">
        <v>1587</v>
      </c>
      <c r="D296" s="547">
        <v>37623</v>
      </c>
      <c r="E296" t="s">
        <v>785</v>
      </c>
      <c r="F296" s="548">
        <v>37623</v>
      </c>
      <c r="G296" t="s">
        <v>855</v>
      </c>
    </row>
    <row r="297" spans="1:7">
      <c r="A297" t="s">
        <v>1936</v>
      </c>
      <c r="D297" s="547">
        <v>37623</v>
      </c>
      <c r="E297" t="s">
        <v>786</v>
      </c>
    </row>
    <row r="298" spans="1:7">
      <c r="A298" t="s">
        <v>1588</v>
      </c>
      <c r="D298" s="547">
        <v>37623</v>
      </c>
      <c r="E298" t="s">
        <v>787</v>
      </c>
    </row>
    <row r="299" spans="1:7">
      <c r="A299" t="s">
        <v>1591</v>
      </c>
      <c r="D299" s="547">
        <v>37623</v>
      </c>
      <c r="E299" t="s">
        <v>788</v>
      </c>
    </row>
    <row r="300" spans="1:7">
      <c r="A300" t="s">
        <v>1594</v>
      </c>
      <c r="D300" s="547">
        <v>37623</v>
      </c>
      <c r="E300" t="s">
        <v>789</v>
      </c>
    </row>
    <row r="301" spans="1:7">
      <c r="A301" t="s">
        <v>1597</v>
      </c>
      <c r="D301" s="547">
        <v>37623</v>
      </c>
      <c r="E301" t="s">
        <v>790</v>
      </c>
    </row>
    <row r="302" spans="1:7">
      <c r="A302" t="s">
        <v>1600</v>
      </c>
      <c r="D302" s="547">
        <v>37623</v>
      </c>
      <c r="E302" t="s">
        <v>791</v>
      </c>
    </row>
    <row r="303" spans="1:7">
      <c r="A303" t="s">
        <v>1603</v>
      </c>
      <c r="D303" s="547">
        <v>37623</v>
      </c>
      <c r="E303" t="s">
        <v>792</v>
      </c>
    </row>
    <row r="304" spans="1:7">
      <c r="A304" t="s">
        <v>1606</v>
      </c>
      <c r="D304" s="547">
        <v>37623</v>
      </c>
      <c r="E304" t="s">
        <v>793</v>
      </c>
    </row>
    <row r="305" spans="1:7">
      <c r="A305" t="s">
        <v>1609</v>
      </c>
      <c r="D305" s="547">
        <v>37623</v>
      </c>
      <c r="E305" t="s">
        <v>794</v>
      </c>
    </row>
    <row r="306" spans="1:7">
      <c r="A306" t="s">
        <v>1852</v>
      </c>
      <c r="D306" s="547">
        <v>37623</v>
      </c>
      <c r="E306" t="s">
        <v>795</v>
      </c>
    </row>
    <row r="307" spans="1:7">
      <c r="A307" t="s">
        <v>1857</v>
      </c>
      <c r="D307" s="547">
        <v>37623</v>
      </c>
      <c r="E307" t="s">
        <v>797</v>
      </c>
    </row>
    <row r="308" spans="1:7">
      <c r="A308" t="s">
        <v>1838</v>
      </c>
      <c r="D308" s="547">
        <v>37623</v>
      </c>
      <c r="E308" t="s">
        <v>798</v>
      </c>
    </row>
    <row r="309" spans="1:7">
      <c r="A309" t="s">
        <v>1846</v>
      </c>
      <c r="D309" s="547">
        <v>37623</v>
      </c>
      <c r="E309" t="s">
        <v>800</v>
      </c>
      <c r="F309" t="s">
        <v>1172</v>
      </c>
      <c r="G309" t="s">
        <v>753</v>
      </c>
    </row>
    <row r="310" spans="1:7">
      <c r="A310" t="s">
        <v>1612</v>
      </c>
      <c r="D310" s="547">
        <v>37623</v>
      </c>
      <c r="E310" t="s">
        <v>801</v>
      </c>
    </row>
    <row r="311" spans="1:7">
      <c r="A311" t="s">
        <v>1615</v>
      </c>
      <c r="D311" s="547">
        <v>37623</v>
      </c>
      <c r="E311" t="s">
        <v>802</v>
      </c>
    </row>
    <row r="312" spans="1:7">
      <c r="A312" t="s">
        <v>1618</v>
      </c>
      <c r="D312" s="547">
        <v>37623</v>
      </c>
      <c r="E312" t="s">
        <v>803</v>
      </c>
    </row>
    <row r="313" spans="1:7">
      <c r="A313" t="s">
        <v>1621</v>
      </c>
      <c r="D313" s="547">
        <v>37623</v>
      </c>
      <c r="E313" t="s">
        <v>804</v>
      </c>
    </row>
    <row r="314" spans="1:7">
      <c r="A314" t="s">
        <v>1624</v>
      </c>
      <c r="D314" s="547">
        <v>37623</v>
      </c>
      <c r="E314" t="s">
        <v>805</v>
      </c>
    </row>
    <row r="315" spans="1:7">
      <c r="A315" t="s">
        <v>1627</v>
      </c>
      <c r="D315" s="547">
        <v>37623</v>
      </c>
      <c r="E315" t="s">
        <v>806</v>
      </c>
    </row>
    <row r="316" spans="1:7">
      <c r="A316" t="s">
        <v>1630</v>
      </c>
      <c r="D316" s="547">
        <v>37623</v>
      </c>
      <c r="E316" t="s">
        <v>807</v>
      </c>
    </row>
    <row r="317" spans="1:7">
      <c r="A317" t="s">
        <v>1633</v>
      </c>
      <c r="D317" s="547">
        <v>37623</v>
      </c>
      <c r="E317" t="s">
        <v>808</v>
      </c>
    </row>
    <row r="318" spans="1:7">
      <c r="A318" t="s">
        <v>1636</v>
      </c>
      <c r="D318" s="547">
        <v>37623</v>
      </c>
      <c r="E318" t="s">
        <v>809</v>
      </c>
    </row>
    <row r="319" spans="1:7">
      <c r="A319" t="s">
        <v>1639</v>
      </c>
      <c r="D319" s="547">
        <v>37623</v>
      </c>
      <c r="E319" t="s">
        <v>810</v>
      </c>
    </row>
    <row r="320" spans="1:7">
      <c r="A320" t="s">
        <v>1642</v>
      </c>
      <c r="D320" s="547">
        <v>37623</v>
      </c>
      <c r="E320" t="s">
        <v>811</v>
      </c>
    </row>
    <row r="321" spans="1:6">
      <c r="A321" t="s">
        <v>1645</v>
      </c>
      <c r="D321" s="547">
        <v>37623</v>
      </c>
      <c r="E321" t="s">
        <v>812</v>
      </c>
      <c r="F321" s="547"/>
    </row>
    <row r="322" spans="1:6">
      <c r="A322" t="s">
        <v>1648</v>
      </c>
      <c r="D322" s="547">
        <v>37623</v>
      </c>
      <c r="E322" t="s">
        <v>813</v>
      </c>
      <c r="F322" s="547"/>
    </row>
    <row r="323" spans="1:6">
      <c r="A323" t="s">
        <v>1651</v>
      </c>
      <c r="D323" s="547">
        <v>37623</v>
      </c>
      <c r="E323" t="s">
        <v>814</v>
      </c>
      <c r="F323" s="547"/>
    </row>
    <row r="324" spans="1:6">
      <c r="A324" t="s">
        <v>1654</v>
      </c>
      <c r="D324" s="547">
        <v>37623</v>
      </c>
      <c r="E324" t="s">
        <v>815</v>
      </c>
      <c r="F324" s="548"/>
    </row>
    <row r="325" spans="1:6">
      <c r="A325" t="s">
        <v>1659</v>
      </c>
      <c r="D325" s="547">
        <v>37623</v>
      </c>
      <c r="E325" t="s">
        <v>816</v>
      </c>
      <c r="F325" s="548"/>
    </row>
    <row r="326" spans="1:6">
      <c r="A326" t="s">
        <v>1662</v>
      </c>
      <c r="D326" s="547">
        <v>37623</v>
      </c>
      <c r="E326" t="s">
        <v>817</v>
      </c>
      <c r="F326" s="548"/>
    </row>
    <row r="327" spans="1:6">
      <c r="A327" t="s">
        <v>1663</v>
      </c>
      <c r="D327" s="547">
        <v>37623</v>
      </c>
      <c r="E327" t="s">
        <v>818</v>
      </c>
    </row>
    <row r="328" spans="1:6">
      <c r="A328" t="s">
        <v>1666</v>
      </c>
      <c r="D328" s="547">
        <v>37623</v>
      </c>
      <c r="E328" t="s">
        <v>819</v>
      </c>
    </row>
    <row r="329" spans="1:6">
      <c r="A329" t="s">
        <v>1672</v>
      </c>
      <c r="D329" s="547">
        <v>37623</v>
      </c>
      <c r="E329" t="s">
        <v>820</v>
      </c>
      <c r="F329" s="548"/>
    </row>
    <row r="330" spans="1:6">
      <c r="A330" t="s">
        <v>1669</v>
      </c>
      <c r="D330" s="547">
        <v>37623</v>
      </c>
      <c r="E330" t="s">
        <v>821</v>
      </c>
      <c r="F330" s="548"/>
    </row>
    <row r="331" spans="1:6">
      <c r="A331" t="s">
        <v>1675</v>
      </c>
      <c r="D331" s="547">
        <v>37623</v>
      </c>
      <c r="E331" t="s">
        <v>822</v>
      </c>
      <c r="F331" s="548"/>
    </row>
    <row r="332" spans="1:6">
      <c r="A332" t="s">
        <v>1678</v>
      </c>
      <c r="D332" s="547">
        <v>37623</v>
      </c>
      <c r="E332" t="s">
        <v>823</v>
      </c>
      <c r="F332" s="548"/>
    </row>
    <row r="333" spans="1:6">
      <c r="A333" t="s">
        <v>1681</v>
      </c>
      <c r="D333" s="547">
        <v>37623</v>
      </c>
      <c r="E333" t="s">
        <v>824</v>
      </c>
      <c r="F333" s="548"/>
    </row>
    <row r="334" spans="1:6">
      <c r="A334" t="s">
        <v>1683</v>
      </c>
      <c r="D334" s="547">
        <v>37623</v>
      </c>
      <c r="E334" t="s">
        <v>825</v>
      </c>
      <c r="F334" s="548"/>
    </row>
    <row r="335" spans="1:6">
      <c r="A335" t="s">
        <v>1685</v>
      </c>
      <c r="D335" s="547">
        <v>37623</v>
      </c>
      <c r="E335" t="s">
        <v>826</v>
      </c>
    </row>
    <row r="336" spans="1:6">
      <c r="A336" t="s">
        <v>1687</v>
      </c>
      <c r="D336" s="547">
        <v>37623</v>
      </c>
      <c r="E336" t="s">
        <v>827</v>
      </c>
    </row>
    <row r="337" spans="1:6">
      <c r="A337" t="s">
        <v>1848</v>
      </c>
      <c r="D337" s="547">
        <v>37623</v>
      </c>
      <c r="E337" t="s">
        <v>832</v>
      </c>
    </row>
    <row r="338" spans="1:6">
      <c r="A338" t="s">
        <v>2058</v>
      </c>
      <c r="D338" s="547">
        <v>37623</v>
      </c>
      <c r="E338" t="s">
        <v>833</v>
      </c>
    </row>
    <row r="339" spans="1:6">
      <c r="A339" t="s">
        <v>1690</v>
      </c>
      <c r="D339" s="547">
        <v>37623</v>
      </c>
      <c r="E339" t="s">
        <v>835</v>
      </c>
    </row>
    <row r="340" spans="1:6">
      <c r="A340" t="s">
        <v>1693</v>
      </c>
      <c r="D340" s="547">
        <v>37623</v>
      </c>
      <c r="E340" t="s">
        <v>836</v>
      </c>
    </row>
    <row r="341" spans="1:6">
      <c r="A341" t="s">
        <v>1694</v>
      </c>
      <c r="D341" s="547">
        <v>37623</v>
      </c>
      <c r="E341" t="s">
        <v>837</v>
      </c>
    </row>
    <row r="342" spans="1:6">
      <c r="A342" t="s">
        <v>1696</v>
      </c>
      <c r="D342" s="547">
        <v>37623</v>
      </c>
      <c r="E342" t="s">
        <v>838</v>
      </c>
    </row>
    <row r="343" spans="1:6">
      <c r="A343" t="s">
        <v>1698</v>
      </c>
      <c r="D343" s="547">
        <v>37623</v>
      </c>
      <c r="E343" t="s">
        <v>839</v>
      </c>
    </row>
    <row r="344" spans="1:6">
      <c r="A344" t="s">
        <v>1700</v>
      </c>
      <c r="D344" s="547">
        <v>37623</v>
      </c>
      <c r="E344" t="s">
        <v>840</v>
      </c>
      <c r="F344" s="548"/>
    </row>
    <row r="345" spans="1:6">
      <c r="A345" t="s">
        <v>1702</v>
      </c>
      <c r="D345" s="547">
        <v>37623</v>
      </c>
      <c r="E345" t="s">
        <v>841</v>
      </c>
    </row>
    <row r="346" spans="1:6">
      <c r="A346" t="s">
        <v>1704</v>
      </c>
      <c r="D346" s="547">
        <v>37623</v>
      </c>
      <c r="E346" t="s">
        <v>842</v>
      </c>
      <c r="F346" s="547"/>
    </row>
    <row r="347" spans="1:6">
      <c r="A347" t="s">
        <v>1705</v>
      </c>
      <c r="D347" s="547">
        <v>37623</v>
      </c>
      <c r="E347" t="s">
        <v>843</v>
      </c>
      <c r="F347" s="548"/>
    </row>
    <row r="348" spans="1:6">
      <c r="A348" t="s">
        <v>1707</v>
      </c>
      <c r="D348" s="547">
        <v>37623</v>
      </c>
      <c r="E348" t="s">
        <v>844</v>
      </c>
      <c r="F348" s="547"/>
    </row>
    <row r="349" spans="1:6">
      <c r="A349" t="s">
        <v>1709</v>
      </c>
      <c r="D349" s="547">
        <v>37623</v>
      </c>
      <c r="E349" t="s">
        <v>845</v>
      </c>
      <c r="F349" s="547"/>
    </row>
    <row r="350" spans="1:6">
      <c r="A350" t="s">
        <v>1711</v>
      </c>
      <c r="D350" s="547">
        <v>37623</v>
      </c>
      <c r="E350" t="s">
        <v>846</v>
      </c>
      <c r="F350" s="547"/>
    </row>
    <row r="351" spans="1:6">
      <c r="A351" t="s">
        <v>1712</v>
      </c>
      <c r="D351" s="547">
        <v>37623</v>
      </c>
      <c r="E351" t="s">
        <v>847</v>
      </c>
      <c r="F351" s="547"/>
    </row>
    <row r="352" spans="1:6">
      <c r="A352" t="s">
        <v>1714</v>
      </c>
      <c r="D352" s="547">
        <v>37623</v>
      </c>
      <c r="E352" t="s">
        <v>848</v>
      </c>
      <c r="F352" s="547"/>
    </row>
    <row r="353" spans="1:6">
      <c r="A353" t="s">
        <v>1716</v>
      </c>
      <c r="D353" s="547">
        <v>37623</v>
      </c>
      <c r="E353" t="s">
        <v>849</v>
      </c>
      <c r="F353" s="548"/>
    </row>
    <row r="354" spans="1:6">
      <c r="A354" t="s">
        <v>1718</v>
      </c>
      <c r="D354" s="548">
        <v>37623</v>
      </c>
      <c r="E354" t="s">
        <v>850</v>
      </c>
    </row>
    <row r="355" spans="1:6">
      <c r="A355" t="s">
        <v>1720</v>
      </c>
      <c r="D355" s="548">
        <v>37623</v>
      </c>
      <c r="E355" t="s">
        <v>851</v>
      </c>
    </row>
    <row r="356" spans="1:6">
      <c r="A356" t="s">
        <v>1722</v>
      </c>
      <c r="D356" s="548">
        <v>37623</v>
      </c>
      <c r="E356" t="s">
        <v>852</v>
      </c>
    </row>
    <row r="357" spans="1:6">
      <c r="A357" t="s">
        <v>1723</v>
      </c>
      <c r="D357" s="548">
        <v>37623</v>
      </c>
      <c r="E357" t="s">
        <v>853</v>
      </c>
    </row>
    <row r="358" spans="1:6">
      <c r="A358" t="s">
        <v>1725</v>
      </c>
      <c r="D358" s="548">
        <v>37623</v>
      </c>
      <c r="E358" t="s">
        <v>854</v>
      </c>
    </row>
    <row r="359" spans="1:6">
      <c r="A359" t="s">
        <v>1727</v>
      </c>
      <c r="D359" s="548">
        <v>37623</v>
      </c>
      <c r="E359" t="s">
        <v>856</v>
      </c>
    </row>
    <row r="360" spans="1:6">
      <c r="A360" t="s">
        <v>1850</v>
      </c>
      <c r="D360" s="548">
        <v>37623</v>
      </c>
      <c r="E360" t="s">
        <v>857</v>
      </c>
    </row>
    <row r="361" spans="1:6">
      <c r="A361" t="s">
        <v>1730</v>
      </c>
      <c r="D361" s="548">
        <v>37623</v>
      </c>
      <c r="E361" t="s">
        <v>859</v>
      </c>
      <c r="F361" s="548"/>
    </row>
    <row r="362" spans="1:6">
      <c r="A362" t="s">
        <v>1732</v>
      </c>
      <c r="D362" s="548">
        <v>37623</v>
      </c>
      <c r="E362" t="s">
        <v>860</v>
      </c>
    </row>
    <row r="363" spans="1:6">
      <c r="A363" t="s">
        <v>1734</v>
      </c>
      <c r="D363" s="548">
        <v>37623</v>
      </c>
      <c r="E363" t="s">
        <v>861</v>
      </c>
    </row>
    <row r="364" spans="1:6">
      <c r="A364" t="s">
        <v>1736</v>
      </c>
      <c r="D364" s="548">
        <v>37623</v>
      </c>
      <c r="E364" t="s">
        <v>862</v>
      </c>
    </row>
    <row r="365" spans="1:6">
      <c r="A365" t="s">
        <v>1738</v>
      </c>
      <c r="D365" s="548">
        <v>37623</v>
      </c>
      <c r="E365" t="s">
        <v>863</v>
      </c>
    </row>
    <row r="366" spans="1:6">
      <c r="A366" t="s">
        <v>1740</v>
      </c>
      <c r="D366" s="548">
        <v>37623</v>
      </c>
      <c r="E366" t="s">
        <v>864</v>
      </c>
    </row>
    <row r="367" spans="1:6">
      <c r="A367" t="s">
        <v>1742</v>
      </c>
      <c r="D367" s="548">
        <v>37623</v>
      </c>
      <c r="E367" t="s">
        <v>865</v>
      </c>
    </row>
    <row r="368" spans="1:6">
      <c r="A368" t="s">
        <v>1744</v>
      </c>
      <c r="D368" s="548">
        <v>37623</v>
      </c>
      <c r="E368" t="s">
        <v>866</v>
      </c>
    </row>
    <row r="369" spans="1:9">
      <c r="A369" t="s">
        <v>1745</v>
      </c>
      <c r="D369" s="548">
        <v>37623</v>
      </c>
      <c r="E369" t="s">
        <v>867</v>
      </c>
    </row>
    <row r="370" spans="1:9">
      <c r="A370" t="s">
        <v>1747</v>
      </c>
      <c r="D370" s="548">
        <v>37623</v>
      </c>
      <c r="E370" t="s">
        <v>868</v>
      </c>
    </row>
    <row r="371" spans="1:9">
      <c r="A371" t="s">
        <v>1749</v>
      </c>
      <c r="D371" s="548">
        <v>37623</v>
      </c>
      <c r="E371" t="s">
        <v>869</v>
      </c>
    </row>
    <row r="372" spans="1:9">
      <c r="A372" t="s">
        <v>1751</v>
      </c>
      <c r="D372" s="548">
        <v>37623</v>
      </c>
      <c r="E372" t="s">
        <v>870</v>
      </c>
    </row>
    <row r="373" spans="1:9">
      <c r="A373" t="s">
        <v>2018</v>
      </c>
      <c r="D373" s="548">
        <v>37623</v>
      </c>
      <c r="E373" t="s">
        <v>871</v>
      </c>
    </row>
    <row r="374" spans="1:9">
      <c r="A374" t="s">
        <v>1754</v>
      </c>
      <c r="D374" s="548">
        <v>37623</v>
      </c>
      <c r="E374" t="s">
        <v>872</v>
      </c>
    </row>
    <row r="375" spans="1:9">
      <c r="A375" t="s">
        <v>1755</v>
      </c>
      <c r="D375" s="548">
        <v>37623</v>
      </c>
      <c r="E375" t="s">
        <v>873</v>
      </c>
    </row>
    <row r="376" spans="1:9">
      <c r="A376" t="s">
        <v>1756</v>
      </c>
      <c r="D376" s="548">
        <v>37623</v>
      </c>
      <c r="E376" t="s">
        <v>1002</v>
      </c>
    </row>
    <row r="377" spans="1:9">
      <c r="A377" t="s">
        <v>1758</v>
      </c>
      <c r="D377" s="548">
        <v>37623</v>
      </c>
      <c r="E377" t="s">
        <v>1003</v>
      </c>
    </row>
    <row r="378" spans="1:9">
      <c r="A378" t="s">
        <v>1759</v>
      </c>
      <c r="D378" s="548">
        <v>37623</v>
      </c>
      <c r="E378" t="s">
        <v>1004</v>
      </c>
    </row>
    <row r="379" spans="1:9">
      <c r="A379" t="s">
        <v>1761</v>
      </c>
      <c r="D379" s="548">
        <v>37623</v>
      </c>
      <c r="E379" t="s">
        <v>1005</v>
      </c>
    </row>
    <row r="380" spans="1:9">
      <c r="A380" t="s">
        <v>1763</v>
      </c>
      <c r="D380" s="548">
        <v>37623</v>
      </c>
      <c r="E380" t="s">
        <v>1006</v>
      </c>
    </row>
    <row r="381" spans="1:9">
      <c r="A381" t="s">
        <v>1765</v>
      </c>
      <c r="D381" s="548">
        <v>37623</v>
      </c>
      <c r="E381" t="s">
        <v>1007</v>
      </c>
    </row>
    <row r="382" spans="1:9">
      <c r="A382" t="s">
        <v>1767</v>
      </c>
      <c r="D382" s="548">
        <v>37623</v>
      </c>
      <c r="E382" t="s">
        <v>1008</v>
      </c>
    </row>
    <row r="383" spans="1:9">
      <c r="A383" t="s">
        <v>1769</v>
      </c>
      <c r="D383" s="548">
        <v>37623</v>
      </c>
      <c r="E383" t="s">
        <v>1009</v>
      </c>
    </row>
    <row r="384" spans="1:9">
      <c r="A384" t="s">
        <v>1772</v>
      </c>
      <c r="D384" s="548">
        <v>37623</v>
      </c>
      <c r="E384" t="s">
        <v>1010</v>
      </c>
      <c r="F384" t="s">
        <v>1175</v>
      </c>
      <c r="G384" t="s">
        <v>1174</v>
      </c>
      <c r="H384" t="s">
        <v>1182</v>
      </c>
      <c r="I384" t="s">
        <v>1174</v>
      </c>
    </row>
    <row r="385" spans="1:15">
      <c r="A385" t="s">
        <v>1773</v>
      </c>
      <c r="D385" s="548">
        <v>37623</v>
      </c>
      <c r="E385" t="s">
        <v>1011</v>
      </c>
      <c r="F385" t="s">
        <v>1175</v>
      </c>
      <c r="G385" t="s">
        <v>881</v>
      </c>
      <c r="H385" t="s">
        <v>1182</v>
      </c>
      <c r="I385" t="s">
        <v>881</v>
      </c>
    </row>
    <row r="386" spans="1:15">
      <c r="A386" t="s">
        <v>1774</v>
      </c>
      <c r="D386" s="548">
        <v>37623</v>
      </c>
      <c r="E386" t="s">
        <v>899</v>
      </c>
      <c r="F386" t="s">
        <v>1175</v>
      </c>
      <c r="G386" t="s">
        <v>882</v>
      </c>
      <c r="H386" t="s">
        <v>1182</v>
      </c>
      <c r="I386" t="s">
        <v>882</v>
      </c>
    </row>
    <row r="387" spans="1:15">
      <c r="A387" t="s">
        <v>1775</v>
      </c>
      <c r="D387" s="548">
        <v>37623</v>
      </c>
      <c r="E387" t="s">
        <v>1012</v>
      </c>
      <c r="F387" t="s">
        <v>1175</v>
      </c>
      <c r="G387" t="s">
        <v>1075</v>
      </c>
      <c r="H387" t="s">
        <v>1182</v>
      </c>
      <c r="I387" t="s">
        <v>1075</v>
      </c>
    </row>
    <row r="388" spans="1:15">
      <c r="A388" t="s">
        <v>1776</v>
      </c>
      <c r="D388" s="548">
        <v>37623</v>
      </c>
      <c r="E388" t="s">
        <v>913</v>
      </c>
      <c r="F388" t="s">
        <v>1175</v>
      </c>
      <c r="G388" t="s">
        <v>1176</v>
      </c>
      <c r="H388" t="s">
        <v>1182</v>
      </c>
      <c r="I388" t="s">
        <v>1176</v>
      </c>
    </row>
    <row r="389" spans="1:15">
      <c r="A389" t="s">
        <v>1779</v>
      </c>
      <c r="D389" s="548">
        <v>37623</v>
      </c>
      <c r="E389" t="s">
        <v>914</v>
      </c>
      <c r="F389" s="548">
        <v>37623</v>
      </c>
      <c r="G389" t="s">
        <v>1017</v>
      </c>
      <c r="H389" t="s">
        <v>1175</v>
      </c>
      <c r="I389" t="s">
        <v>883</v>
      </c>
      <c r="J389" t="s">
        <v>1175</v>
      </c>
      <c r="K389" t="s">
        <v>1032</v>
      </c>
      <c r="L389" t="s">
        <v>1182</v>
      </c>
      <c r="M389" t="s">
        <v>883</v>
      </c>
      <c r="N389" t="s">
        <v>1182</v>
      </c>
      <c r="O389" t="s">
        <v>1032</v>
      </c>
    </row>
    <row r="390" spans="1:15">
      <c r="A390" t="s">
        <v>1780</v>
      </c>
      <c r="D390" s="548">
        <v>37623</v>
      </c>
      <c r="E390" t="s">
        <v>915</v>
      </c>
      <c r="F390" s="548">
        <v>37623</v>
      </c>
      <c r="G390" t="s">
        <v>1018</v>
      </c>
      <c r="H390" t="s">
        <v>1175</v>
      </c>
      <c r="I390" t="s">
        <v>1177</v>
      </c>
      <c r="J390" t="s">
        <v>1175</v>
      </c>
      <c r="K390" t="s">
        <v>1033</v>
      </c>
      <c r="L390" t="s">
        <v>1182</v>
      </c>
      <c r="M390" t="s">
        <v>1177</v>
      </c>
      <c r="N390" t="s">
        <v>1182</v>
      </c>
      <c r="O390" t="s">
        <v>1033</v>
      </c>
    </row>
    <row r="391" spans="1:15">
      <c r="A391" t="s">
        <v>1781</v>
      </c>
      <c r="D391" s="548">
        <v>37623</v>
      </c>
      <c r="E391" t="s">
        <v>916</v>
      </c>
      <c r="F391" s="548">
        <v>37623</v>
      </c>
      <c r="G391" t="s">
        <v>1019</v>
      </c>
      <c r="H391" t="s">
        <v>1175</v>
      </c>
      <c r="I391" t="s">
        <v>1178</v>
      </c>
      <c r="J391" t="s">
        <v>1175</v>
      </c>
      <c r="K391" t="s">
        <v>1034</v>
      </c>
      <c r="L391" t="s">
        <v>1182</v>
      </c>
      <c r="M391" t="s">
        <v>1178</v>
      </c>
      <c r="N391" t="s">
        <v>1182</v>
      </c>
      <c r="O391" t="s">
        <v>1034</v>
      </c>
    </row>
    <row r="392" spans="1:15">
      <c r="A392" t="s">
        <v>1782</v>
      </c>
      <c r="D392" s="548">
        <v>37623</v>
      </c>
      <c r="E392" t="s">
        <v>1013</v>
      </c>
      <c r="F392" s="548">
        <v>37623</v>
      </c>
      <c r="G392" t="s">
        <v>1020</v>
      </c>
      <c r="H392" t="s">
        <v>1175</v>
      </c>
      <c r="I392" t="s">
        <v>1179</v>
      </c>
      <c r="J392" t="s">
        <v>1175</v>
      </c>
      <c r="K392" t="s">
        <v>1035</v>
      </c>
      <c r="L392" t="s">
        <v>1182</v>
      </c>
      <c r="M392" t="s">
        <v>1179</v>
      </c>
      <c r="N392" t="s">
        <v>1182</v>
      </c>
      <c r="O392" t="s">
        <v>1035</v>
      </c>
    </row>
    <row r="393" spans="1:15">
      <c r="A393" t="s">
        <v>1783</v>
      </c>
      <c r="D393" s="548">
        <v>37623</v>
      </c>
      <c r="E393" t="s">
        <v>1014</v>
      </c>
      <c r="F393" s="548">
        <v>37623</v>
      </c>
      <c r="G393" t="s">
        <v>1021</v>
      </c>
      <c r="H393" t="s">
        <v>1175</v>
      </c>
      <c r="I393" t="s">
        <v>1029</v>
      </c>
      <c r="J393" t="s">
        <v>1175</v>
      </c>
      <c r="K393" t="s">
        <v>1180</v>
      </c>
      <c r="L393" t="s">
        <v>1182</v>
      </c>
      <c r="M393" t="s">
        <v>1029</v>
      </c>
      <c r="N393" t="s">
        <v>1182</v>
      </c>
      <c r="O393" t="s">
        <v>1180</v>
      </c>
    </row>
    <row r="394" spans="1:15">
      <c r="A394" t="s">
        <v>1784</v>
      </c>
      <c r="D394" s="548">
        <v>37623</v>
      </c>
      <c r="E394" t="s">
        <v>1015</v>
      </c>
      <c r="F394" s="548">
        <v>37623</v>
      </c>
      <c r="G394" t="s">
        <v>1022</v>
      </c>
      <c r="H394" t="s">
        <v>1175</v>
      </c>
      <c r="I394" t="s">
        <v>1030</v>
      </c>
      <c r="J394" t="s">
        <v>1175</v>
      </c>
      <c r="K394" t="s">
        <v>1036</v>
      </c>
      <c r="L394" t="s">
        <v>1182</v>
      </c>
      <c r="M394" t="s">
        <v>1030</v>
      </c>
      <c r="N394" t="s">
        <v>1182</v>
      </c>
      <c r="O394" t="s">
        <v>1036</v>
      </c>
    </row>
    <row r="395" spans="1:15">
      <c r="A395" t="s">
        <v>1786</v>
      </c>
      <c r="D395" s="548">
        <v>37623</v>
      </c>
      <c r="E395" t="s">
        <v>1016</v>
      </c>
      <c r="F395" t="s">
        <v>1175</v>
      </c>
      <c r="G395" t="s">
        <v>1031</v>
      </c>
      <c r="H395" t="s">
        <v>1182</v>
      </c>
      <c r="I395" t="s">
        <v>1031</v>
      </c>
    </row>
    <row r="396" spans="1:15">
      <c r="A396" t="s">
        <v>1512</v>
      </c>
      <c r="D396" s="548">
        <v>37623</v>
      </c>
      <c r="E396" t="s">
        <v>1023</v>
      </c>
    </row>
    <row r="397" spans="1:15">
      <c r="A397" t="s">
        <v>1514</v>
      </c>
      <c r="D397" s="548">
        <v>37623</v>
      </c>
      <c r="E397" t="s">
        <v>1024</v>
      </c>
    </row>
    <row r="398" spans="1:15">
      <c r="A398" t="s">
        <v>1516</v>
      </c>
      <c r="D398" s="548">
        <v>37623</v>
      </c>
      <c r="E398" t="s">
        <v>875</v>
      </c>
    </row>
    <row r="399" spans="1:15">
      <c r="A399" t="s">
        <v>1522</v>
      </c>
      <c r="D399" s="548">
        <v>37623</v>
      </c>
      <c r="E399" t="s">
        <v>919</v>
      </c>
    </row>
    <row r="400" spans="1:15">
      <c r="A400" t="s">
        <v>1525</v>
      </c>
      <c r="D400" s="548">
        <v>37623</v>
      </c>
      <c r="E400" t="s">
        <v>920</v>
      </c>
    </row>
    <row r="401" spans="1:7">
      <c r="A401" t="s">
        <v>1528</v>
      </c>
      <c r="D401" s="548">
        <v>37623</v>
      </c>
      <c r="E401" t="s">
        <v>1025</v>
      </c>
    </row>
    <row r="402" spans="1:7">
      <c r="A402" t="s">
        <v>1531</v>
      </c>
      <c r="D402" s="548">
        <v>37623</v>
      </c>
      <c r="E402" t="s">
        <v>876</v>
      </c>
    </row>
    <row r="403" spans="1:7">
      <c r="A403" t="s">
        <v>1534</v>
      </c>
      <c r="D403" s="548">
        <v>37623</v>
      </c>
      <c r="E403" t="s">
        <v>921</v>
      </c>
    </row>
    <row r="404" spans="1:7">
      <c r="A404" t="s">
        <v>1537</v>
      </c>
      <c r="D404" s="548">
        <v>37623</v>
      </c>
      <c r="E404" t="s">
        <v>922</v>
      </c>
      <c r="F404" s="548">
        <v>37623</v>
      </c>
      <c r="G404" t="s">
        <v>966</v>
      </c>
    </row>
    <row r="405" spans="1:7">
      <c r="A405" t="s">
        <v>1540</v>
      </c>
      <c r="D405" s="548">
        <v>37623</v>
      </c>
      <c r="E405" t="s">
        <v>923</v>
      </c>
    </row>
    <row r="406" spans="1:7">
      <c r="A406" t="s">
        <v>1544</v>
      </c>
      <c r="D406" s="548">
        <v>37623</v>
      </c>
      <c r="E406" t="s">
        <v>1026</v>
      </c>
      <c r="F406" s="548">
        <v>37623</v>
      </c>
      <c r="G406" t="s">
        <v>878</v>
      </c>
    </row>
    <row r="407" spans="1:7">
      <c r="A407" t="s">
        <v>1547</v>
      </c>
      <c r="D407" s="548">
        <v>37623</v>
      </c>
      <c r="E407" t="s">
        <v>1027</v>
      </c>
      <c r="F407" s="548">
        <v>37623</v>
      </c>
      <c r="G407" t="s">
        <v>973</v>
      </c>
    </row>
    <row r="408" spans="1:7">
      <c r="A408" t="s">
        <v>1550</v>
      </c>
      <c r="D408" s="548">
        <v>37623</v>
      </c>
      <c r="E408" t="s">
        <v>924</v>
      </c>
      <c r="F408" s="548">
        <v>37623</v>
      </c>
      <c r="G408" t="s">
        <v>974</v>
      </c>
    </row>
    <row r="409" spans="1:7">
      <c r="A409" t="s">
        <v>1553</v>
      </c>
      <c r="D409" s="548">
        <v>37623</v>
      </c>
      <c r="E409" t="s">
        <v>877</v>
      </c>
      <c r="F409" s="548">
        <v>37623</v>
      </c>
      <c r="G409" t="s">
        <v>975</v>
      </c>
    </row>
    <row r="410" spans="1:7">
      <c r="A410" t="s">
        <v>1556</v>
      </c>
      <c r="D410" s="548">
        <v>37623</v>
      </c>
      <c r="E410" t="s">
        <v>925</v>
      </c>
      <c r="F410" s="548">
        <v>37623</v>
      </c>
      <c r="G410" t="s">
        <v>976</v>
      </c>
    </row>
    <row r="411" spans="1:7">
      <c r="A411" t="s">
        <v>1559</v>
      </c>
      <c r="D411" s="548">
        <v>37623</v>
      </c>
      <c r="E411" t="s">
        <v>926</v>
      </c>
      <c r="F411" s="548">
        <v>37623</v>
      </c>
      <c r="G411" t="s">
        <v>977</v>
      </c>
    </row>
    <row r="412" spans="1:7">
      <c r="A412" t="s">
        <v>1562</v>
      </c>
      <c r="D412" s="548">
        <v>37623</v>
      </c>
      <c r="E412" t="s">
        <v>927</v>
      </c>
      <c r="F412" s="548">
        <v>37623</v>
      </c>
      <c r="G412" t="s">
        <v>978</v>
      </c>
    </row>
    <row r="413" spans="1:7">
      <c r="A413" t="s">
        <v>1565</v>
      </c>
      <c r="D413" s="548">
        <v>37623</v>
      </c>
      <c r="E413" t="s">
        <v>928</v>
      </c>
      <c r="F413" s="548">
        <v>37623</v>
      </c>
      <c r="G413" t="s">
        <v>979</v>
      </c>
    </row>
    <row r="414" spans="1:7">
      <c r="A414" t="s">
        <v>1568</v>
      </c>
      <c r="D414" s="548">
        <v>37623</v>
      </c>
      <c r="E414" t="s">
        <v>929</v>
      </c>
    </row>
    <row r="415" spans="1:7">
      <c r="A415" t="s">
        <v>1571</v>
      </c>
      <c r="D415" s="548">
        <v>37623</v>
      </c>
      <c r="E415" t="s">
        <v>930</v>
      </c>
    </row>
    <row r="416" spans="1:7">
      <c r="A416" t="s">
        <v>1574</v>
      </c>
      <c r="D416" s="548">
        <v>37623</v>
      </c>
      <c r="E416" t="s">
        <v>931</v>
      </c>
    </row>
    <row r="417" spans="1:7">
      <c r="A417" t="s">
        <v>1577</v>
      </c>
      <c r="D417" s="548">
        <v>37623</v>
      </c>
      <c r="E417" t="s">
        <v>932</v>
      </c>
    </row>
    <row r="418" spans="1:7">
      <c r="A418" t="s">
        <v>1580</v>
      </c>
      <c r="D418" s="548">
        <v>37623</v>
      </c>
      <c r="E418" t="s">
        <v>933</v>
      </c>
    </row>
    <row r="419" spans="1:7">
      <c r="A419" t="s">
        <v>1932</v>
      </c>
      <c r="D419" s="548">
        <v>37623</v>
      </c>
      <c r="E419" t="s">
        <v>934</v>
      </c>
    </row>
    <row r="420" spans="1:7">
      <c r="A420" t="s">
        <v>1583</v>
      </c>
      <c r="D420" s="548">
        <v>37623</v>
      </c>
      <c r="E420" t="s">
        <v>935</v>
      </c>
    </row>
    <row r="421" spans="1:7">
      <c r="A421" t="s">
        <v>1657</v>
      </c>
      <c r="D421" s="548">
        <v>37623</v>
      </c>
      <c r="E421" t="s">
        <v>937</v>
      </c>
      <c r="F421" s="548">
        <v>37623</v>
      </c>
      <c r="G421" t="s">
        <v>980</v>
      </c>
    </row>
    <row r="422" spans="1:7">
      <c r="A422" t="s">
        <v>1589</v>
      </c>
      <c r="D422" s="548">
        <v>37623</v>
      </c>
      <c r="E422" t="s">
        <v>938</v>
      </c>
    </row>
    <row r="423" spans="1:7">
      <c r="A423" t="s">
        <v>1592</v>
      </c>
      <c r="D423" s="548">
        <v>37623</v>
      </c>
      <c r="E423" t="s">
        <v>939</v>
      </c>
    </row>
    <row r="424" spans="1:7">
      <c r="A424" t="s">
        <v>1595</v>
      </c>
      <c r="D424" s="548">
        <v>37623</v>
      </c>
      <c r="E424" t="s">
        <v>940</v>
      </c>
    </row>
    <row r="425" spans="1:7">
      <c r="A425" t="s">
        <v>1598</v>
      </c>
      <c r="D425" s="548">
        <v>37623</v>
      </c>
      <c r="E425" t="s">
        <v>941</v>
      </c>
    </row>
    <row r="426" spans="1:7">
      <c r="A426" t="s">
        <v>1601</v>
      </c>
      <c r="D426" s="548">
        <v>37623</v>
      </c>
      <c r="E426" t="s">
        <v>942</v>
      </c>
    </row>
    <row r="427" spans="1:7">
      <c r="A427" t="s">
        <v>1604</v>
      </c>
      <c r="D427" s="548">
        <v>37623</v>
      </c>
      <c r="E427" t="s">
        <v>943</v>
      </c>
    </row>
    <row r="428" spans="1:7">
      <c r="A428" t="s">
        <v>1607</v>
      </c>
      <c r="D428" s="548">
        <v>37623</v>
      </c>
      <c r="E428" t="s">
        <v>944</v>
      </c>
    </row>
    <row r="429" spans="1:7">
      <c r="A429" t="s">
        <v>1610</v>
      </c>
      <c r="D429" s="548">
        <v>37623</v>
      </c>
      <c r="E429" t="s">
        <v>945</v>
      </c>
    </row>
    <row r="430" spans="1:7">
      <c r="A430" t="s">
        <v>1854</v>
      </c>
      <c r="D430" s="548">
        <v>37623</v>
      </c>
      <c r="E430" t="s">
        <v>946</v>
      </c>
    </row>
    <row r="431" spans="1:7">
      <c r="A431" t="s">
        <v>1855</v>
      </c>
      <c r="D431" s="548">
        <v>37623</v>
      </c>
      <c r="E431" t="s">
        <v>947</v>
      </c>
    </row>
    <row r="432" spans="1:7">
      <c r="A432" t="s">
        <v>1585</v>
      </c>
      <c r="D432" s="548">
        <v>37623</v>
      </c>
      <c r="E432" t="s">
        <v>949</v>
      </c>
    </row>
    <row r="433" spans="1:6">
      <c r="A433" t="s">
        <v>1613</v>
      </c>
      <c r="D433" s="548">
        <v>37623</v>
      </c>
      <c r="E433" t="s">
        <v>951</v>
      </c>
    </row>
    <row r="434" spans="1:6">
      <c r="A434" t="s">
        <v>1616</v>
      </c>
      <c r="D434" s="548">
        <v>37623</v>
      </c>
      <c r="E434" t="s">
        <v>952</v>
      </c>
    </row>
    <row r="435" spans="1:6">
      <c r="A435" t="s">
        <v>1619</v>
      </c>
      <c r="D435" s="548">
        <v>37623</v>
      </c>
      <c r="E435" t="s">
        <v>953</v>
      </c>
    </row>
    <row r="436" spans="1:6">
      <c r="A436" t="s">
        <v>1622</v>
      </c>
      <c r="D436" s="548">
        <v>37623</v>
      </c>
      <c r="E436" t="s">
        <v>954</v>
      </c>
    </row>
    <row r="437" spans="1:6">
      <c r="A437" t="s">
        <v>1625</v>
      </c>
      <c r="D437" s="548">
        <v>37623</v>
      </c>
      <c r="E437" t="s">
        <v>955</v>
      </c>
    </row>
    <row r="438" spans="1:6">
      <c r="A438" t="s">
        <v>1628</v>
      </c>
      <c r="D438" s="548">
        <v>37623</v>
      </c>
      <c r="E438" t="s">
        <v>956</v>
      </c>
      <c r="F438" s="548"/>
    </row>
    <row r="439" spans="1:6">
      <c r="A439" t="s">
        <v>1631</v>
      </c>
      <c r="D439" s="548">
        <v>37623</v>
      </c>
      <c r="E439" t="s">
        <v>957</v>
      </c>
    </row>
    <row r="440" spans="1:6">
      <c r="A440" t="s">
        <v>1634</v>
      </c>
      <c r="D440" s="548">
        <v>37623</v>
      </c>
      <c r="E440" t="s">
        <v>958</v>
      </c>
    </row>
    <row r="441" spans="1:6">
      <c r="A441" t="s">
        <v>1637</v>
      </c>
      <c r="D441" s="548">
        <v>37623</v>
      </c>
      <c r="E441" t="s">
        <v>959</v>
      </c>
    </row>
    <row r="442" spans="1:6">
      <c r="A442" t="s">
        <v>1640</v>
      </c>
      <c r="D442" s="548">
        <v>37623</v>
      </c>
      <c r="E442" t="s">
        <v>960</v>
      </c>
    </row>
    <row r="443" spans="1:6">
      <c r="A443" t="s">
        <v>1643</v>
      </c>
      <c r="D443" s="548">
        <v>37623</v>
      </c>
      <c r="E443" t="s">
        <v>961</v>
      </c>
    </row>
    <row r="444" spans="1:6">
      <c r="A444" t="s">
        <v>1646</v>
      </c>
      <c r="D444" s="548">
        <v>37623</v>
      </c>
      <c r="E444" t="s">
        <v>962</v>
      </c>
      <c r="F444" s="548"/>
    </row>
    <row r="445" spans="1:6">
      <c r="A445" t="s">
        <v>1649</v>
      </c>
      <c r="D445" s="548">
        <v>37623</v>
      </c>
      <c r="E445" t="s">
        <v>1028</v>
      </c>
      <c r="F445" s="548"/>
    </row>
    <row r="446" spans="1:6">
      <c r="A446" t="s">
        <v>1652</v>
      </c>
      <c r="D446" s="548">
        <v>37623</v>
      </c>
      <c r="E446" t="s">
        <v>963</v>
      </c>
      <c r="F446" s="548"/>
    </row>
    <row r="447" spans="1:6">
      <c r="A447" t="s">
        <v>1655</v>
      </c>
      <c r="D447" s="548">
        <v>37623</v>
      </c>
      <c r="E447" t="s">
        <v>964</v>
      </c>
      <c r="F447" s="548"/>
    </row>
    <row r="448" spans="1:6">
      <c r="A448" t="s">
        <v>1660</v>
      </c>
      <c r="D448" s="548">
        <v>37623</v>
      </c>
      <c r="E448" t="s">
        <v>965</v>
      </c>
    </row>
    <row r="449" spans="1:6">
      <c r="A449" t="s">
        <v>1664</v>
      </c>
      <c r="D449" s="548">
        <v>37623</v>
      </c>
      <c r="E449" t="s">
        <v>967</v>
      </c>
    </row>
    <row r="450" spans="1:6">
      <c r="A450" t="s">
        <v>1667</v>
      </c>
      <c r="D450" s="548">
        <v>37623</v>
      </c>
      <c r="E450" t="s">
        <v>968</v>
      </c>
    </row>
    <row r="451" spans="1:6">
      <c r="A451" t="s">
        <v>1673</v>
      </c>
      <c r="D451" s="548">
        <v>37623</v>
      </c>
      <c r="E451" t="s">
        <v>969</v>
      </c>
    </row>
    <row r="452" spans="1:6">
      <c r="A452" t="s">
        <v>1670</v>
      </c>
      <c r="D452" s="548">
        <v>37623</v>
      </c>
      <c r="E452" t="s">
        <v>970</v>
      </c>
    </row>
    <row r="453" spans="1:6">
      <c r="A453" t="s">
        <v>1676</v>
      </c>
      <c r="D453" s="548">
        <v>37623</v>
      </c>
      <c r="E453" t="s">
        <v>971</v>
      </c>
    </row>
    <row r="454" spans="1:6">
      <c r="A454" t="s">
        <v>1679</v>
      </c>
      <c r="D454" s="548">
        <v>37623</v>
      </c>
      <c r="E454" t="s">
        <v>972</v>
      </c>
    </row>
    <row r="455" spans="1:6">
      <c r="A455" t="s">
        <v>1760</v>
      </c>
      <c r="D455" s="548">
        <v>37623</v>
      </c>
      <c r="E455" t="s">
        <v>15</v>
      </c>
      <c r="F455" s="548"/>
    </row>
    <row r="456" spans="1:6">
      <c r="A456" t="s">
        <v>1762</v>
      </c>
      <c r="D456" s="548">
        <v>37623</v>
      </c>
      <c r="E456" t="s">
        <v>16</v>
      </c>
    </row>
    <row r="457" spans="1:6">
      <c r="A457" t="s">
        <v>1764</v>
      </c>
      <c r="D457" s="548">
        <v>37623</v>
      </c>
      <c r="E457" t="s">
        <v>17</v>
      </c>
    </row>
    <row r="458" spans="1:6">
      <c r="A458" t="s">
        <v>1766</v>
      </c>
      <c r="D458" s="548">
        <v>37623</v>
      </c>
      <c r="E458" t="s">
        <v>18</v>
      </c>
    </row>
    <row r="459" spans="1:6">
      <c r="A459" t="s">
        <v>1768</v>
      </c>
      <c r="D459" s="548">
        <v>37623</v>
      </c>
      <c r="E459" t="s">
        <v>19</v>
      </c>
    </row>
    <row r="460" spans="1:6">
      <c r="A460" t="s">
        <v>1770</v>
      </c>
      <c r="D460" s="548">
        <v>37623</v>
      </c>
      <c r="E460" t="s">
        <v>20</v>
      </c>
    </row>
    <row r="461" spans="1:6">
      <c r="A461" t="s">
        <v>1518</v>
      </c>
      <c r="D461" s="548">
        <v>37623</v>
      </c>
      <c r="E461" t="s">
        <v>21</v>
      </c>
    </row>
    <row r="462" spans="1:6">
      <c r="A462" t="s">
        <v>1691</v>
      </c>
      <c r="D462" s="548">
        <v>37623</v>
      </c>
      <c r="E462" t="s">
        <v>22</v>
      </c>
    </row>
    <row r="463" spans="1:6">
      <c r="A463" t="s">
        <v>1695</v>
      </c>
      <c r="D463" s="548">
        <v>37623</v>
      </c>
      <c r="E463" t="s">
        <v>23</v>
      </c>
    </row>
    <row r="464" spans="1:6">
      <c r="A464" t="s">
        <v>1697</v>
      </c>
      <c r="D464" s="548">
        <v>37623</v>
      </c>
      <c r="E464" t="s">
        <v>24</v>
      </c>
    </row>
    <row r="465" spans="1:5">
      <c r="A465" t="s">
        <v>1699</v>
      </c>
      <c r="D465" s="548">
        <v>37623</v>
      </c>
      <c r="E465" t="s">
        <v>25</v>
      </c>
    </row>
    <row r="466" spans="1:5">
      <c r="A466" t="s">
        <v>1701</v>
      </c>
      <c r="D466" s="548">
        <v>37623</v>
      </c>
      <c r="E466" t="s">
        <v>26</v>
      </c>
    </row>
    <row r="467" spans="1:5">
      <c r="A467" t="s">
        <v>1703</v>
      </c>
      <c r="D467" s="548">
        <v>37623</v>
      </c>
      <c r="E467" t="s">
        <v>27</v>
      </c>
    </row>
    <row r="468" spans="1:5">
      <c r="A468" t="s">
        <v>1706</v>
      </c>
      <c r="D468" s="548">
        <v>37623</v>
      </c>
      <c r="E468" t="s">
        <v>28</v>
      </c>
    </row>
    <row r="469" spans="1:5">
      <c r="A469" t="s">
        <v>1708</v>
      </c>
      <c r="D469" s="548">
        <v>37623</v>
      </c>
      <c r="E469" t="s">
        <v>29</v>
      </c>
    </row>
    <row r="470" spans="1:5">
      <c r="A470" t="s">
        <v>1710</v>
      </c>
      <c r="D470" s="548">
        <v>37623</v>
      </c>
      <c r="E470" t="s">
        <v>30</v>
      </c>
    </row>
    <row r="471" spans="1:5">
      <c r="A471" t="s">
        <v>1713</v>
      </c>
      <c r="D471" s="548">
        <v>37623</v>
      </c>
      <c r="E471" t="s">
        <v>31</v>
      </c>
    </row>
    <row r="472" spans="1:5">
      <c r="A472" t="s">
        <v>1715</v>
      </c>
      <c r="D472" s="548">
        <v>37623</v>
      </c>
      <c r="E472" t="s">
        <v>32</v>
      </c>
    </row>
    <row r="473" spans="1:5">
      <c r="A473" t="s">
        <v>1717</v>
      </c>
      <c r="D473" s="548">
        <v>37623</v>
      </c>
      <c r="E473" t="s">
        <v>33</v>
      </c>
    </row>
    <row r="474" spans="1:5">
      <c r="A474" t="s">
        <v>1719</v>
      </c>
      <c r="D474" s="548">
        <v>37623</v>
      </c>
      <c r="E474" t="s">
        <v>34</v>
      </c>
    </row>
    <row r="475" spans="1:5">
      <c r="A475" t="s">
        <v>1721</v>
      </c>
      <c r="D475" s="548">
        <v>37623</v>
      </c>
      <c r="E475" t="s">
        <v>35</v>
      </c>
    </row>
    <row r="476" spans="1:5">
      <c r="A476" t="s">
        <v>1724</v>
      </c>
      <c r="D476" s="548">
        <v>37623</v>
      </c>
      <c r="E476" t="s">
        <v>36</v>
      </c>
    </row>
    <row r="477" spans="1:5">
      <c r="A477" t="s">
        <v>1726</v>
      </c>
      <c r="D477" s="548">
        <v>37623</v>
      </c>
      <c r="E477" t="s">
        <v>37</v>
      </c>
    </row>
    <row r="478" spans="1:5">
      <c r="A478" t="s">
        <v>1728</v>
      </c>
      <c r="D478" s="548">
        <v>37623</v>
      </c>
      <c r="E478" t="s">
        <v>38</v>
      </c>
    </row>
    <row r="479" spans="1:5">
      <c r="A479" t="s">
        <v>1851</v>
      </c>
      <c r="D479" s="548">
        <v>37623</v>
      </c>
      <c r="E479" t="s">
        <v>39</v>
      </c>
    </row>
    <row r="480" spans="1:5">
      <c r="A480" t="s">
        <v>1731</v>
      </c>
      <c r="D480" s="548">
        <v>37623</v>
      </c>
      <c r="E480" t="s">
        <v>40</v>
      </c>
    </row>
    <row r="481" spans="1:15">
      <c r="A481" t="s">
        <v>1733</v>
      </c>
      <c r="D481" s="548">
        <v>37623</v>
      </c>
      <c r="E481" t="s">
        <v>41</v>
      </c>
    </row>
    <row r="482" spans="1:15">
      <c r="A482" t="s">
        <v>1735</v>
      </c>
      <c r="D482" s="548">
        <v>37623</v>
      </c>
      <c r="E482" t="s">
        <v>42</v>
      </c>
    </row>
    <row r="483" spans="1:15">
      <c r="A483" t="s">
        <v>1737</v>
      </c>
      <c r="D483" s="548">
        <v>37623</v>
      </c>
      <c r="E483" t="s">
        <v>43</v>
      </c>
    </row>
    <row r="484" spans="1:15">
      <c r="A484" t="s">
        <v>1739</v>
      </c>
      <c r="D484" s="548">
        <v>37623</v>
      </c>
      <c r="E484" t="s">
        <v>44</v>
      </c>
    </row>
    <row r="485" spans="1:15">
      <c r="A485" t="s">
        <v>1741</v>
      </c>
      <c r="D485" s="548">
        <v>37623</v>
      </c>
      <c r="E485" t="s">
        <v>45</v>
      </c>
    </row>
    <row r="486" spans="1:15">
      <c r="A486" t="s">
        <v>1743</v>
      </c>
      <c r="D486" s="548">
        <v>37623</v>
      </c>
      <c r="E486" t="s">
        <v>46</v>
      </c>
    </row>
    <row r="487" spans="1:15">
      <c r="A487" t="s">
        <v>1746</v>
      </c>
      <c r="D487" s="548">
        <v>37623</v>
      </c>
      <c r="E487" t="s">
        <v>47</v>
      </c>
    </row>
    <row r="488" spans="1:15">
      <c r="A488" t="s">
        <v>1748</v>
      </c>
      <c r="D488" s="548">
        <v>37623</v>
      </c>
      <c r="E488" t="s">
        <v>48</v>
      </c>
    </row>
    <row r="489" spans="1:15">
      <c r="A489" t="s">
        <v>1750</v>
      </c>
      <c r="D489" s="548">
        <v>37623</v>
      </c>
      <c r="E489" t="s">
        <v>49</v>
      </c>
    </row>
    <row r="490" spans="1:15">
      <c r="A490" t="s">
        <v>1752</v>
      </c>
      <c r="D490" s="548">
        <v>37623</v>
      </c>
      <c r="E490" t="s">
        <v>50</v>
      </c>
    </row>
    <row r="491" spans="1:15">
      <c r="A491" t="s">
        <v>1753</v>
      </c>
      <c r="D491" s="548">
        <v>37623</v>
      </c>
      <c r="E491" t="s">
        <v>51</v>
      </c>
    </row>
    <row r="492" spans="1:15">
      <c r="A492" t="s">
        <v>1757</v>
      </c>
      <c r="D492" s="548">
        <v>37623</v>
      </c>
      <c r="E492" t="s">
        <v>52</v>
      </c>
    </row>
    <row r="493" spans="1:15">
      <c r="A493" t="s">
        <v>1526</v>
      </c>
      <c r="D493" s="548">
        <v>37623</v>
      </c>
      <c r="E493" t="s">
        <v>1030</v>
      </c>
    </row>
    <row r="494" spans="1:15">
      <c r="A494" t="s">
        <v>1529</v>
      </c>
      <c r="D494" s="548">
        <v>37623</v>
      </c>
      <c r="E494" t="s">
        <v>1031</v>
      </c>
    </row>
    <row r="495" spans="1:15">
      <c r="A495" t="s">
        <v>1532</v>
      </c>
      <c r="D495" s="548">
        <v>37623</v>
      </c>
      <c r="E495" t="s">
        <v>1032</v>
      </c>
      <c r="F495" t="s">
        <v>1069</v>
      </c>
      <c r="G495" t="s">
        <v>784</v>
      </c>
      <c r="H495" t="s">
        <v>1175</v>
      </c>
      <c r="I495" t="s">
        <v>874</v>
      </c>
      <c r="J495" t="s">
        <v>1175</v>
      </c>
      <c r="K495" t="s">
        <v>945</v>
      </c>
      <c r="L495" t="s">
        <v>1182</v>
      </c>
      <c r="M495" t="s">
        <v>874</v>
      </c>
      <c r="N495" t="s">
        <v>1182</v>
      </c>
      <c r="O495" t="s">
        <v>945</v>
      </c>
    </row>
    <row r="496" spans="1:15">
      <c r="A496" t="s">
        <v>1535</v>
      </c>
      <c r="D496" s="548">
        <v>37623</v>
      </c>
      <c r="E496" t="s">
        <v>1033</v>
      </c>
      <c r="F496" t="s">
        <v>1069</v>
      </c>
      <c r="G496" t="s">
        <v>783</v>
      </c>
      <c r="H496" t="s">
        <v>1170</v>
      </c>
      <c r="I496" t="s">
        <v>753</v>
      </c>
    </row>
    <row r="497" spans="1:7">
      <c r="A497" t="s">
        <v>1538</v>
      </c>
      <c r="D497" s="548">
        <v>37623</v>
      </c>
      <c r="E497" t="s">
        <v>1034</v>
      </c>
      <c r="F497" s="548">
        <v>37623</v>
      </c>
      <c r="G497" t="s">
        <v>94</v>
      </c>
    </row>
    <row r="498" spans="1:7">
      <c r="A498" t="s">
        <v>1541</v>
      </c>
      <c r="D498" s="548">
        <v>37623</v>
      </c>
      <c r="E498" t="s">
        <v>1035</v>
      </c>
    </row>
    <row r="499" spans="1:7">
      <c r="A499" t="s">
        <v>1545</v>
      </c>
      <c r="D499" s="548">
        <v>37623</v>
      </c>
      <c r="E499" t="s">
        <v>1036</v>
      </c>
    </row>
    <row r="500" spans="1:7">
      <c r="A500" t="s">
        <v>1548</v>
      </c>
      <c r="D500" s="548">
        <v>37623</v>
      </c>
      <c r="E500" t="s">
        <v>53</v>
      </c>
    </row>
    <row r="501" spans="1:7">
      <c r="A501" t="s">
        <v>1551</v>
      </c>
      <c r="D501" s="548">
        <v>37623</v>
      </c>
      <c r="E501" t="s">
        <v>54</v>
      </c>
    </row>
    <row r="502" spans="1:7">
      <c r="A502" t="s">
        <v>1554</v>
      </c>
      <c r="D502" s="548">
        <v>37623</v>
      </c>
      <c r="E502" t="s">
        <v>55</v>
      </c>
    </row>
    <row r="503" spans="1:7">
      <c r="A503" t="s">
        <v>1557</v>
      </c>
      <c r="D503" s="548">
        <v>37623</v>
      </c>
      <c r="E503" t="s">
        <v>56</v>
      </c>
      <c r="F503" s="548">
        <v>37623</v>
      </c>
      <c r="G503" t="s">
        <v>105</v>
      </c>
    </row>
    <row r="504" spans="1:7">
      <c r="A504" t="s">
        <v>1560</v>
      </c>
      <c r="D504" s="548">
        <v>37623</v>
      </c>
      <c r="E504" t="s">
        <v>57</v>
      </c>
      <c r="F504" s="548">
        <v>37623</v>
      </c>
      <c r="G504" t="s">
        <v>106</v>
      </c>
    </row>
    <row r="505" spans="1:7">
      <c r="A505" t="s">
        <v>1563</v>
      </c>
      <c r="D505" s="548">
        <v>37623</v>
      </c>
      <c r="E505" t="s">
        <v>58</v>
      </c>
      <c r="F505" s="548">
        <v>37623</v>
      </c>
      <c r="G505" t="s">
        <v>107</v>
      </c>
    </row>
    <row r="506" spans="1:7">
      <c r="A506" t="s">
        <v>1566</v>
      </c>
      <c r="D506" s="548">
        <v>37623</v>
      </c>
      <c r="E506" t="s">
        <v>59</v>
      </c>
      <c r="F506" s="548">
        <v>37623</v>
      </c>
      <c r="G506" t="s">
        <v>108</v>
      </c>
    </row>
    <row r="507" spans="1:7">
      <c r="A507" t="s">
        <v>1569</v>
      </c>
      <c r="D507" s="548">
        <v>37623</v>
      </c>
      <c r="E507" t="s">
        <v>60</v>
      </c>
    </row>
    <row r="508" spans="1:7">
      <c r="A508" t="s">
        <v>1572</v>
      </c>
      <c r="D508" s="548">
        <v>37623</v>
      </c>
      <c r="E508" t="s">
        <v>1037</v>
      </c>
    </row>
    <row r="509" spans="1:7">
      <c r="A509" t="s">
        <v>1575</v>
      </c>
      <c r="D509" s="548">
        <v>37623</v>
      </c>
      <c r="E509" t="s">
        <v>61</v>
      </c>
    </row>
    <row r="510" spans="1:7">
      <c r="A510" t="s">
        <v>1578</v>
      </c>
      <c r="D510" s="548">
        <v>37623</v>
      </c>
      <c r="E510" t="s">
        <v>62</v>
      </c>
    </row>
    <row r="511" spans="1:7">
      <c r="A511" t="s">
        <v>1581</v>
      </c>
      <c r="D511" s="548">
        <v>37623</v>
      </c>
      <c r="E511" t="s">
        <v>63</v>
      </c>
    </row>
    <row r="512" spans="1:7">
      <c r="A512" t="s">
        <v>1933</v>
      </c>
      <c r="D512" s="548">
        <v>37623</v>
      </c>
      <c r="E512" t="s">
        <v>64</v>
      </c>
    </row>
    <row r="513" spans="1:7">
      <c r="A513" t="s">
        <v>1584</v>
      </c>
      <c r="D513" s="548">
        <v>37623</v>
      </c>
      <c r="E513" t="s">
        <v>65</v>
      </c>
    </row>
    <row r="514" spans="1:7">
      <c r="A514" t="s">
        <v>1658</v>
      </c>
      <c r="D514" s="548">
        <v>37623</v>
      </c>
      <c r="E514" t="s">
        <v>66</v>
      </c>
      <c r="F514" s="548">
        <v>37623</v>
      </c>
      <c r="G514" t="s">
        <v>109</v>
      </c>
    </row>
    <row r="515" spans="1:7">
      <c r="A515" t="s">
        <v>1590</v>
      </c>
      <c r="D515" s="548">
        <v>37623</v>
      </c>
      <c r="E515" t="s">
        <v>67</v>
      </c>
    </row>
    <row r="516" spans="1:7">
      <c r="A516" t="s">
        <v>1593</v>
      </c>
      <c r="D516" s="548">
        <v>37623</v>
      </c>
      <c r="E516" t="s">
        <v>68</v>
      </c>
    </row>
    <row r="517" spans="1:7">
      <c r="A517" t="s">
        <v>1596</v>
      </c>
      <c r="D517" s="548">
        <v>37623</v>
      </c>
      <c r="E517" t="s">
        <v>69</v>
      </c>
      <c r="F517" s="548"/>
    </row>
    <row r="518" spans="1:7">
      <c r="A518" t="s">
        <v>1599</v>
      </c>
      <c r="D518" s="548">
        <v>37623</v>
      </c>
      <c r="E518" t="s">
        <v>70</v>
      </c>
    </row>
    <row r="519" spans="1:7">
      <c r="A519" t="s">
        <v>1602</v>
      </c>
      <c r="D519" s="548">
        <v>37623</v>
      </c>
      <c r="E519" t="s">
        <v>71</v>
      </c>
      <c r="F519" s="548"/>
    </row>
    <row r="520" spans="1:7">
      <c r="A520" t="s">
        <v>1605</v>
      </c>
      <c r="D520" s="548">
        <v>37623</v>
      </c>
      <c r="E520" t="s">
        <v>72</v>
      </c>
    </row>
    <row r="521" spans="1:7">
      <c r="A521" t="s">
        <v>1608</v>
      </c>
      <c r="D521" s="548">
        <v>37623</v>
      </c>
      <c r="E521" t="s">
        <v>73</v>
      </c>
      <c r="F521" s="548"/>
    </row>
    <row r="522" spans="1:7">
      <c r="A522" t="s">
        <v>1611</v>
      </c>
      <c r="D522" s="548">
        <v>37623</v>
      </c>
      <c r="E522" t="s">
        <v>74</v>
      </c>
    </row>
    <row r="523" spans="1:7">
      <c r="A523" t="s">
        <v>1853</v>
      </c>
      <c r="D523" s="548">
        <v>37623</v>
      </c>
      <c r="E523" t="s">
        <v>75</v>
      </c>
      <c r="F523" s="548"/>
    </row>
    <row r="524" spans="1:7">
      <c r="A524" t="s">
        <v>1856</v>
      </c>
      <c r="D524" s="548">
        <v>37623</v>
      </c>
      <c r="E524" t="s">
        <v>76</v>
      </c>
    </row>
    <row r="525" spans="1:7">
      <c r="A525" t="s">
        <v>1586</v>
      </c>
      <c r="D525" s="548">
        <v>37623</v>
      </c>
      <c r="E525" t="s">
        <v>77</v>
      </c>
      <c r="F525" s="548"/>
    </row>
    <row r="526" spans="1:7">
      <c r="A526" t="s">
        <v>1614</v>
      </c>
      <c r="D526" s="548">
        <v>37623</v>
      </c>
      <c r="E526" t="s">
        <v>78</v>
      </c>
      <c r="F526" t="s">
        <v>1069</v>
      </c>
      <c r="G526" t="s">
        <v>778</v>
      </c>
    </row>
    <row r="527" spans="1:7">
      <c r="A527" t="s">
        <v>1617</v>
      </c>
      <c r="D527" s="548">
        <v>37623</v>
      </c>
      <c r="E527" t="s">
        <v>79</v>
      </c>
      <c r="F527" s="548"/>
    </row>
    <row r="528" spans="1:7">
      <c r="A528" t="s">
        <v>1620</v>
      </c>
      <c r="D528" s="548">
        <v>37623</v>
      </c>
      <c r="E528" t="s">
        <v>80</v>
      </c>
    </row>
    <row r="529" spans="1:9">
      <c r="A529" t="s">
        <v>1623</v>
      </c>
      <c r="D529" s="548">
        <v>37623</v>
      </c>
      <c r="E529" t="s">
        <v>81</v>
      </c>
    </row>
    <row r="530" spans="1:9">
      <c r="A530" t="s">
        <v>1626</v>
      </c>
      <c r="D530" s="548">
        <v>37623</v>
      </c>
      <c r="E530" t="s">
        <v>82</v>
      </c>
    </row>
    <row r="531" spans="1:9">
      <c r="A531" t="s">
        <v>1629</v>
      </c>
      <c r="D531" s="548">
        <v>37623</v>
      </c>
      <c r="E531" t="s">
        <v>83</v>
      </c>
    </row>
    <row r="532" spans="1:9">
      <c r="A532" t="s">
        <v>1632</v>
      </c>
      <c r="D532" s="548">
        <v>37623</v>
      </c>
      <c r="E532" t="s">
        <v>84</v>
      </c>
    </row>
    <row r="533" spans="1:9">
      <c r="A533" t="s">
        <v>1635</v>
      </c>
      <c r="D533" s="548">
        <v>37623</v>
      </c>
      <c r="E533" t="s">
        <v>85</v>
      </c>
    </row>
    <row r="534" spans="1:9">
      <c r="A534" t="s">
        <v>1638</v>
      </c>
      <c r="D534" s="548">
        <v>37623</v>
      </c>
      <c r="E534" t="s">
        <v>86</v>
      </c>
    </row>
    <row r="535" spans="1:9">
      <c r="A535" t="s">
        <v>1641</v>
      </c>
      <c r="D535" s="548">
        <v>37623</v>
      </c>
      <c r="E535" t="s">
        <v>87</v>
      </c>
    </row>
    <row r="536" spans="1:9">
      <c r="A536" t="s">
        <v>1644</v>
      </c>
      <c r="D536" s="548">
        <v>37623</v>
      </c>
      <c r="E536" t="s">
        <v>88</v>
      </c>
      <c r="F536" t="s">
        <v>1170</v>
      </c>
      <c r="G536" t="s">
        <v>1104</v>
      </c>
    </row>
    <row r="537" spans="1:9">
      <c r="A537" t="s">
        <v>1647</v>
      </c>
      <c r="D537" s="548">
        <v>37623</v>
      </c>
      <c r="E537" t="s">
        <v>89</v>
      </c>
      <c r="F537" t="s">
        <v>1069</v>
      </c>
      <c r="G537" t="s">
        <v>785</v>
      </c>
    </row>
    <row r="538" spans="1:9">
      <c r="A538" t="s">
        <v>1650</v>
      </c>
      <c r="D538" s="548">
        <v>37623</v>
      </c>
      <c r="E538" t="s">
        <v>90</v>
      </c>
    </row>
    <row r="539" spans="1:9">
      <c r="A539" t="s">
        <v>1653</v>
      </c>
      <c r="D539" s="548">
        <v>37623</v>
      </c>
      <c r="E539" t="s">
        <v>91</v>
      </c>
      <c r="F539" t="s">
        <v>1069</v>
      </c>
      <c r="G539" t="s">
        <v>781</v>
      </c>
      <c r="H539" t="s">
        <v>1170</v>
      </c>
      <c r="I539" t="s">
        <v>1106</v>
      </c>
    </row>
    <row r="540" spans="1:9">
      <c r="A540" t="s">
        <v>1656</v>
      </c>
      <c r="D540" s="548">
        <v>37623</v>
      </c>
      <c r="E540" t="s">
        <v>92</v>
      </c>
    </row>
    <row r="541" spans="1:9">
      <c r="A541" t="s">
        <v>1661</v>
      </c>
      <c r="D541" s="548">
        <v>37623</v>
      </c>
      <c r="E541" t="s">
        <v>93</v>
      </c>
    </row>
    <row r="542" spans="1:9">
      <c r="A542" t="s">
        <v>1665</v>
      </c>
      <c r="D542" s="548">
        <v>37623</v>
      </c>
      <c r="E542" t="s">
        <v>95</v>
      </c>
    </row>
    <row r="543" spans="1:9">
      <c r="A543" t="s">
        <v>1668</v>
      </c>
      <c r="D543" s="548">
        <v>37623</v>
      </c>
      <c r="E543" t="s">
        <v>96</v>
      </c>
    </row>
    <row r="544" spans="1:9">
      <c r="A544" t="s">
        <v>1674</v>
      </c>
      <c r="D544" s="548">
        <v>37623</v>
      </c>
      <c r="E544" t="s">
        <v>97</v>
      </c>
    </row>
    <row r="545" spans="1:5">
      <c r="A545" t="s">
        <v>1671</v>
      </c>
      <c r="D545" s="548">
        <v>37623</v>
      </c>
      <c r="E545" t="s">
        <v>98</v>
      </c>
    </row>
    <row r="546" spans="1:5">
      <c r="A546" t="s">
        <v>1677</v>
      </c>
      <c r="D546" s="548">
        <v>37623</v>
      </c>
      <c r="E546" t="s">
        <v>99</v>
      </c>
    </row>
    <row r="547" spans="1:5">
      <c r="A547" t="s">
        <v>1680</v>
      </c>
      <c r="D547" s="548">
        <v>37623</v>
      </c>
      <c r="E547" t="s">
        <v>100</v>
      </c>
    </row>
    <row r="548" spans="1:5">
      <c r="A548" t="s">
        <v>1682</v>
      </c>
      <c r="D548" s="548">
        <v>37623</v>
      </c>
      <c r="E548" t="s">
        <v>101</v>
      </c>
    </row>
    <row r="549" spans="1:5">
      <c r="A549" t="s">
        <v>1684</v>
      </c>
      <c r="D549" s="548">
        <v>37623</v>
      </c>
      <c r="E549" t="s">
        <v>102</v>
      </c>
    </row>
    <row r="550" spans="1:5">
      <c r="A550" t="s">
        <v>1686</v>
      </c>
      <c r="D550" s="548">
        <v>37623</v>
      </c>
      <c r="E550" t="s">
        <v>103</v>
      </c>
    </row>
    <row r="551" spans="1:5">
      <c r="A551" t="s">
        <v>1688</v>
      </c>
      <c r="D551" s="548">
        <v>37623</v>
      </c>
      <c r="E551" t="s">
        <v>104</v>
      </c>
    </row>
    <row r="552" spans="1:5">
      <c r="A552" t="s">
        <v>1692</v>
      </c>
      <c r="D552" s="548">
        <v>37623</v>
      </c>
      <c r="E552" t="s">
        <v>110</v>
      </c>
    </row>
    <row r="553" spans="1:5">
      <c r="A553" t="s">
        <v>2003</v>
      </c>
      <c r="D553" s="548">
        <v>37623</v>
      </c>
      <c r="E553" t="s">
        <v>884</v>
      </c>
    </row>
    <row r="554" spans="1:5">
      <c r="A554" t="s">
        <v>2433</v>
      </c>
      <c r="D554" s="548">
        <v>37623</v>
      </c>
      <c r="E554" t="s">
        <v>2461</v>
      </c>
    </row>
    <row r="555" spans="1:5">
      <c r="A555" t="s">
        <v>2434</v>
      </c>
      <c r="D555" s="548">
        <v>37623</v>
      </c>
      <c r="E555" t="s">
        <v>2462</v>
      </c>
    </row>
    <row r="556" spans="1:5">
      <c r="A556" t="s">
        <v>1519</v>
      </c>
      <c r="D556" s="548">
        <v>37623</v>
      </c>
      <c r="E556" t="s">
        <v>1039</v>
      </c>
    </row>
    <row r="557" spans="1:5">
      <c r="A557" t="s">
        <v>2107</v>
      </c>
      <c r="D557" s="548">
        <v>37623</v>
      </c>
      <c r="E557" t="s">
        <v>1040</v>
      </c>
    </row>
    <row r="558" spans="1:5">
      <c r="A558" t="s">
        <v>1935</v>
      </c>
      <c r="D558" s="548">
        <v>37623</v>
      </c>
      <c r="E558" t="s">
        <v>1041</v>
      </c>
    </row>
    <row r="559" spans="1:5">
      <c r="A559" t="s">
        <v>1520</v>
      </c>
      <c r="D559" s="548">
        <v>37623</v>
      </c>
      <c r="E559" t="s">
        <v>1042</v>
      </c>
    </row>
    <row r="560" spans="1:5">
      <c r="A560" t="s">
        <v>2108</v>
      </c>
      <c r="D560" s="548">
        <v>37623</v>
      </c>
      <c r="E560" t="s">
        <v>1043</v>
      </c>
    </row>
    <row r="561" spans="1:5">
      <c r="A561" t="s">
        <v>2015</v>
      </c>
      <c r="D561" s="548">
        <v>37623</v>
      </c>
      <c r="E561" t="s">
        <v>1044</v>
      </c>
    </row>
    <row r="562" spans="1:5">
      <c r="A562" t="s">
        <v>2016</v>
      </c>
      <c r="D562" s="548">
        <v>37623</v>
      </c>
      <c r="E562" t="s">
        <v>1045</v>
      </c>
    </row>
    <row r="563" spans="1:5">
      <c r="A563" t="s">
        <v>2017</v>
      </c>
      <c r="D563" s="548">
        <v>37623</v>
      </c>
      <c r="E563" t="s">
        <v>1046</v>
      </c>
    </row>
    <row r="564" spans="1:5">
      <c r="A564" t="s">
        <v>1927</v>
      </c>
      <c r="D564" s="548">
        <v>37623</v>
      </c>
      <c r="E564" t="s">
        <v>1047</v>
      </c>
    </row>
    <row r="565" spans="1:5">
      <c r="A565" t="s">
        <v>1930</v>
      </c>
      <c r="D565" s="548">
        <v>37623</v>
      </c>
      <c r="E565" t="s">
        <v>111</v>
      </c>
    </row>
    <row r="566" spans="1:5">
      <c r="A566" t="s">
        <v>1928</v>
      </c>
      <c r="D566" s="548">
        <v>37623</v>
      </c>
      <c r="E566" t="s">
        <v>1048</v>
      </c>
    </row>
    <row r="567" spans="1:5">
      <c r="A567" t="s">
        <v>1929</v>
      </c>
      <c r="D567" s="548">
        <v>37623</v>
      </c>
      <c r="E567" t="s">
        <v>112</v>
      </c>
    </row>
    <row r="568" spans="1:5">
      <c r="A568" t="s">
        <v>1934</v>
      </c>
      <c r="D568" s="548">
        <v>37623</v>
      </c>
      <c r="E568" t="s">
        <v>113</v>
      </c>
    </row>
    <row r="569" spans="1:5">
      <c r="A569" t="s">
        <v>2110</v>
      </c>
      <c r="D569" s="548">
        <v>37623</v>
      </c>
      <c r="E569" t="s">
        <v>1049</v>
      </c>
    </row>
    <row r="570" spans="1:5">
      <c r="A570" t="s">
        <v>2106</v>
      </c>
      <c r="D570" s="548">
        <v>37623</v>
      </c>
      <c r="E570" t="s">
        <v>1050</v>
      </c>
    </row>
    <row r="571" spans="1:5">
      <c r="A571" t="s">
        <v>2006</v>
      </c>
      <c r="D571" s="548">
        <v>37623</v>
      </c>
      <c r="E571" t="s">
        <v>1051</v>
      </c>
    </row>
    <row r="572" spans="1:5">
      <c r="A572" t="s">
        <v>1432</v>
      </c>
      <c r="D572" s="548">
        <v>37623</v>
      </c>
      <c r="E572" t="s">
        <v>114</v>
      </c>
    </row>
    <row r="573" spans="1:5">
      <c r="A573" t="s">
        <v>2061</v>
      </c>
      <c r="D573" s="548">
        <v>37623</v>
      </c>
      <c r="E573" t="s">
        <v>888</v>
      </c>
    </row>
    <row r="574" spans="1:5">
      <c r="A574" t="s">
        <v>2060</v>
      </c>
      <c r="D574" s="548">
        <v>37623</v>
      </c>
      <c r="E574" t="s">
        <v>1052</v>
      </c>
    </row>
    <row r="575" spans="1:5">
      <c r="A575" t="s">
        <v>2109</v>
      </c>
      <c r="D575" s="548">
        <v>37623</v>
      </c>
      <c r="E575" t="s">
        <v>1053</v>
      </c>
    </row>
    <row r="576" spans="1:5">
      <c r="A576" t="s">
        <v>2007</v>
      </c>
      <c r="D576" s="548">
        <v>37623</v>
      </c>
      <c r="E576" t="s">
        <v>1054</v>
      </c>
    </row>
    <row r="577" spans="1:7">
      <c r="A577" t="s">
        <v>2019</v>
      </c>
      <c r="D577" s="548">
        <v>37623</v>
      </c>
      <c r="E577" t="s">
        <v>115</v>
      </c>
    </row>
    <row r="578" spans="1:7">
      <c r="A578" t="s">
        <v>2360</v>
      </c>
      <c r="D578" s="548">
        <v>37623</v>
      </c>
      <c r="E578" t="s">
        <v>1055</v>
      </c>
      <c r="F578" s="548">
        <v>37623</v>
      </c>
      <c r="G578" t="s">
        <v>1056</v>
      </c>
    </row>
    <row r="579" spans="1:7">
      <c r="A579" t="s">
        <v>2010</v>
      </c>
      <c r="D579" s="548">
        <v>37623</v>
      </c>
      <c r="E579" t="s">
        <v>1057</v>
      </c>
    </row>
    <row r="580" spans="1:7">
      <c r="A580" t="s">
        <v>2009</v>
      </c>
      <c r="D580" s="548">
        <v>37623</v>
      </c>
      <c r="E580" t="s">
        <v>1058</v>
      </c>
      <c r="F580" s="548">
        <v>37623</v>
      </c>
      <c r="G580" t="s">
        <v>1064</v>
      </c>
    </row>
    <row r="581" spans="1:7">
      <c r="A581" t="s">
        <v>2020</v>
      </c>
      <c r="D581" s="548">
        <v>37623</v>
      </c>
      <c r="E581" t="s">
        <v>116</v>
      </c>
    </row>
    <row r="582" spans="1:7">
      <c r="A582" t="s">
        <v>2008</v>
      </c>
      <c r="D582" s="548">
        <v>37623</v>
      </c>
      <c r="E582" t="s">
        <v>1059</v>
      </c>
      <c r="F582" s="548">
        <v>37623</v>
      </c>
      <c r="G582" t="s">
        <v>1065</v>
      </c>
    </row>
    <row r="583" spans="1:7">
      <c r="A583" t="s">
        <v>2021</v>
      </c>
      <c r="D583" s="548">
        <v>37623</v>
      </c>
      <c r="E583" t="s">
        <v>117</v>
      </c>
    </row>
    <row r="584" spans="1:7">
      <c r="A584" t="s">
        <v>2014</v>
      </c>
      <c r="D584" s="548">
        <v>37623</v>
      </c>
      <c r="E584" t="s">
        <v>1060</v>
      </c>
      <c r="F584" s="548">
        <v>37623</v>
      </c>
      <c r="G584" t="s">
        <v>1066</v>
      </c>
    </row>
    <row r="585" spans="1:7">
      <c r="A585" t="s">
        <v>2029</v>
      </c>
      <c r="D585" s="548">
        <v>37623</v>
      </c>
      <c r="E585" t="s">
        <v>118</v>
      </c>
    </row>
    <row r="586" spans="1:7">
      <c r="A586" t="s">
        <v>2013</v>
      </c>
      <c r="D586" s="548">
        <v>37623</v>
      </c>
      <c r="E586" t="s">
        <v>1061</v>
      </c>
      <c r="F586" s="548">
        <v>37623</v>
      </c>
      <c r="G586" t="s">
        <v>1067</v>
      </c>
    </row>
    <row r="587" spans="1:7">
      <c r="A587" t="s">
        <v>2022</v>
      </c>
      <c r="D587" s="548">
        <v>37623</v>
      </c>
      <c r="E587" t="s">
        <v>119</v>
      </c>
    </row>
    <row r="588" spans="1:7">
      <c r="A588" t="s">
        <v>2012</v>
      </c>
      <c r="D588" s="548">
        <v>37623</v>
      </c>
      <c r="E588" t="s">
        <v>1062</v>
      </c>
      <c r="F588" s="548">
        <v>37623</v>
      </c>
      <c r="G588" t="s">
        <v>1068</v>
      </c>
    </row>
    <row r="589" spans="1:7">
      <c r="A589" t="s">
        <v>2023</v>
      </c>
      <c r="D589" s="548">
        <v>37623</v>
      </c>
      <c r="E589" t="s">
        <v>120</v>
      </c>
    </row>
    <row r="590" spans="1:7">
      <c r="A590" t="s">
        <v>2011</v>
      </c>
      <c r="D590" s="548">
        <v>37623</v>
      </c>
      <c r="E590" t="s">
        <v>1063</v>
      </c>
    </row>
    <row r="591" spans="1:7">
      <c r="A591" t="s">
        <v>2024</v>
      </c>
      <c r="D591" s="548">
        <v>37623</v>
      </c>
      <c r="E591" t="s">
        <v>121</v>
      </c>
    </row>
    <row r="592" spans="1:7">
      <c r="A592" t="s">
        <v>2025</v>
      </c>
      <c r="D592" s="548">
        <v>37623</v>
      </c>
      <c r="E592" t="s">
        <v>122</v>
      </c>
    </row>
    <row r="593" spans="1:7">
      <c r="A593" t="s">
        <v>2026</v>
      </c>
      <c r="D593" s="548">
        <v>37623</v>
      </c>
      <c r="E593" t="s">
        <v>123</v>
      </c>
    </row>
    <row r="594" spans="1:7">
      <c r="A594" t="s">
        <v>2027</v>
      </c>
      <c r="D594" s="548">
        <v>37623</v>
      </c>
      <c r="E594" t="s">
        <v>124</v>
      </c>
    </row>
    <row r="595" spans="1:7">
      <c r="A595" t="s">
        <v>2028</v>
      </c>
      <c r="D595" s="548">
        <v>37623</v>
      </c>
      <c r="E595" t="s">
        <v>125</v>
      </c>
    </row>
    <row r="596" spans="1:7">
      <c r="A596" t="s">
        <v>1957</v>
      </c>
      <c r="D596" t="s">
        <v>1069</v>
      </c>
      <c r="E596" t="s">
        <v>1070</v>
      </c>
    </row>
    <row r="597" spans="1:7">
      <c r="A597" t="s">
        <v>1958</v>
      </c>
      <c r="D597" t="s">
        <v>1069</v>
      </c>
      <c r="E597" t="s">
        <v>775</v>
      </c>
    </row>
    <row r="598" spans="1:7">
      <c r="A598" t="s">
        <v>1959</v>
      </c>
      <c r="D598" t="s">
        <v>1069</v>
      </c>
      <c r="E598" t="s">
        <v>777</v>
      </c>
    </row>
    <row r="599" spans="1:7">
      <c r="A599" t="s">
        <v>1960</v>
      </c>
      <c r="D599" t="s">
        <v>1069</v>
      </c>
      <c r="E599" t="s">
        <v>779</v>
      </c>
    </row>
    <row r="600" spans="1:7">
      <c r="A600" t="s">
        <v>1961</v>
      </c>
      <c r="D600" t="s">
        <v>1069</v>
      </c>
      <c r="E600" t="s">
        <v>780</v>
      </c>
    </row>
    <row r="601" spans="1:7">
      <c r="A601" t="s">
        <v>1962</v>
      </c>
      <c r="D601" t="s">
        <v>1069</v>
      </c>
      <c r="E601" t="s">
        <v>782</v>
      </c>
    </row>
    <row r="602" spans="1:7">
      <c r="A602" t="s">
        <v>1977</v>
      </c>
      <c r="D602" t="s">
        <v>1069</v>
      </c>
      <c r="E602" t="s">
        <v>786</v>
      </c>
    </row>
    <row r="603" spans="1:7">
      <c r="A603" t="s">
        <v>1947</v>
      </c>
      <c r="D603" t="s">
        <v>1069</v>
      </c>
      <c r="E603" t="s">
        <v>787</v>
      </c>
      <c r="F603" t="s">
        <v>1069</v>
      </c>
      <c r="G603" t="s">
        <v>884</v>
      </c>
    </row>
    <row r="604" spans="1:7">
      <c r="A604" t="s">
        <v>1978</v>
      </c>
      <c r="D604" t="s">
        <v>1069</v>
      </c>
      <c r="E604" t="s">
        <v>788</v>
      </c>
    </row>
    <row r="605" spans="1:7">
      <c r="A605" t="s">
        <v>1979</v>
      </c>
      <c r="D605" t="s">
        <v>1069</v>
      </c>
      <c r="E605" t="s">
        <v>789</v>
      </c>
    </row>
    <row r="606" spans="1:7">
      <c r="A606" t="s">
        <v>1980</v>
      </c>
      <c r="D606" t="s">
        <v>1069</v>
      </c>
      <c r="E606" t="s">
        <v>790</v>
      </c>
    </row>
    <row r="607" spans="1:7">
      <c r="A607" t="s">
        <v>1981</v>
      </c>
      <c r="D607" t="s">
        <v>1069</v>
      </c>
      <c r="E607" t="s">
        <v>791</v>
      </c>
    </row>
    <row r="608" spans="1:7">
      <c r="A608" t="s">
        <v>1982</v>
      </c>
      <c r="D608" t="s">
        <v>1069</v>
      </c>
      <c r="E608" t="s">
        <v>792</v>
      </c>
    </row>
    <row r="609" spans="1:11">
      <c r="A609" t="s">
        <v>1983</v>
      </c>
      <c r="D609" t="s">
        <v>1069</v>
      </c>
      <c r="E609" t="s">
        <v>793</v>
      </c>
    </row>
    <row r="610" spans="1:11">
      <c r="A610" t="s">
        <v>1984</v>
      </c>
      <c r="D610" t="s">
        <v>1069</v>
      </c>
      <c r="E610" t="s">
        <v>794</v>
      </c>
    </row>
    <row r="611" spans="1:11">
      <c r="A611" t="s">
        <v>1974</v>
      </c>
      <c r="D611" t="s">
        <v>1069</v>
      </c>
      <c r="E611" t="s">
        <v>796</v>
      </c>
      <c r="F611" t="s">
        <v>1069</v>
      </c>
      <c r="G611" t="s">
        <v>809</v>
      </c>
    </row>
    <row r="612" spans="1:11">
      <c r="A612" t="s">
        <v>1963</v>
      </c>
      <c r="D612" t="s">
        <v>1069</v>
      </c>
      <c r="E612" t="s">
        <v>797</v>
      </c>
    </row>
    <row r="613" spans="1:11">
      <c r="A613" t="s">
        <v>1964</v>
      </c>
      <c r="D613" t="s">
        <v>1069</v>
      </c>
      <c r="E613" t="s">
        <v>798</v>
      </c>
      <c r="F613" t="s">
        <v>1069</v>
      </c>
      <c r="G613" t="s">
        <v>811</v>
      </c>
      <c r="H613" t="s">
        <v>1069</v>
      </c>
      <c r="I613" t="s">
        <v>825</v>
      </c>
      <c r="J613" t="s">
        <v>1069</v>
      </c>
      <c r="K613" t="s">
        <v>840</v>
      </c>
    </row>
    <row r="614" spans="1:11">
      <c r="A614" t="s">
        <v>1965</v>
      </c>
      <c r="D614" t="s">
        <v>1069</v>
      </c>
      <c r="E614" t="s">
        <v>799</v>
      </c>
      <c r="F614" t="s">
        <v>1069</v>
      </c>
      <c r="G614" t="s">
        <v>812</v>
      </c>
      <c r="H614" t="s">
        <v>1069</v>
      </c>
      <c r="I614" t="s">
        <v>826</v>
      </c>
      <c r="J614" t="s">
        <v>1069</v>
      </c>
      <c r="K614" t="s">
        <v>841</v>
      </c>
    </row>
    <row r="615" spans="1:11">
      <c r="A615" t="s">
        <v>1966</v>
      </c>
      <c r="D615" t="s">
        <v>1069</v>
      </c>
      <c r="E615" t="s">
        <v>800</v>
      </c>
      <c r="F615" t="s">
        <v>1069</v>
      </c>
      <c r="G615" t="s">
        <v>813</v>
      </c>
      <c r="H615" t="s">
        <v>1069</v>
      </c>
      <c r="I615" t="s">
        <v>827</v>
      </c>
      <c r="J615" t="s">
        <v>1069</v>
      </c>
      <c r="K615" t="s">
        <v>842</v>
      </c>
    </row>
    <row r="616" spans="1:11">
      <c r="A616" t="s">
        <v>1967</v>
      </c>
      <c r="D616" t="s">
        <v>1069</v>
      </c>
      <c r="E616" t="s">
        <v>801</v>
      </c>
      <c r="F616" t="s">
        <v>1069</v>
      </c>
      <c r="G616" t="s">
        <v>814</v>
      </c>
      <c r="H616" t="s">
        <v>1069</v>
      </c>
      <c r="I616" t="s">
        <v>828</v>
      </c>
      <c r="J616" t="s">
        <v>1069</v>
      </c>
      <c r="K616" t="s">
        <v>843</v>
      </c>
    </row>
    <row r="617" spans="1:11">
      <c r="A617" t="s">
        <v>1968</v>
      </c>
      <c r="D617" t="s">
        <v>1069</v>
      </c>
      <c r="E617" t="s">
        <v>802</v>
      </c>
      <c r="F617" t="s">
        <v>1069</v>
      </c>
      <c r="G617" t="s">
        <v>815</v>
      </c>
      <c r="H617" t="s">
        <v>1069</v>
      </c>
      <c r="I617" t="s">
        <v>829</v>
      </c>
      <c r="J617" t="s">
        <v>1069</v>
      </c>
      <c r="K617" t="s">
        <v>844</v>
      </c>
    </row>
    <row r="618" spans="1:11">
      <c r="A618" t="s">
        <v>1969</v>
      </c>
      <c r="D618" t="s">
        <v>1069</v>
      </c>
      <c r="E618" t="s">
        <v>803</v>
      </c>
      <c r="F618" t="s">
        <v>1069</v>
      </c>
      <c r="G618" t="s">
        <v>816</v>
      </c>
      <c r="H618" t="s">
        <v>1069</v>
      </c>
      <c r="I618" t="s">
        <v>830</v>
      </c>
      <c r="J618" t="s">
        <v>1069</v>
      </c>
      <c r="K618" t="s">
        <v>845</v>
      </c>
    </row>
    <row r="619" spans="1:11">
      <c r="A619" t="s">
        <v>1970</v>
      </c>
      <c r="D619" t="s">
        <v>1069</v>
      </c>
      <c r="E619" t="s">
        <v>804</v>
      </c>
      <c r="F619" t="s">
        <v>1069</v>
      </c>
      <c r="G619" t="s">
        <v>817</v>
      </c>
      <c r="H619" t="s">
        <v>1069</v>
      </c>
      <c r="I619" t="s">
        <v>831</v>
      </c>
      <c r="J619" t="s">
        <v>1069</v>
      </c>
      <c r="K619" t="s">
        <v>846</v>
      </c>
    </row>
    <row r="620" spans="1:11">
      <c r="A620" t="s">
        <v>1971</v>
      </c>
      <c r="D620" t="s">
        <v>1069</v>
      </c>
      <c r="E620" t="s">
        <v>805</v>
      </c>
      <c r="F620" t="s">
        <v>1069</v>
      </c>
      <c r="G620" t="s">
        <v>818</v>
      </c>
      <c r="H620" t="s">
        <v>1069</v>
      </c>
      <c r="I620" t="s">
        <v>832</v>
      </c>
      <c r="J620" t="s">
        <v>1069</v>
      </c>
      <c r="K620" t="s">
        <v>847</v>
      </c>
    </row>
    <row r="621" spans="1:11">
      <c r="A621" t="s">
        <v>1972</v>
      </c>
      <c r="D621" t="s">
        <v>1069</v>
      </c>
      <c r="E621" t="s">
        <v>806</v>
      </c>
      <c r="F621" t="s">
        <v>1069</v>
      </c>
      <c r="G621" t="s">
        <v>819</v>
      </c>
      <c r="H621" t="s">
        <v>1069</v>
      </c>
      <c r="I621" t="s">
        <v>833</v>
      </c>
      <c r="J621" t="s">
        <v>1069</v>
      </c>
      <c r="K621" t="s">
        <v>848</v>
      </c>
    </row>
    <row r="622" spans="1:11">
      <c r="A622" t="s">
        <v>1973</v>
      </c>
      <c r="D622" t="s">
        <v>1069</v>
      </c>
      <c r="E622" t="s">
        <v>807</v>
      </c>
      <c r="F622" t="s">
        <v>1069</v>
      </c>
      <c r="G622" t="s">
        <v>820</v>
      </c>
      <c r="H622" t="s">
        <v>1069</v>
      </c>
      <c r="I622" t="s">
        <v>834</v>
      </c>
      <c r="J622" t="s">
        <v>1069</v>
      </c>
      <c r="K622" t="s">
        <v>849</v>
      </c>
    </row>
    <row r="623" spans="1:11">
      <c r="A623" t="s">
        <v>1985</v>
      </c>
      <c r="D623" t="s">
        <v>1069</v>
      </c>
      <c r="E623" t="s">
        <v>810</v>
      </c>
      <c r="F623" t="s">
        <v>1069</v>
      </c>
      <c r="G623" t="s">
        <v>824</v>
      </c>
      <c r="H623" t="s">
        <v>1069</v>
      </c>
      <c r="I623" t="s">
        <v>839</v>
      </c>
    </row>
    <row r="624" spans="1:11">
      <c r="A624" t="s">
        <v>2005</v>
      </c>
      <c r="D624" t="s">
        <v>1069</v>
      </c>
      <c r="E624" t="s">
        <v>823</v>
      </c>
    </row>
    <row r="625" spans="1:17">
      <c r="A625" t="s">
        <v>1942</v>
      </c>
      <c r="D625" t="s">
        <v>1069</v>
      </c>
      <c r="E625" t="s">
        <v>836</v>
      </c>
      <c r="F625" t="s">
        <v>1069</v>
      </c>
      <c r="G625" t="s">
        <v>851</v>
      </c>
      <c r="H625" t="s">
        <v>1069</v>
      </c>
      <c r="I625" t="s">
        <v>1072</v>
      </c>
      <c r="J625" t="s">
        <v>1170</v>
      </c>
      <c r="K625" t="s">
        <v>1128</v>
      </c>
    </row>
    <row r="626" spans="1:17">
      <c r="A626" t="s">
        <v>2004</v>
      </c>
      <c r="D626" t="s">
        <v>1069</v>
      </c>
      <c r="E626" t="s">
        <v>838</v>
      </c>
    </row>
    <row r="627" spans="1:17">
      <c r="A627" t="s">
        <v>1943</v>
      </c>
      <c r="D627" t="s">
        <v>1069</v>
      </c>
      <c r="E627" t="s">
        <v>1071</v>
      </c>
    </row>
    <row r="628" spans="1:17">
      <c r="A628" t="s">
        <v>1944</v>
      </c>
      <c r="D628" t="s">
        <v>1069</v>
      </c>
      <c r="E628" t="s">
        <v>1023</v>
      </c>
    </row>
    <row r="629" spans="1:17">
      <c r="A629" t="s">
        <v>1975</v>
      </c>
      <c r="D629" t="s">
        <v>1069</v>
      </c>
      <c r="E629" t="s">
        <v>924</v>
      </c>
    </row>
    <row r="630" spans="1:17">
      <c r="A630" t="s">
        <v>1976</v>
      </c>
      <c r="D630" t="s">
        <v>1069</v>
      </c>
      <c r="E630" t="s">
        <v>877</v>
      </c>
    </row>
    <row r="631" spans="1:17">
      <c r="A631" t="s">
        <v>1945</v>
      </c>
      <c r="D631" t="s">
        <v>1069</v>
      </c>
      <c r="E631" t="s">
        <v>1073</v>
      </c>
    </row>
    <row r="632" spans="1:17">
      <c r="A632" t="s">
        <v>1949</v>
      </c>
      <c r="D632" t="s">
        <v>1069</v>
      </c>
      <c r="E632" t="s">
        <v>1074</v>
      </c>
      <c r="F632" t="s">
        <v>1069</v>
      </c>
      <c r="G632" t="s">
        <v>1079</v>
      </c>
      <c r="H632" t="s">
        <v>1170</v>
      </c>
      <c r="I632" t="s">
        <v>780</v>
      </c>
    </row>
    <row r="633" spans="1:17">
      <c r="A633" t="s">
        <v>1946</v>
      </c>
      <c r="D633" t="s">
        <v>1069</v>
      </c>
      <c r="E633" t="s">
        <v>882</v>
      </c>
    </row>
    <row r="634" spans="1:17">
      <c r="A634" t="s">
        <v>1950</v>
      </c>
      <c r="D634" t="s">
        <v>1069</v>
      </c>
      <c r="E634" t="s">
        <v>1075</v>
      </c>
      <c r="F634" t="s">
        <v>1069</v>
      </c>
      <c r="G634" t="s">
        <v>1053</v>
      </c>
      <c r="H634" t="s">
        <v>1170</v>
      </c>
      <c r="I634" t="s">
        <v>931</v>
      </c>
    </row>
    <row r="635" spans="1:17">
      <c r="A635" t="s">
        <v>1951</v>
      </c>
      <c r="D635" t="s">
        <v>1069</v>
      </c>
      <c r="E635" t="s">
        <v>1038</v>
      </c>
      <c r="F635" t="s">
        <v>1069</v>
      </c>
      <c r="G635" t="s">
        <v>1056</v>
      </c>
      <c r="H635" t="s">
        <v>1170</v>
      </c>
      <c r="I635" t="s">
        <v>1171</v>
      </c>
    </row>
    <row r="636" spans="1:17">
      <c r="A636" t="s">
        <v>1948</v>
      </c>
      <c r="D636" t="s">
        <v>1069</v>
      </c>
      <c r="E636" t="s">
        <v>1076</v>
      </c>
    </row>
    <row r="637" spans="1:17">
      <c r="A637" t="s">
        <v>1953</v>
      </c>
      <c r="D637" t="s">
        <v>1069</v>
      </c>
      <c r="E637" t="s">
        <v>1077</v>
      </c>
      <c r="F637" t="s">
        <v>1069</v>
      </c>
      <c r="G637" t="s">
        <v>1081</v>
      </c>
    </row>
    <row r="638" spans="1:17">
      <c r="A638" t="s">
        <v>1952</v>
      </c>
      <c r="D638" t="s">
        <v>1069</v>
      </c>
      <c r="E638" t="s">
        <v>1078</v>
      </c>
      <c r="F638" t="s">
        <v>1069</v>
      </c>
      <c r="G638" t="s">
        <v>1052</v>
      </c>
      <c r="H638" t="s">
        <v>1069</v>
      </c>
      <c r="I638" t="s">
        <v>1055</v>
      </c>
      <c r="J638" t="s">
        <v>1069</v>
      </c>
      <c r="K638" t="s">
        <v>1080</v>
      </c>
      <c r="L638" t="s">
        <v>1069</v>
      </c>
      <c r="M638" t="s">
        <v>1085</v>
      </c>
      <c r="N638" t="s">
        <v>1069</v>
      </c>
      <c r="O638" t="s">
        <v>1087</v>
      </c>
      <c r="P638" t="s">
        <v>1069</v>
      </c>
      <c r="Q638" t="s">
        <v>1089</v>
      </c>
    </row>
    <row r="639" spans="1:17">
      <c r="A639" t="s">
        <v>1954</v>
      </c>
      <c r="D639" t="s">
        <v>1069</v>
      </c>
      <c r="E639" t="s">
        <v>1082</v>
      </c>
      <c r="F639" t="s">
        <v>1069</v>
      </c>
      <c r="G639" t="s">
        <v>1086</v>
      </c>
    </row>
    <row r="640" spans="1:17">
      <c r="A640" t="s">
        <v>1955</v>
      </c>
      <c r="D640" t="s">
        <v>1069</v>
      </c>
      <c r="E640" t="s">
        <v>1083</v>
      </c>
      <c r="F640" t="s">
        <v>1069</v>
      </c>
      <c r="G640" t="s">
        <v>1088</v>
      </c>
    </row>
    <row r="641" spans="1:103">
      <c r="A641" t="s">
        <v>1956</v>
      </c>
      <c r="D641" t="s">
        <v>1069</v>
      </c>
      <c r="E641" t="s">
        <v>1084</v>
      </c>
      <c r="F641" t="s">
        <v>1069</v>
      </c>
      <c r="G641" t="s">
        <v>1090</v>
      </c>
    </row>
    <row r="642" spans="1:103">
      <c r="A642" t="s">
        <v>1787</v>
      </c>
      <c r="D642" t="s">
        <v>1097</v>
      </c>
      <c r="E642" t="s">
        <v>1091</v>
      </c>
    </row>
    <row r="643" spans="1:103">
      <c r="A643" t="s">
        <v>1790</v>
      </c>
      <c r="D643" t="s">
        <v>1097</v>
      </c>
      <c r="E643" t="s">
        <v>752</v>
      </c>
      <c r="F643" t="s">
        <v>1097</v>
      </c>
      <c r="G643" t="s">
        <v>1098</v>
      </c>
      <c r="H643" t="s">
        <v>1097</v>
      </c>
      <c r="I643" t="s">
        <v>1092</v>
      </c>
      <c r="J643" t="s">
        <v>1097</v>
      </c>
      <c r="K643" t="s">
        <v>1093</v>
      </c>
      <c r="L643" t="s">
        <v>1097</v>
      </c>
      <c r="M643" t="s">
        <v>753</v>
      </c>
      <c r="N643" t="s">
        <v>1097</v>
      </c>
      <c r="O643" t="s">
        <v>1099</v>
      </c>
      <c r="P643" t="s">
        <v>1097</v>
      </c>
      <c r="Q643" t="s">
        <v>754</v>
      </c>
      <c r="R643" t="s">
        <v>1097</v>
      </c>
      <c r="S643" t="s">
        <v>1100</v>
      </c>
      <c r="T643" t="s">
        <v>1097</v>
      </c>
      <c r="U643" t="s">
        <v>1101</v>
      </c>
      <c r="V643" t="s">
        <v>1097</v>
      </c>
      <c r="W643" t="s">
        <v>1094</v>
      </c>
      <c r="X643" t="s">
        <v>1097</v>
      </c>
      <c r="Y643" t="s">
        <v>1102</v>
      </c>
      <c r="Z643" t="s">
        <v>1097</v>
      </c>
      <c r="AA643" t="s">
        <v>1103</v>
      </c>
      <c r="AB643" t="s">
        <v>1097</v>
      </c>
      <c r="AC643" t="s">
        <v>1104</v>
      </c>
      <c r="AD643" t="s">
        <v>1097</v>
      </c>
      <c r="AE643" t="s">
        <v>1105</v>
      </c>
      <c r="AF643" t="s">
        <v>1097</v>
      </c>
      <c r="AG643" t="s">
        <v>1106</v>
      </c>
      <c r="AH643" t="s">
        <v>1097</v>
      </c>
      <c r="AI643" t="s">
        <v>1107</v>
      </c>
      <c r="AJ643" t="s">
        <v>1097</v>
      </c>
      <c r="AK643" t="s">
        <v>1108</v>
      </c>
      <c r="AL643" t="s">
        <v>1097</v>
      </c>
      <c r="AM643" t="s">
        <v>1109</v>
      </c>
      <c r="AN643" t="s">
        <v>1097</v>
      </c>
      <c r="AO643" t="s">
        <v>1095</v>
      </c>
      <c r="AP643" t="s">
        <v>1097</v>
      </c>
      <c r="AQ643" t="s">
        <v>755</v>
      </c>
      <c r="AR643" t="s">
        <v>1097</v>
      </c>
      <c r="AS643" t="s">
        <v>1110</v>
      </c>
      <c r="AT643" t="s">
        <v>1097</v>
      </c>
      <c r="AU643" t="s">
        <v>1111</v>
      </c>
      <c r="AV643" t="s">
        <v>1097</v>
      </c>
      <c r="AW643" t="s">
        <v>1112</v>
      </c>
      <c r="AX643" t="s">
        <v>1097</v>
      </c>
      <c r="AY643" t="s">
        <v>1113</v>
      </c>
      <c r="AZ643" t="s">
        <v>1097</v>
      </c>
      <c r="BA643" t="s">
        <v>1114</v>
      </c>
      <c r="BB643" t="s">
        <v>1097</v>
      </c>
      <c r="BC643" t="s">
        <v>1115</v>
      </c>
      <c r="BD643" t="s">
        <v>1097</v>
      </c>
      <c r="BE643" t="s">
        <v>1116</v>
      </c>
      <c r="BF643" t="s">
        <v>1097</v>
      </c>
      <c r="BG643" t="s">
        <v>1117</v>
      </c>
      <c r="BH643" t="s">
        <v>1097</v>
      </c>
      <c r="BI643" t="s">
        <v>1118</v>
      </c>
      <c r="BJ643" t="s">
        <v>1097</v>
      </c>
      <c r="BK643" t="s">
        <v>1119</v>
      </c>
      <c r="BL643" t="s">
        <v>1097</v>
      </c>
      <c r="BM643" t="s">
        <v>1120</v>
      </c>
      <c r="BN643" t="s">
        <v>1097</v>
      </c>
      <c r="BO643" t="s">
        <v>1121</v>
      </c>
      <c r="BP643" t="s">
        <v>1097</v>
      </c>
      <c r="BQ643" t="s">
        <v>1122</v>
      </c>
      <c r="BR643" t="s">
        <v>1097</v>
      </c>
      <c r="BS643" t="s">
        <v>1123</v>
      </c>
      <c r="BT643" t="s">
        <v>1097</v>
      </c>
      <c r="BU643" t="s">
        <v>1124</v>
      </c>
      <c r="BV643" t="s">
        <v>1097</v>
      </c>
      <c r="BW643" t="s">
        <v>1125</v>
      </c>
      <c r="BX643" t="s">
        <v>1097</v>
      </c>
      <c r="BY643" t="s">
        <v>1126</v>
      </c>
      <c r="BZ643" t="s">
        <v>1097</v>
      </c>
      <c r="CA643" t="s">
        <v>1096</v>
      </c>
      <c r="CB643" t="s">
        <v>1097</v>
      </c>
      <c r="CC643" t="s">
        <v>1127</v>
      </c>
      <c r="CD643" t="s">
        <v>1097</v>
      </c>
      <c r="CE643" t="s">
        <v>1128</v>
      </c>
      <c r="CF643" t="s">
        <v>1097</v>
      </c>
      <c r="CG643" t="s">
        <v>1129</v>
      </c>
      <c r="CH643" t="s">
        <v>1097</v>
      </c>
      <c r="CI643" t="s">
        <v>1130</v>
      </c>
      <c r="CJ643" t="s">
        <v>1097</v>
      </c>
      <c r="CK643" t="s">
        <v>1131</v>
      </c>
      <c r="CL643" t="s">
        <v>1097</v>
      </c>
      <c r="CM643" t="s">
        <v>1132</v>
      </c>
      <c r="CN643" t="s">
        <v>1097</v>
      </c>
      <c r="CO643" t="s">
        <v>1133</v>
      </c>
      <c r="CP643" t="s">
        <v>1097</v>
      </c>
      <c r="CQ643" t="s">
        <v>995</v>
      </c>
      <c r="CR643" t="s">
        <v>1097</v>
      </c>
      <c r="CS643" t="s">
        <v>996</v>
      </c>
      <c r="CT643" t="s">
        <v>1097</v>
      </c>
      <c r="CU643" t="s">
        <v>997</v>
      </c>
      <c r="CV643" t="s">
        <v>1097</v>
      </c>
      <c r="CW643" t="s">
        <v>1134</v>
      </c>
      <c r="CX643" t="s">
        <v>1097</v>
      </c>
      <c r="CY643" t="s">
        <v>1135</v>
      </c>
    </row>
    <row r="644" spans="1:103">
      <c r="A644" t="s">
        <v>1823</v>
      </c>
      <c r="D644" t="s">
        <v>1097</v>
      </c>
      <c r="E644" t="s">
        <v>1136</v>
      </c>
      <c r="F644" t="s">
        <v>1097</v>
      </c>
      <c r="G644" t="s">
        <v>1137</v>
      </c>
      <c r="H644" t="s">
        <v>1097</v>
      </c>
      <c r="I644" t="s">
        <v>1138</v>
      </c>
      <c r="J644" t="s">
        <v>1097</v>
      </c>
      <c r="K644" t="s">
        <v>1139</v>
      </c>
      <c r="L644" t="s">
        <v>1097</v>
      </c>
      <c r="M644" t="s">
        <v>1140</v>
      </c>
      <c r="N644" t="s">
        <v>1097</v>
      </c>
      <c r="O644" t="s">
        <v>1141</v>
      </c>
      <c r="P644" t="s">
        <v>1097</v>
      </c>
      <c r="Q644" t="s">
        <v>998</v>
      </c>
      <c r="R644" t="s">
        <v>1097</v>
      </c>
      <c r="S644" t="s">
        <v>999</v>
      </c>
      <c r="T644" t="s">
        <v>1097</v>
      </c>
      <c r="U644" t="s">
        <v>1142</v>
      </c>
      <c r="V644" t="s">
        <v>1097</v>
      </c>
      <c r="W644" t="s">
        <v>1143</v>
      </c>
      <c r="X644" t="s">
        <v>1097</v>
      </c>
      <c r="Y644" t="s">
        <v>1144</v>
      </c>
      <c r="Z644" t="s">
        <v>1097</v>
      </c>
      <c r="AA644" t="s">
        <v>1145</v>
      </c>
      <c r="AB644" t="s">
        <v>1097</v>
      </c>
      <c r="AC644" t="s">
        <v>1146</v>
      </c>
      <c r="AD644" t="s">
        <v>1097</v>
      </c>
      <c r="AE644" t="s">
        <v>1147</v>
      </c>
      <c r="AF644" t="s">
        <v>1097</v>
      </c>
      <c r="AG644" t="s">
        <v>1148</v>
      </c>
      <c r="AH644" t="s">
        <v>1097</v>
      </c>
      <c r="AI644" t="s">
        <v>1149</v>
      </c>
      <c r="AJ644" t="s">
        <v>1097</v>
      </c>
      <c r="AK644" t="s">
        <v>1150</v>
      </c>
      <c r="AL644" t="s">
        <v>1097</v>
      </c>
      <c r="AM644" t="s">
        <v>1151</v>
      </c>
      <c r="AN644" t="s">
        <v>1097</v>
      </c>
      <c r="AO644" t="s">
        <v>1000</v>
      </c>
      <c r="AP644" t="s">
        <v>1097</v>
      </c>
      <c r="AQ644" t="s">
        <v>1152</v>
      </c>
      <c r="AR644" t="s">
        <v>1097</v>
      </c>
      <c r="AS644" t="s">
        <v>1153</v>
      </c>
      <c r="AT644" t="s">
        <v>1097</v>
      </c>
      <c r="AU644" t="s">
        <v>1154</v>
      </c>
      <c r="AV644" t="s">
        <v>1097</v>
      </c>
      <c r="AW644" t="s">
        <v>1155</v>
      </c>
      <c r="AX644" t="s">
        <v>1097</v>
      </c>
      <c r="AY644" t="s">
        <v>1156</v>
      </c>
      <c r="AZ644" t="s">
        <v>1097</v>
      </c>
      <c r="BA644" t="s">
        <v>1157</v>
      </c>
      <c r="BB644" t="s">
        <v>1097</v>
      </c>
      <c r="BC644" t="s">
        <v>1158</v>
      </c>
      <c r="BD644" t="s">
        <v>1097</v>
      </c>
      <c r="BE644" t="s">
        <v>1159</v>
      </c>
      <c r="BF644" t="s">
        <v>1097</v>
      </c>
      <c r="BG644" t="s">
        <v>1160</v>
      </c>
      <c r="BH644" t="s">
        <v>1097</v>
      </c>
      <c r="BI644" t="s">
        <v>1161</v>
      </c>
      <c r="BJ644" t="s">
        <v>1097</v>
      </c>
      <c r="BK644" t="s">
        <v>1162</v>
      </c>
      <c r="BL644" t="s">
        <v>1097</v>
      </c>
      <c r="BM644" t="s">
        <v>1001</v>
      </c>
      <c r="BN644" t="s">
        <v>1097</v>
      </c>
      <c r="BO644" t="s">
        <v>1163</v>
      </c>
      <c r="BP644" t="s">
        <v>1097</v>
      </c>
      <c r="BQ644" t="s">
        <v>1164</v>
      </c>
      <c r="BR644" t="s">
        <v>1097</v>
      </c>
      <c r="BS644" t="s">
        <v>1165</v>
      </c>
      <c r="BT644" t="s">
        <v>1097</v>
      </c>
      <c r="BU644" t="s">
        <v>1166</v>
      </c>
      <c r="BV644" t="s">
        <v>1097</v>
      </c>
      <c r="BW644" t="s">
        <v>1167</v>
      </c>
    </row>
    <row r="645" spans="1:103">
      <c r="A645" t="s">
        <v>1788</v>
      </c>
      <c r="D645" t="s">
        <v>1097</v>
      </c>
      <c r="E645" t="s">
        <v>1070</v>
      </c>
    </row>
    <row r="646" spans="1:103">
      <c r="A646" t="s">
        <v>1791</v>
      </c>
      <c r="D646" t="s">
        <v>1097</v>
      </c>
      <c r="E646" t="s">
        <v>756</v>
      </c>
      <c r="F646" t="s">
        <v>1097</v>
      </c>
      <c r="G646" t="s">
        <v>757</v>
      </c>
      <c r="H646" t="s">
        <v>1097</v>
      </c>
      <c r="I646" t="s">
        <v>758</v>
      </c>
      <c r="J646" t="s">
        <v>1097</v>
      </c>
      <c r="K646" t="s">
        <v>897</v>
      </c>
      <c r="L646" t="s">
        <v>1097</v>
      </c>
      <c r="M646" t="s">
        <v>898</v>
      </c>
      <c r="N646" t="s">
        <v>1097</v>
      </c>
      <c r="O646" t="s">
        <v>759</v>
      </c>
      <c r="P646" t="s">
        <v>1097</v>
      </c>
      <c r="Q646" t="s">
        <v>760</v>
      </c>
      <c r="R646" t="s">
        <v>1097</v>
      </c>
      <c r="S646" t="s">
        <v>761</v>
      </c>
      <c r="T646" t="s">
        <v>1097</v>
      </c>
      <c r="U646" t="s">
        <v>762</v>
      </c>
      <c r="V646" t="s">
        <v>1097</v>
      </c>
      <c r="W646" t="s">
        <v>763</v>
      </c>
      <c r="X646" t="s">
        <v>1097</v>
      </c>
      <c r="Y646" t="s">
        <v>764</v>
      </c>
    </row>
    <row r="647" spans="1:103">
      <c r="A647" t="s">
        <v>1803</v>
      </c>
      <c r="D647" t="s">
        <v>1097</v>
      </c>
      <c r="E647" t="s">
        <v>765</v>
      </c>
      <c r="F647" t="s">
        <v>1097</v>
      </c>
      <c r="G647" t="s">
        <v>766</v>
      </c>
      <c r="H647" t="s">
        <v>1097</v>
      </c>
      <c r="I647" t="s">
        <v>767</v>
      </c>
      <c r="J647" t="s">
        <v>1097</v>
      </c>
      <c r="K647" t="s">
        <v>768</v>
      </c>
      <c r="L647" t="s">
        <v>1097</v>
      </c>
      <c r="M647" t="s">
        <v>769</v>
      </c>
      <c r="N647" t="s">
        <v>1097</v>
      </c>
      <c r="O647" t="s">
        <v>770</v>
      </c>
      <c r="P647" t="s">
        <v>1097</v>
      </c>
      <c r="Q647" t="s">
        <v>771</v>
      </c>
      <c r="R647" t="s">
        <v>1097</v>
      </c>
      <c r="S647" t="s">
        <v>772</v>
      </c>
      <c r="T647" t="s">
        <v>1097</v>
      </c>
      <c r="U647" t="s">
        <v>773</v>
      </c>
      <c r="V647" t="s">
        <v>1097</v>
      </c>
      <c r="W647" t="s">
        <v>774</v>
      </c>
      <c r="X647" t="s">
        <v>1097</v>
      </c>
      <c r="Y647" t="s">
        <v>775</v>
      </c>
    </row>
    <row r="648" spans="1:103">
      <c r="A648" t="s">
        <v>1813</v>
      </c>
      <c r="D648" t="s">
        <v>1097</v>
      </c>
      <c r="E648" t="s">
        <v>776</v>
      </c>
      <c r="F648" t="s">
        <v>1097</v>
      </c>
      <c r="G648" t="s">
        <v>777</v>
      </c>
      <c r="H648" t="s">
        <v>1097</v>
      </c>
      <c r="I648" t="s">
        <v>778</v>
      </c>
    </row>
    <row r="649" spans="1:103">
      <c r="A649" t="s">
        <v>1814</v>
      </c>
      <c r="D649" t="s">
        <v>1097</v>
      </c>
      <c r="E649" t="s">
        <v>779</v>
      </c>
      <c r="F649" t="s">
        <v>1097</v>
      </c>
      <c r="G649" t="s">
        <v>780</v>
      </c>
      <c r="H649" t="s">
        <v>1097</v>
      </c>
      <c r="I649" t="s">
        <v>781</v>
      </c>
      <c r="J649" t="s">
        <v>1097</v>
      </c>
      <c r="K649" t="s">
        <v>782</v>
      </c>
      <c r="L649" t="s">
        <v>1097</v>
      </c>
      <c r="M649" t="s">
        <v>783</v>
      </c>
      <c r="N649" t="s">
        <v>1097</v>
      </c>
      <c r="O649" t="s">
        <v>784</v>
      </c>
      <c r="P649" t="s">
        <v>1097</v>
      </c>
      <c r="Q649" t="s">
        <v>785</v>
      </c>
      <c r="R649" t="s">
        <v>1097</v>
      </c>
      <c r="S649" t="s">
        <v>786</v>
      </c>
    </row>
    <row r="650" spans="1:103">
      <c r="A650" t="s">
        <v>1815</v>
      </c>
      <c r="D650" t="s">
        <v>1097</v>
      </c>
      <c r="E650" t="s">
        <v>787</v>
      </c>
      <c r="F650" t="s">
        <v>1097</v>
      </c>
      <c r="G650" t="s">
        <v>788</v>
      </c>
      <c r="H650" t="s">
        <v>1097</v>
      </c>
      <c r="I650" t="s">
        <v>789</v>
      </c>
      <c r="J650" t="s">
        <v>1097</v>
      </c>
      <c r="K650" t="s">
        <v>790</v>
      </c>
      <c r="L650" t="s">
        <v>1097</v>
      </c>
      <c r="M650" t="s">
        <v>791</v>
      </c>
      <c r="N650" t="s">
        <v>1097</v>
      </c>
      <c r="O650" t="s">
        <v>792</v>
      </c>
      <c r="P650" t="s">
        <v>1097</v>
      </c>
      <c r="Q650" t="s">
        <v>793</v>
      </c>
      <c r="R650" t="s">
        <v>1097</v>
      </c>
      <c r="S650" t="s">
        <v>794</v>
      </c>
      <c r="T650" t="s">
        <v>1097</v>
      </c>
      <c r="U650" t="s">
        <v>795</v>
      </c>
      <c r="V650" t="s">
        <v>1097</v>
      </c>
      <c r="W650" t="s">
        <v>796</v>
      </c>
      <c r="X650" t="s">
        <v>1097</v>
      </c>
      <c r="Y650" t="s">
        <v>797</v>
      </c>
      <c r="Z650" t="s">
        <v>1097</v>
      </c>
      <c r="AA650" t="s">
        <v>798</v>
      </c>
      <c r="AB650" t="s">
        <v>1097</v>
      </c>
      <c r="AC650" t="s">
        <v>799</v>
      </c>
      <c r="AD650" t="s">
        <v>1097</v>
      </c>
      <c r="AE650" t="s">
        <v>800</v>
      </c>
      <c r="AF650" t="s">
        <v>1097</v>
      </c>
      <c r="AG650" t="s">
        <v>801</v>
      </c>
      <c r="AH650" t="s">
        <v>1097</v>
      </c>
      <c r="AI650" t="s">
        <v>802</v>
      </c>
      <c r="AJ650" t="s">
        <v>1097</v>
      </c>
      <c r="AK650" t="s">
        <v>803</v>
      </c>
    </row>
    <row r="651" spans="1:103">
      <c r="A651" t="s">
        <v>1816</v>
      </c>
      <c r="D651" t="s">
        <v>1097</v>
      </c>
      <c r="E651" t="s">
        <v>804</v>
      </c>
      <c r="F651" t="s">
        <v>1097</v>
      </c>
      <c r="G651" t="s">
        <v>805</v>
      </c>
    </row>
    <row r="652" spans="1:103">
      <c r="A652" t="s">
        <v>1819</v>
      </c>
      <c r="D652" t="s">
        <v>1097</v>
      </c>
      <c r="E652" t="s">
        <v>806</v>
      </c>
      <c r="F652" t="s">
        <v>1097</v>
      </c>
      <c r="G652" t="s">
        <v>807</v>
      </c>
      <c r="H652" t="s">
        <v>1097</v>
      </c>
      <c r="I652" t="s">
        <v>808</v>
      </c>
      <c r="J652" t="s">
        <v>1097</v>
      </c>
      <c r="K652" t="s">
        <v>809</v>
      </c>
      <c r="L652" t="s">
        <v>1097</v>
      </c>
      <c r="M652" t="s">
        <v>810</v>
      </c>
      <c r="N652" t="s">
        <v>1097</v>
      </c>
      <c r="O652" t="s">
        <v>811</v>
      </c>
      <c r="P652" t="s">
        <v>1097</v>
      </c>
      <c r="Q652" t="s">
        <v>812</v>
      </c>
      <c r="R652" t="s">
        <v>1097</v>
      </c>
      <c r="S652" t="s">
        <v>813</v>
      </c>
      <c r="T652" t="s">
        <v>1097</v>
      </c>
      <c r="U652" t="s">
        <v>814</v>
      </c>
      <c r="V652" t="s">
        <v>1097</v>
      </c>
      <c r="W652" t="s">
        <v>815</v>
      </c>
      <c r="X652" t="s">
        <v>1097</v>
      </c>
      <c r="Y652" t="s">
        <v>816</v>
      </c>
    </row>
    <row r="653" spans="1:103">
      <c r="A653" t="s">
        <v>1822</v>
      </c>
      <c r="D653" t="s">
        <v>1097</v>
      </c>
      <c r="E653" t="s">
        <v>817</v>
      </c>
      <c r="F653" t="s">
        <v>1097</v>
      </c>
      <c r="G653" t="s">
        <v>818</v>
      </c>
      <c r="H653" t="s">
        <v>1097</v>
      </c>
      <c r="I653" t="s">
        <v>819</v>
      </c>
      <c r="J653" t="s">
        <v>1097</v>
      </c>
      <c r="K653" t="s">
        <v>820</v>
      </c>
      <c r="L653" t="s">
        <v>1097</v>
      </c>
      <c r="M653" t="s">
        <v>821</v>
      </c>
      <c r="N653" t="s">
        <v>1097</v>
      </c>
      <c r="O653" t="s">
        <v>822</v>
      </c>
      <c r="P653" t="s">
        <v>1097</v>
      </c>
      <c r="Q653" t="s">
        <v>823</v>
      </c>
      <c r="R653" t="s">
        <v>1097</v>
      </c>
      <c r="S653" t="s">
        <v>824</v>
      </c>
      <c r="T653" t="s">
        <v>1097</v>
      </c>
      <c r="U653" t="s">
        <v>825</v>
      </c>
      <c r="V653" t="s">
        <v>1097</v>
      </c>
      <c r="W653" t="s">
        <v>826</v>
      </c>
      <c r="X653" t="s">
        <v>1097</v>
      </c>
      <c r="Y653" t="s">
        <v>827</v>
      </c>
    </row>
    <row r="654" spans="1:103">
      <c r="A654" t="s">
        <v>1859</v>
      </c>
      <c r="D654" t="s">
        <v>1097</v>
      </c>
      <c r="E654" t="s">
        <v>828</v>
      </c>
      <c r="F654" t="s">
        <v>1097</v>
      </c>
      <c r="G654" t="s">
        <v>829</v>
      </c>
    </row>
    <row r="655" spans="1:103">
      <c r="A655" t="s">
        <v>1824</v>
      </c>
      <c r="D655" t="s">
        <v>1097</v>
      </c>
      <c r="E655" t="s">
        <v>830</v>
      </c>
      <c r="F655" t="s">
        <v>1097</v>
      </c>
      <c r="G655" t="s">
        <v>831</v>
      </c>
      <c r="H655" t="s">
        <v>1097</v>
      </c>
      <c r="I655" t="s">
        <v>832</v>
      </c>
      <c r="J655" t="s">
        <v>1097</v>
      </c>
      <c r="K655" t="s">
        <v>833</v>
      </c>
      <c r="L655" t="s">
        <v>1097</v>
      </c>
      <c r="M655" t="s">
        <v>834</v>
      </c>
      <c r="N655" t="s">
        <v>1097</v>
      </c>
      <c r="O655" t="s">
        <v>835</v>
      </c>
    </row>
    <row r="656" spans="1:103">
      <c r="A656" t="s">
        <v>1825</v>
      </c>
      <c r="D656" t="s">
        <v>1097</v>
      </c>
      <c r="E656" t="s">
        <v>836</v>
      </c>
      <c r="F656" t="s">
        <v>1097</v>
      </c>
      <c r="G656" t="s">
        <v>837</v>
      </c>
      <c r="H656" t="s">
        <v>1097</v>
      </c>
      <c r="I656" t="s">
        <v>838</v>
      </c>
      <c r="J656" t="s">
        <v>1097</v>
      </c>
      <c r="K656" t="s">
        <v>839</v>
      </c>
      <c r="L656" t="s">
        <v>1097</v>
      </c>
      <c r="M656" t="s">
        <v>840</v>
      </c>
      <c r="N656" t="s">
        <v>1097</v>
      </c>
      <c r="O656" t="s">
        <v>841</v>
      </c>
      <c r="P656" t="s">
        <v>1097</v>
      </c>
      <c r="Q656" t="s">
        <v>842</v>
      </c>
      <c r="R656" t="s">
        <v>1097</v>
      </c>
      <c r="S656" t="s">
        <v>843</v>
      </c>
      <c r="T656" t="s">
        <v>1097</v>
      </c>
      <c r="U656" t="s">
        <v>844</v>
      </c>
    </row>
    <row r="657" spans="1:41">
      <c r="A657" t="s">
        <v>1826</v>
      </c>
      <c r="D657" t="s">
        <v>1097</v>
      </c>
      <c r="E657" t="s">
        <v>845</v>
      </c>
      <c r="F657" t="s">
        <v>1097</v>
      </c>
      <c r="G657" t="s">
        <v>846</v>
      </c>
      <c r="H657" t="s">
        <v>1097</v>
      </c>
      <c r="I657" t="s">
        <v>847</v>
      </c>
      <c r="J657" t="s">
        <v>1097</v>
      </c>
      <c r="K657" t="s">
        <v>848</v>
      </c>
      <c r="L657" t="s">
        <v>1097</v>
      </c>
      <c r="M657" t="s">
        <v>849</v>
      </c>
      <c r="N657" t="s">
        <v>1097</v>
      </c>
      <c r="O657" t="s">
        <v>850</v>
      </c>
      <c r="P657" t="s">
        <v>1097</v>
      </c>
      <c r="Q657" t="s">
        <v>851</v>
      </c>
      <c r="R657" t="s">
        <v>1097</v>
      </c>
      <c r="S657" t="s">
        <v>852</v>
      </c>
      <c r="T657" t="s">
        <v>1097</v>
      </c>
      <c r="U657" t="s">
        <v>853</v>
      </c>
      <c r="V657" t="s">
        <v>1097</v>
      </c>
      <c r="W657" t="s">
        <v>854</v>
      </c>
      <c r="X657" t="s">
        <v>1097</v>
      </c>
      <c r="Y657" t="s">
        <v>855</v>
      </c>
      <c r="Z657" t="s">
        <v>1097</v>
      </c>
      <c r="AA657" t="s">
        <v>856</v>
      </c>
      <c r="AB657" t="s">
        <v>1097</v>
      </c>
      <c r="AC657" t="s">
        <v>857</v>
      </c>
      <c r="AD657" t="s">
        <v>1097</v>
      </c>
      <c r="AE657" t="s">
        <v>858</v>
      </c>
      <c r="AF657" t="s">
        <v>1097</v>
      </c>
      <c r="AG657" t="s">
        <v>859</v>
      </c>
      <c r="AH657" t="s">
        <v>1097</v>
      </c>
      <c r="AI657" t="s">
        <v>860</v>
      </c>
      <c r="AJ657" t="s">
        <v>1097</v>
      </c>
      <c r="AK657" t="s">
        <v>861</v>
      </c>
      <c r="AL657" t="s">
        <v>1097</v>
      </c>
      <c r="AM657" t="s">
        <v>862</v>
      </c>
      <c r="AN657" t="s">
        <v>1097</v>
      </c>
      <c r="AO657" t="s">
        <v>863</v>
      </c>
    </row>
    <row r="658" spans="1:41">
      <c r="A658" t="s">
        <v>1789</v>
      </c>
      <c r="D658" t="s">
        <v>1097</v>
      </c>
      <c r="E658" t="s">
        <v>917</v>
      </c>
    </row>
    <row r="659" spans="1:41">
      <c r="A659" t="s">
        <v>1792</v>
      </c>
      <c r="D659" t="s">
        <v>1097</v>
      </c>
      <c r="E659" t="s">
        <v>874</v>
      </c>
    </row>
    <row r="660" spans="1:41">
      <c r="A660" t="s">
        <v>1793</v>
      </c>
      <c r="D660" t="s">
        <v>1097</v>
      </c>
      <c r="E660" t="s">
        <v>1071</v>
      </c>
    </row>
    <row r="661" spans="1:41">
      <c r="A661" t="s">
        <v>1794</v>
      </c>
      <c r="D661" t="s">
        <v>1097</v>
      </c>
      <c r="E661" t="s">
        <v>1023</v>
      </c>
    </row>
    <row r="662" spans="1:41">
      <c r="A662" t="s">
        <v>1795</v>
      </c>
      <c r="D662" t="s">
        <v>1097</v>
      </c>
      <c r="E662" t="s">
        <v>1024</v>
      </c>
    </row>
    <row r="663" spans="1:41">
      <c r="A663" t="s">
        <v>1796</v>
      </c>
      <c r="D663" t="s">
        <v>1097</v>
      </c>
      <c r="E663" t="s">
        <v>875</v>
      </c>
    </row>
    <row r="664" spans="1:41">
      <c r="A664" t="s">
        <v>1797</v>
      </c>
      <c r="D664" t="s">
        <v>1097</v>
      </c>
      <c r="E664" t="s">
        <v>1168</v>
      </c>
    </row>
    <row r="665" spans="1:41">
      <c r="A665" t="s">
        <v>1798</v>
      </c>
      <c r="D665" t="s">
        <v>1097</v>
      </c>
      <c r="E665" t="s">
        <v>918</v>
      </c>
    </row>
    <row r="666" spans="1:41">
      <c r="A666" t="s">
        <v>1799</v>
      </c>
      <c r="D666" t="s">
        <v>1097</v>
      </c>
      <c r="E666" t="s">
        <v>1169</v>
      </c>
    </row>
    <row r="667" spans="1:41">
      <c r="A667" t="s">
        <v>1800</v>
      </c>
      <c r="D667" t="s">
        <v>1097</v>
      </c>
      <c r="E667" t="s">
        <v>919</v>
      </c>
    </row>
    <row r="668" spans="1:41">
      <c r="A668" t="s">
        <v>1801</v>
      </c>
      <c r="D668" t="s">
        <v>1097</v>
      </c>
      <c r="E668" t="s">
        <v>920</v>
      </c>
    </row>
    <row r="669" spans="1:41">
      <c r="A669" t="s">
        <v>1802</v>
      </c>
      <c r="D669" t="s">
        <v>1097</v>
      </c>
      <c r="E669" t="s">
        <v>1025</v>
      </c>
    </row>
    <row r="670" spans="1:41">
      <c r="A670" t="s">
        <v>1804</v>
      </c>
      <c r="D670" t="s">
        <v>1097</v>
      </c>
      <c r="E670" t="s">
        <v>876</v>
      </c>
    </row>
    <row r="671" spans="1:41">
      <c r="A671" t="s">
        <v>1805</v>
      </c>
      <c r="D671" t="s">
        <v>1097</v>
      </c>
      <c r="E671" t="s">
        <v>921</v>
      </c>
    </row>
    <row r="672" spans="1:41">
      <c r="A672" t="s">
        <v>1806</v>
      </c>
      <c r="D672" t="s">
        <v>1097</v>
      </c>
      <c r="E672" t="s">
        <v>922</v>
      </c>
    </row>
    <row r="673" spans="1:5">
      <c r="A673" t="s">
        <v>1807</v>
      </c>
      <c r="D673" t="s">
        <v>1097</v>
      </c>
      <c r="E673" t="s">
        <v>923</v>
      </c>
    </row>
    <row r="674" spans="1:5">
      <c r="A674" t="s">
        <v>1808</v>
      </c>
      <c r="D674" t="s">
        <v>1097</v>
      </c>
      <c r="E674" t="s">
        <v>1072</v>
      </c>
    </row>
    <row r="675" spans="1:5">
      <c r="A675" t="s">
        <v>1809</v>
      </c>
      <c r="D675" t="s">
        <v>1097</v>
      </c>
      <c r="E675" t="s">
        <v>1026</v>
      </c>
    </row>
    <row r="676" spans="1:5">
      <c r="A676" t="s">
        <v>1810</v>
      </c>
      <c r="D676" t="s">
        <v>1097</v>
      </c>
      <c r="E676" t="s">
        <v>1027</v>
      </c>
    </row>
    <row r="677" spans="1:5">
      <c r="A677" t="s">
        <v>1811</v>
      </c>
      <c r="D677" t="s">
        <v>1097</v>
      </c>
      <c r="E677" t="s">
        <v>924</v>
      </c>
    </row>
    <row r="678" spans="1:5">
      <c r="A678" t="s">
        <v>1812</v>
      </c>
      <c r="D678" t="s">
        <v>1097</v>
      </c>
      <c r="E678" t="s">
        <v>877</v>
      </c>
    </row>
    <row r="679" spans="1:5">
      <c r="A679" t="s">
        <v>1987</v>
      </c>
      <c r="D679" t="s">
        <v>1097</v>
      </c>
      <c r="E679" t="s">
        <v>925</v>
      </c>
    </row>
    <row r="680" spans="1:5">
      <c r="A680" t="s">
        <v>1988</v>
      </c>
      <c r="D680" t="s">
        <v>1097</v>
      </c>
      <c r="E680" t="s">
        <v>926</v>
      </c>
    </row>
    <row r="681" spans="1:5">
      <c r="A681" t="s">
        <v>1986</v>
      </c>
      <c r="D681" t="s">
        <v>1097</v>
      </c>
      <c r="E681" t="s">
        <v>927</v>
      </c>
    </row>
    <row r="682" spans="1:5">
      <c r="A682" t="s">
        <v>1989</v>
      </c>
      <c r="D682" t="s">
        <v>1097</v>
      </c>
      <c r="E682" t="s">
        <v>928</v>
      </c>
    </row>
    <row r="683" spans="1:5">
      <c r="A683" t="s">
        <v>1990</v>
      </c>
      <c r="D683" t="s">
        <v>1097</v>
      </c>
      <c r="E683" t="s">
        <v>929</v>
      </c>
    </row>
    <row r="684" spans="1:5">
      <c r="A684" t="s">
        <v>1991</v>
      </c>
      <c r="D684" t="s">
        <v>1097</v>
      </c>
      <c r="E684" t="s">
        <v>930</v>
      </c>
    </row>
    <row r="685" spans="1:5">
      <c r="A685" t="s">
        <v>1992</v>
      </c>
      <c r="D685" t="s">
        <v>1097</v>
      </c>
      <c r="E685" t="s">
        <v>931</v>
      </c>
    </row>
    <row r="686" spans="1:5">
      <c r="A686" t="s">
        <v>1993</v>
      </c>
      <c r="D686" t="s">
        <v>1097</v>
      </c>
      <c r="E686" t="s">
        <v>932</v>
      </c>
    </row>
    <row r="687" spans="1:5">
      <c r="A687" t="s">
        <v>1994</v>
      </c>
      <c r="D687" t="s">
        <v>1097</v>
      </c>
      <c r="E687" t="s">
        <v>933</v>
      </c>
    </row>
    <row r="688" spans="1:5">
      <c r="A688" t="s">
        <v>1995</v>
      </c>
      <c r="D688" t="s">
        <v>1097</v>
      </c>
      <c r="E688" t="s">
        <v>934</v>
      </c>
    </row>
    <row r="689" spans="1:7">
      <c r="A689" t="s">
        <v>1996</v>
      </c>
      <c r="D689" t="s">
        <v>1097</v>
      </c>
      <c r="E689" t="s">
        <v>935</v>
      </c>
    </row>
    <row r="690" spans="1:7">
      <c r="A690" t="s">
        <v>1997</v>
      </c>
      <c r="D690" t="s">
        <v>1097</v>
      </c>
      <c r="E690" t="s">
        <v>936</v>
      </c>
    </row>
    <row r="691" spans="1:7">
      <c r="A691" t="s">
        <v>1998</v>
      </c>
      <c r="D691" t="s">
        <v>1097</v>
      </c>
      <c r="E691" t="s">
        <v>937</v>
      </c>
    </row>
    <row r="692" spans="1:7">
      <c r="A692" t="s">
        <v>1817</v>
      </c>
      <c r="D692" t="s">
        <v>1097</v>
      </c>
      <c r="E692" t="s">
        <v>954</v>
      </c>
      <c r="F692" t="s">
        <v>1170</v>
      </c>
      <c r="G692" t="s">
        <v>1092</v>
      </c>
    </row>
    <row r="693" spans="1:7">
      <c r="A693" t="s">
        <v>1818</v>
      </c>
      <c r="D693" t="s">
        <v>1097</v>
      </c>
      <c r="E693" t="s">
        <v>955</v>
      </c>
    </row>
    <row r="694" spans="1:7">
      <c r="A694" t="s">
        <v>1820</v>
      </c>
      <c r="D694" t="s">
        <v>1097</v>
      </c>
      <c r="E694" t="s">
        <v>962</v>
      </c>
      <c r="F694" t="s">
        <v>1097</v>
      </c>
      <c r="G694" t="s">
        <v>972</v>
      </c>
    </row>
    <row r="695" spans="1:7">
      <c r="A695" t="s">
        <v>1821</v>
      </c>
      <c r="D695" t="s">
        <v>1097</v>
      </c>
      <c r="E695" t="s">
        <v>965</v>
      </c>
      <c r="F695" t="s">
        <v>1097</v>
      </c>
      <c r="G695" t="s">
        <v>975</v>
      </c>
    </row>
    <row r="696" spans="1:7">
      <c r="A696" t="s">
        <v>1940</v>
      </c>
      <c r="D696" t="s">
        <v>1097</v>
      </c>
      <c r="E696" t="s">
        <v>976</v>
      </c>
    </row>
    <row r="697" spans="1:7">
      <c r="A697" t="s">
        <v>1941</v>
      </c>
      <c r="D697" t="s">
        <v>1097</v>
      </c>
      <c r="E697" t="s">
        <v>977</v>
      </c>
    </row>
    <row r="698" spans="1:7">
      <c r="A698" t="s">
        <v>2062</v>
      </c>
      <c r="D698" t="s">
        <v>1170</v>
      </c>
      <c r="E698" t="s">
        <v>1098</v>
      </c>
    </row>
    <row r="699" spans="1:7">
      <c r="A699" t="s">
        <v>2063</v>
      </c>
      <c r="D699" t="s">
        <v>1170</v>
      </c>
      <c r="E699" t="s">
        <v>1093</v>
      </c>
    </row>
    <row r="700" spans="1:7">
      <c r="A700" t="s">
        <v>2064</v>
      </c>
      <c r="D700" t="s">
        <v>1170</v>
      </c>
      <c r="E700" t="s">
        <v>1099</v>
      </c>
    </row>
    <row r="701" spans="1:7">
      <c r="A701" t="s">
        <v>2085</v>
      </c>
      <c r="D701" t="s">
        <v>1170</v>
      </c>
      <c r="E701" t="s">
        <v>754</v>
      </c>
    </row>
    <row r="702" spans="1:7">
      <c r="A702" t="s">
        <v>2086</v>
      </c>
      <c r="D702" t="s">
        <v>1170</v>
      </c>
      <c r="E702" t="s">
        <v>1100</v>
      </c>
    </row>
    <row r="703" spans="1:7">
      <c r="A703" t="s">
        <v>2087</v>
      </c>
      <c r="D703" t="s">
        <v>1170</v>
      </c>
      <c r="E703" t="s">
        <v>1101</v>
      </c>
    </row>
    <row r="704" spans="1:7">
      <c r="A704" t="s">
        <v>2088</v>
      </c>
      <c r="D704" t="s">
        <v>1170</v>
      </c>
      <c r="E704" t="s">
        <v>1094</v>
      </c>
    </row>
    <row r="705" spans="1:5">
      <c r="A705" t="s">
        <v>2105</v>
      </c>
      <c r="D705" t="s">
        <v>1170</v>
      </c>
      <c r="E705" t="s">
        <v>1102</v>
      </c>
    </row>
    <row r="706" spans="1:5">
      <c r="A706" t="s">
        <v>2089</v>
      </c>
      <c r="D706" t="s">
        <v>1170</v>
      </c>
      <c r="E706" t="s">
        <v>1103</v>
      </c>
    </row>
    <row r="707" spans="1:5">
      <c r="A707" t="s">
        <v>2090</v>
      </c>
      <c r="D707" t="s">
        <v>1170</v>
      </c>
      <c r="E707" t="s">
        <v>1105</v>
      </c>
    </row>
    <row r="708" spans="1:5">
      <c r="A708" t="s">
        <v>2091</v>
      </c>
      <c r="D708" t="s">
        <v>1170</v>
      </c>
      <c r="E708" t="s">
        <v>1107</v>
      </c>
    </row>
    <row r="709" spans="1:5">
      <c r="A709" t="s">
        <v>2092</v>
      </c>
      <c r="D709" t="s">
        <v>1170</v>
      </c>
      <c r="E709" t="s">
        <v>1108</v>
      </c>
    </row>
    <row r="710" spans="1:5">
      <c r="A710" t="s">
        <v>2093</v>
      </c>
      <c r="D710" t="s">
        <v>1170</v>
      </c>
      <c r="E710" t="s">
        <v>1109</v>
      </c>
    </row>
    <row r="711" spans="1:5">
      <c r="A711" t="s">
        <v>2094</v>
      </c>
      <c r="D711" t="s">
        <v>1170</v>
      </c>
      <c r="E711" t="s">
        <v>1095</v>
      </c>
    </row>
    <row r="712" spans="1:5">
      <c r="A712" t="s">
        <v>2095</v>
      </c>
      <c r="D712" t="s">
        <v>1170</v>
      </c>
      <c r="E712" t="s">
        <v>755</v>
      </c>
    </row>
    <row r="713" spans="1:5">
      <c r="A713" t="s">
        <v>2096</v>
      </c>
      <c r="D713" t="s">
        <v>1170</v>
      </c>
      <c r="E713" t="s">
        <v>1110</v>
      </c>
    </row>
    <row r="714" spans="1:5">
      <c r="A714" t="s">
        <v>2097</v>
      </c>
      <c r="D714" t="s">
        <v>1170</v>
      </c>
      <c r="E714" t="s">
        <v>1111</v>
      </c>
    </row>
    <row r="715" spans="1:5">
      <c r="A715" t="s">
        <v>2098</v>
      </c>
      <c r="D715" t="s">
        <v>1170</v>
      </c>
      <c r="E715" t="s">
        <v>1112</v>
      </c>
    </row>
    <row r="716" spans="1:5">
      <c r="A716" t="s">
        <v>2099</v>
      </c>
      <c r="D716" t="s">
        <v>1170</v>
      </c>
      <c r="E716" t="s">
        <v>1113</v>
      </c>
    </row>
    <row r="717" spans="1:5">
      <c r="A717" t="s">
        <v>2100</v>
      </c>
      <c r="D717" t="s">
        <v>1170</v>
      </c>
      <c r="E717" t="s">
        <v>1114</v>
      </c>
    </row>
    <row r="718" spans="1:5">
      <c r="A718" t="s">
        <v>2101</v>
      </c>
      <c r="D718" t="s">
        <v>1170</v>
      </c>
      <c r="E718" t="s">
        <v>1115</v>
      </c>
    </row>
    <row r="719" spans="1:5">
      <c r="A719" t="s">
        <v>2104</v>
      </c>
      <c r="D719" t="s">
        <v>1170</v>
      </c>
      <c r="E719" t="s">
        <v>1116</v>
      </c>
    </row>
    <row r="720" spans="1:5">
      <c r="A720" t="s">
        <v>2102</v>
      </c>
      <c r="D720" t="s">
        <v>1170</v>
      </c>
      <c r="E720" t="s">
        <v>779</v>
      </c>
    </row>
    <row r="721" spans="1:7">
      <c r="A721" t="s">
        <v>189</v>
      </c>
      <c r="D721" t="s">
        <v>1172</v>
      </c>
      <c r="E721" t="s">
        <v>1128</v>
      </c>
    </row>
    <row r="722" spans="1:7">
      <c r="A722" t="s">
        <v>185</v>
      </c>
      <c r="D722" t="s">
        <v>1172</v>
      </c>
      <c r="E722" t="s">
        <v>1136</v>
      </c>
    </row>
    <row r="723" spans="1:7">
      <c r="A723" t="s">
        <v>186</v>
      </c>
      <c r="D723" t="s">
        <v>1172</v>
      </c>
      <c r="E723" t="s">
        <v>1173</v>
      </c>
    </row>
    <row r="724" spans="1:7">
      <c r="A724" t="s">
        <v>188</v>
      </c>
      <c r="D724" t="s">
        <v>1172</v>
      </c>
      <c r="E724" t="s">
        <v>792</v>
      </c>
    </row>
    <row r="725" spans="1:7">
      <c r="A725" t="s">
        <v>187</v>
      </c>
      <c r="D725" t="s">
        <v>1172</v>
      </c>
      <c r="E725" t="s">
        <v>1174</v>
      </c>
    </row>
    <row r="726" spans="1:7">
      <c r="A726" t="s">
        <v>2001</v>
      </c>
      <c r="D726" t="s">
        <v>1175</v>
      </c>
      <c r="E726" t="s">
        <v>1091</v>
      </c>
      <c r="F726" t="s">
        <v>1182</v>
      </c>
      <c r="G726" t="s">
        <v>1091</v>
      </c>
    </row>
    <row r="727" spans="1:7">
      <c r="A727" t="s">
        <v>1999</v>
      </c>
      <c r="D727" t="s">
        <v>1175</v>
      </c>
      <c r="E727" t="s">
        <v>752</v>
      </c>
      <c r="F727" t="s">
        <v>1182</v>
      </c>
      <c r="G727" t="s">
        <v>752</v>
      </c>
    </row>
    <row r="728" spans="1:7">
      <c r="A728" t="s">
        <v>2000</v>
      </c>
      <c r="D728" t="s">
        <v>1175</v>
      </c>
      <c r="E728" t="s">
        <v>1098</v>
      </c>
      <c r="F728" t="s">
        <v>1182</v>
      </c>
      <c r="G728" t="s">
        <v>1098</v>
      </c>
    </row>
    <row r="729" spans="1:7">
      <c r="A729" t="s">
        <v>1423</v>
      </c>
      <c r="D729" t="s">
        <v>1175</v>
      </c>
      <c r="E729" t="s">
        <v>1092</v>
      </c>
      <c r="F729" t="s">
        <v>1182</v>
      </c>
      <c r="G729" t="s">
        <v>1092</v>
      </c>
    </row>
    <row r="730" spans="1:7">
      <c r="A730" t="s">
        <v>190</v>
      </c>
      <c r="D730" t="s">
        <v>1175</v>
      </c>
      <c r="E730" t="s">
        <v>758</v>
      </c>
      <c r="F730" t="s">
        <v>1182</v>
      </c>
      <c r="G730" t="s">
        <v>758</v>
      </c>
    </row>
    <row r="731" spans="1:7">
      <c r="A731" t="s">
        <v>2437</v>
      </c>
      <c r="D731" t="s">
        <v>1175</v>
      </c>
      <c r="E731" t="s">
        <v>776</v>
      </c>
      <c r="F731" t="s">
        <v>1182</v>
      </c>
      <c r="G731" t="s">
        <v>776</v>
      </c>
    </row>
    <row r="732" spans="1:7">
      <c r="A732" t="s">
        <v>2002</v>
      </c>
      <c r="D732" t="s">
        <v>1175</v>
      </c>
      <c r="E732" t="s">
        <v>917</v>
      </c>
    </row>
    <row r="733" spans="1:7">
      <c r="A733" t="s">
        <v>8</v>
      </c>
      <c r="D733" t="s">
        <v>1182</v>
      </c>
      <c r="E733" t="s">
        <v>917</v>
      </c>
    </row>
  </sheetData>
  <pageMargins left="0.75" right="0.75" top="1" bottom="1" header="0.5" footer="0.5"/>
  <pageSetup orientation="portrait" horizontalDpi="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156</vt:i4>
      </vt:variant>
    </vt:vector>
  </HeadingPairs>
  <TitlesOfParts>
    <vt:vector size="182" baseType="lpstr">
      <vt:lpstr>Input - RMSM</vt:lpstr>
      <vt:lpstr>Input - manual</vt:lpstr>
      <vt:lpstr>MACRO DATA</vt:lpstr>
      <vt:lpstr>E-views VAR impulse responses</vt:lpstr>
      <vt:lpstr>VAR-based GDP growth adjustment</vt:lpstr>
      <vt:lpstr>VAR-based TOT growth adjustment</vt:lpstr>
      <vt:lpstr>VAR-based GEXP growth adj</vt:lpstr>
      <vt:lpstr>GDP growth GET REAL + VAR</vt:lpstr>
      <vt:lpstr>SCENARIO</vt:lpstr>
      <vt:lpstr>1-2-3</vt:lpstr>
      <vt:lpstr>RESULTS</vt:lpstr>
      <vt:lpstr>MACRO TABLES</vt:lpstr>
      <vt:lpstr>%-Deviations from prev. results</vt:lpstr>
      <vt:lpstr>current res.</vt:lpstr>
      <vt:lpstr>comparison base</vt:lpstr>
      <vt:lpstr>prev. run</vt:lpstr>
      <vt:lpstr>base case</vt:lpstr>
      <vt:lpstr>HOUSEHOLD DATA</vt:lpstr>
      <vt:lpstr>Impact on poverty</vt:lpstr>
      <vt:lpstr>CASLINK</vt:lpstr>
      <vt:lpstr>analyze results</vt:lpstr>
      <vt:lpstr>Options Last Selected</vt:lpstr>
      <vt:lpstr>Options for the Base Case</vt:lpstr>
      <vt:lpstr>RMSM_LINK</vt:lpstr>
      <vt:lpstr>internal parameters</vt:lpstr>
      <vt:lpstr>text</vt:lpstr>
      <vt:lpstr>a1_CET</vt:lpstr>
      <vt:lpstr>a2_ARMG</vt:lpstr>
      <vt:lpstr>a3_DEM</vt:lpstr>
      <vt:lpstr>a4_EDRAT</vt:lpstr>
      <vt:lpstr>a5_MDRAT</vt:lpstr>
      <vt:lpstr>a6_INC</vt:lpstr>
      <vt:lpstr>a7_SAV</vt:lpstr>
      <vt:lpstr>a8_CONS</vt:lpstr>
      <vt:lpstr>a9_PM</vt:lpstr>
      <vt:lpstr>acc</vt:lpstr>
      <vt:lpstr>alpha</vt:lpstr>
      <vt:lpstr>aq</vt:lpstr>
      <vt:lpstr>at</vt:lpstr>
      <vt:lpstr>B</vt:lpstr>
      <vt:lpstr>B0</vt:lpstr>
      <vt:lpstr>b10_PE</vt:lpstr>
      <vt:lpstr>b11_PT</vt:lpstr>
      <vt:lpstr>b12_PX</vt:lpstr>
      <vt:lpstr>b13_PQ</vt:lpstr>
      <vt:lpstr>b14_DEQ</vt:lpstr>
      <vt:lpstr>b15_QEQ</vt:lpstr>
      <vt:lpstr>b16_BOP</vt:lpstr>
      <vt:lpstr>b16_CABAL</vt:lpstr>
      <vt:lpstr>b17_TAX</vt:lpstr>
      <vt:lpstr>b18_GBUD</vt:lpstr>
      <vt:lpstr>b19_GC</vt:lpstr>
      <vt:lpstr>b20_Trns</vt:lpstr>
      <vt:lpstr>b21_se</vt:lpstr>
      <vt:lpstr>b22_su</vt:lpstr>
      <vt:lpstr>b23_Fbal</vt:lpstr>
      <vt:lpstr>b24_Money</vt:lpstr>
      <vt:lpstr>b25_GDP</vt:lpstr>
      <vt:lpstr>b26_BOR</vt:lpstr>
      <vt:lpstr>b27_Py</vt:lpstr>
      <vt:lpstr>beta</vt:lpstr>
      <vt:lpstr>bq</vt:lpstr>
      <vt:lpstr>brat</vt:lpstr>
      <vt:lpstr>brat0</vt:lpstr>
      <vt:lpstr>bt</vt:lpstr>
      <vt:lpstr>Cn</vt:lpstr>
      <vt:lpstr>Cn0</vt:lpstr>
      <vt:lpstr>crat</vt:lpstr>
      <vt:lpstr>crat0</vt:lpstr>
      <vt:lpstr>Dd</vt:lpstr>
      <vt:lpstr>Dd0</vt:lpstr>
      <vt:lpstr>Ds</vt:lpstr>
      <vt:lpstr>Ds0</vt:lpstr>
      <vt:lpstr>E</vt:lpstr>
      <vt:lpstr>E0</vt:lpstr>
      <vt:lpstr>Er</vt:lpstr>
      <vt:lpstr>Er0</vt:lpstr>
      <vt:lpstr>erat</vt:lpstr>
      <vt:lpstr>erat0</vt:lpstr>
      <vt:lpstr>fbal</vt:lpstr>
      <vt:lpstr>fbal0</vt:lpstr>
      <vt:lpstr>G</vt:lpstr>
      <vt:lpstr>G0</vt:lpstr>
      <vt:lpstr>gap</vt:lpstr>
      <vt:lpstr>gap0</vt:lpstr>
      <vt:lpstr>GDP</vt:lpstr>
      <vt:lpstr>GDP0</vt:lpstr>
      <vt:lpstr>Gfd</vt:lpstr>
      <vt:lpstr>Gfd0</vt:lpstr>
      <vt:lpstr>grat</vt:lpstr>
      <vt:lpstr>grat0</vt:lpstr>
      <vt:lpstr>kgr</vt:lpstr>
      <vt:lpstr>kgr0</vt:lpstr>
      <vt:lpstr>M</vt:lpstr>
      <vt:lpstr>M0</vt:lpstr>
      <vt:lpstr>MS</vt:lpstr>
      <vt:lpstr>MS0</vt:lpstr>
      <vt:lpstr>ncap</vt:lpstr>
      <vt:lpstr>ncap0</vt:lpstr>
      <vt:lpstr>nctg</vt:lpstr>
      <vt:lpstr>nctg0</vt:lpstr>
      <vt:lpstr>nctp</vt:lpstr>
      <vt:lpstr>nctp0</vt:lpstr>
      <vt:lpstr>nfyg</vt:lpstr>
      <vt:lpstr>nfyg0</vt:lpstr>
      <vt:lpstr>nfyp</vt:lpstr>
      <vt:lpstr>nfyp0</vt:lpstr>
      <vt:lpstr>Pd</vt:lpstr>
      <vt:lpstr>Pd0</vt:lpstr>
      <vt:lpstr>Pe</vt:lpstr>
      <vt:lpstr>Pe0</vt:lpstr>
      <vt:lpstr>Pm</vt:lpstr>
      <vt:lpstr>Pm0</vt:lpstr>
      <vt:lpstr>Pq</vt:lpstr>
      <vt:lpstr>Pq0</vt:lpstr>
      <vt:lpstr>'%-Deviations from prev. results'!Print_Area</vt:lpstr>
      <vt:lpstr>'1-2-3'!Print_Area</vt:lpstr>
      <vt:lpstr>'Input - manual'!Print_Area</vt:lpstr>
      <vt:lpstr>'Input - RMSM'!Print_Area</vt:lpstr>
      <vt:lpstr>'MACRO DATA'!Print_Area</vt:lpstr>
      <vt:lpstr>RESULTS!Print_Area</vt:lpstr>
      <vt:lpstr>SCENARIO!Print_Area</vt:lpstr>
      <vt:lpstr>'MACRO TABLES'!Print_Titles</vt:lpstr>
      <vt:lpstr>Pt</vt:lpstr>
      <vt:lpstr>Pt0</vt:lpstr>
      <vt:lpstr>Px</vt:lpstr>
      <vt:lpstr>Px0</vt:lpstr>
      <vt:lpstr>Py</vt:lpstr>
      <vt:lpstr>Py0</vt:lpstr>
      <vt:lpstr>Qd</vt:lpstr>
      <vt:lpstr>Qd0</vt:lpstr>
      <vt:lpstr>Qs</vt:lpstr>
      <vt:lpstr>Qs0</vt:lpstr>
      <vt:lpstr>Rer</vt:lpstr>
      <vt:lpstr>Rer0</vt:lpstr>
      <vt:lpstr>rq</vt:lpstr>
      <vt:lpstr>rt</vt:lpstr>
      <vt:lpstr>S</vt:lpstr>
      <vt:lpstr>S0</vt:lpstr>
      <vt:lpstr>scale</vt:lpstr>
      <vt:lpstr>se</vt:lpstr>
      <vt:lpstr>se0</vt:lpstr>
      <vt:lpstr>Sg</vt:lpstr>
      <vt:lpstr>Sg0</vt:lpstr>
      <vt:lpstr>sq</vt:lpstr>
      <vt:lpstr>srat</vt:lpstr>
      <vt:lpstr>srat0</vt:lpstr>
      <vt:lpstr>st</vt:lpstr>
      <vt:lpstr>su</vt:lpstr>
      <vt:lpstr>su0</vt:lpstr>
      <vt:lpstr>sy</vt:lpstr>
      <vt:lpstr>sy0</vt:lpstr>
      <vt:lpstr>tad</vt:lpstr>
      <vt:lpstr>tad0</vt:lpstr>
      <vt:lpstr>taj</vt:lpstr>
      <vt:lpstr>taj0</vt:lpstr>
      <vt:lpstr>Tax</vt:lpstr>
      <vt:lpstr>Tax0</vt:lpstr>
      <vt:lpstr>te</vt:lpstr>
      <vt:lpstr>te0</vt:lpstr>
      <vt:lpstr>tm</vt:lpstr>
      <vt:lpstr>tm0</vt:lpstr>
      <vt:lpstr>tr</vt:lpstr>
      <vt:lpstr>tr0</vt:lpstr>
      <vt:lpstr>trat</vt:lpstr>
      <vt:lpstr>trat0</vt:lpstr>
      <vt:lpstr>ts</vt:lpstr>
      <vt:lpstr>ts0</vt:lpstr>
      <vt:lpstr>ty</vt:lpstr>
      <vt:lpstr>ty0</vt:lpstr>
      <vt:lpstr>ve</vt:lpstr>
      <vt:lpstr>ve0</vt:lpstr>
      <vt:lpstr>we</vt:lpstr>
      <vt:lpstr>we0</vt:lpstr>
      <vt:lpstr>wm</vt:lpstr>
      <vt:lpstr>wm0</vt:lpstr>
      <vt:lpstr>X</vt:lpstr>
      <vt:lpstr>X0</vt:lpstr>
      <vt:lpstr>Y</vt:lpstr>
      <vt:lpstr>Y0</vt:lpstr>
      <vt:lpstr>Z</vt:lpstr>
      <vt:lpstr>Z0</vt:lpstr>
    </vt:vector>
  </TitlesOfParts>
  <Company>The World Bank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Delfin S. Go</dc:creator>
  <cp:lastModifiedBy>dwrh</cp:lastModifiedBy>
  <cp:lastPrinted>2001-04-18T18:40:41Z</cp:lastPrinted>
  <dcterms:created xsi:type="dcterms:W3CDTF">1997-03-14T20:22:43Z</dcterms:created>
  <dcterms:modified xsi:type="dcterms:W3CDTF">2009-08-02T04:30:41Z</dcterms:modified>
</cp:coreProperties>
</file>